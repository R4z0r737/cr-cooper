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govcz-my.sharepoint.com/personal/radek_telvak_mo_gov_cz/Documents/Desktop/"/>
    </mc:Choice>
  </mc:AlternateContent>
  <xr:revisionPtr revIDLastSave="0" documentId="8_{44D5A261-CABE-4E30-99FE-6C96D7BF74A0}" xr6:coauthVersionLast="47" xr6:coauthVersionMax="47" xr10:uidLastSave="{00000000-0000-0000-0000-000000000000}"/>
  <bookViews>
    <workbookView xWindow="-110" yWindow="-110" windowWidth="19420" windowHeight="10300" xr2:uid="{ED744C56-3984-4295-B508-EBE971D1ABBD}"/>
  </bookViews>
  <sheets>
    <sheet name="List1" sheetId="1" r:id="rId1"/>
  </sheets>
  <externalReferences>
    <externalReference r:id="rId2"/>
  </externalReferences>
  <definedNames>
    <definedName name="_xlnm._FilterDatabase" localSheetId="0" hidden="1">List1!$A$1:$AA$1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Y363" i="1" l="1"/>
  <c r="X363" i="1"/>
  <c r="V363" i="1"/>
  <c r="U363" i="1"/>
  <c r="W363" i="1" s="1"/>
  <c r="S363" i="1"/>
  <c r="R363" i="1"/>
  <c r="T363" i="1" s="1"/>
  <c r="Q363" i="1"/>
  <c r="P363" i="1"/>
  <c r="H363" i="1"/>
  <c r="A363" i="1"/>
  <c r="Y362" i="1"/>
  <c r="X362" i="1"/>
  <c r="V362" i="1"/>
  <c r="U362" i="1"/>
  <c r="W362" i="1" s="1"/>
  <c r="S362" i="1"/>
  <c r="R362" i="1"/>
  <c r="T362" i="1" s="1"/>
  <c r="Q362" i="1"/>
  <c r="P362" i="1"/>
  <c r="H362" i="1"/>
  <c r="A362" i="1"/>
  <c r="Y361" i="1"/>
  <c r="X361" i="1"/>
  <c r="V361" i="1"/>
  <c r="W361" i="1" s="1"/>
  <c r="U361" i="1"/>
  <c r="S361" i="1"/>
  <c r="R361" i="1"/>
  <c r="T361" i="1" s="1"/>
  <c r="Q361" i="1"/>
  <c r="P361" i="1"/>
  <c r="H361" i="1"/>
  <c r="A361" i="1"/>
  <c r="Y360" i="1"/>
  <c r="X360" i="1"/>
  <c r="V360" i="1"/>
  <c r="U360" i="1"/>
  <c r="S360" i="1"/>
  <c r="R360" i="1"/>
  <c r="T360" i="1" s="1"/>
  <c r="Q360" i="1"/>
  <c r="P360" i="1"/>
  <c r="H360" i="1"/>
  <c r="A360" i="1"/>
  <c r="Y359" i="1"/>
  <c r="X359" i="1"/>
  <c r="V359" i="1"/>
  <c r="W359" i="1" s="1"/>
  <c r="U359" i="1"/>
  <c r="S359" i="1"/>
  <c r="R359" i="1"/>
  <c r="T359" i="1" s="1"/>
  <c r="Q359" i="1"/>
  <c r="P359" i="1"/>
  <c r="H359" i="1"/>
  <c r="A359" i="1"/>
  <c r="Y358" i="1"/>
  <c r="X358" i="1"/>
  <c r="V358" i="1"/>
  <c r="U358" i="1"/>
  <c r="W358" i="1" s="1"/>
  <c r="S358" i="1"/>
  <c r="R358" i="1"/>
  <c r="T358" i="1" s="1"/>
  <c r="Q358" i="1"/>
  <c r="P358" i="1"/>
  <c r="H358" i="1"/>
  <c r="A358" i="1"/>
  <c r="Y357" i="1"/>
  <c r="X357" i="1"/>
  <c r="V357" i="1"/>
  <c r="W357" i="1" s="1"/>
  <c r="U357" i="1"/>
  <c r="S357" i="1"/>
  <c r="R357" i="1"/>
  <c r="T357" i="1" s="1"/>
  <c r="Q357" i="1"/>
  <c r="P357" i="1"/>
  <c r="H357" i="1"/>
  <c r="A357" i="1"/>
  <c r="Y356" i="1"/>
  <c r="X356" i="1"/>
  <c r="V356" i="1"/>
  <c r="U356" i="1"/>
  <c r="S356" i="1"/>
  <c r="R356" i="1"/>
  <c r="T356" i="1" s="1"/>
  <c r="Q356" i="1"/>
  <c r="P356" i="1"/>
  <c r="H356" i="1"/>
  <c r="A356" i="1"/>
  <c r="Y355" i="1"/>
  <c r="X355" i="1"/>
  <c r="V355" i="1"/>
  <c r="W355" i="1" s="1"/>
  <c r="U355" i="1"/>
  <c r="S355" i="1"/>
  <c r="R355" i="1"/>
  <c r="T355" i="1" s="1"/>
  <c r="Q355" i="1"/>
  <c r="P355" i="1"/>
  <c r="H355" i="1"/>
  <c r="A355" i="1"/>
  <c r="Y354" i="1"/>
  <c r="X354" i="1"/>
  <c r="V354" i="1"/>
  <c r="U354" i="1"/>
  <c r="W354" i="1" s="1"/>
  <c r="S354" i="1"/>
  <c r="R354" i="1"/>
  <c r="T354" i="1" s="1"/>
  <c r="Q354" i="1"/>
  <c r="P354" i="1"/>
  <c r="H354" i="1"/>
  <c r="A354" i="1"/>
  <c r="Y353" i="1"/>
  <c r="X353" i="1"/>
  <c r="V353" i="1"/>
  <c r="W353" i="1" s="1"/>
  <c r="U353" i="1"/>
  <c r="S353" i="1"/>
  <c r="R353" i="1"/>
  <c r="T353" i="1" s="1"/>
  <c r="Q353" i="1"/>
  <c r="P353" i="1"/>
  <c r="H353" i="1"/>
  <c r="A353" i="1"/>
  <c r="Y352" i="1"/>
  <c r="X352" i="1"/>
  <c r="V352" i="1"/>
  <c r="U352" i="1"/>
  <c r="S352" i="1"/>
  <c r="R352" i="1"/>
  <c r="T352" i="1" s="1"/>
  <c r="Q352" i="1"/>
  <c r="P352" i="1"/>
  <c r="H352" i="1"/>
  <c r="A352" i="1"/>
  <c r="Y351" i="1"/>
  <c r="X351" i="1"/>
  <c r="V351" i="1"/>
  <c r="W351" i="1" s="1"/>
  <c r="U351" i="1"/>
  <c r="S351" i="1"/>
  <c r="R351" i="1"/>
  <c r="T351" i="1" s="1"/>
  <c r="Q351" i="1"/>
  <c r="P351" i="1"/>
  <c r="H351" i="1"/>
  <c r="A351" i="1"/>
  <c r="Y350" i="1"/>
  <c r="X350" i="1"/>
  <c r="V350" i="1"/>
  <c r="U350" i="1"/>
  <c r="W350" i="1" s="1"/>
  <c r="S350" i="1"/>
  <c r="R350" i="1"/>
  <c r="T350" i="1" s="1"/>
  <c r="Q350" i="1"/>
  <c r="P350" i="1"/>
  <c r="H350" i="1"/>
  <c r="A350" i="1"/>
  <c r="Y349" i="1"/>
  <c r="X349" i="1"/>
  <c r="V349" i="1"/>
  <c r="W349" i="1" s="1"/>
  <c r="U349" i="1"/>
  <c r="S349" i="1"/>
  <c r="R349" i="1"/>
  <c r="T349" i="1" s="1"/>
  <c r="Q349" i="1"/>
  <c r="P349" i="1"/>
  <c r="H349" i="1"/>
  <c r="A349" i="1"/>
  <c r="Y348" i="1"/>
  <c r="X348" i="1"/>
  <c r="V348" i="1"/>
  <c r="U348" i="1"/>
  <c r="S348" i="1"/>
  <c r="R348" i="1"/>
  <c r="T348" i="1" s="1"/>
  <c r="Q348" i="1"/>
  <c r="P348" i="1"/>
  <c r="H348" i="1"/>
  <c r="A348" i="1"/>
  <c r="Y347" i="1"/>
  <c r="X347" i="1"/>
  <c r="V347" i="1"/>
  <c r="W347" i="1" s="1"/>
  <c r="U347" i="1"/>
  <c r="S347" i="1"/>
  <c r="R347" i="1"/>
  <c r="T347" i="1" s="1"/>
  <c r="Q347" i="1"/>
  <c r="P347" i="1"/>
  <c r="H347" i="1"/>
  <c r="A347" i="1"/>
  <c r="Y346" i="1"/>
  <c r="X346" i="1"/>
  <c r="V346" i="1"/>
  <c r="U346" i="1"/>
  <c r="W346" i="1" s="1"/>
  <c r="S346" i="1"/>
  <c r="R346" i="1"/>
  <c r="T346" i="1" s="1"/>
  <c r="Q346" i="1"/>
  <c r="P346" i="1"/>
  <c r="H346" i="1"/>
  <c r="A346" i="1"/>
  <c r="Y345" i="1"/>
  <c r="X345" i="1"/>
  <c r="V345" i="1"/>
  <c r="W345" i="1" s="1"/>
  <c r="U345" i="1"/>
  <c r="S345" i="1"/>
  <c r="R345" i="1"/>
  <c r="T345" i="1" s="1"/>
  <c r="Q345" i="1"/>
  <c r="P345" i="1"/>
  <c r="H345" i="1"/>
  <c r="A345" i="1"/>
  <c r="Y344" i="1"/>
  <c r="X344" i="1"/>
  <c r="W344" i="1"/>
  <c r="V344" i="1"/>
  <c r="U344" i="1"/>
  <c r="S344" i="1"/>
  <c r="Q344" i="1"/>
  <c r="R344" i="1" s="1"/>
  <c r="P344" i="1"/>
  <c r="H344" i="1"/>
  <c r="A344" i="1"/>
  <c r="Y343" i="1"/>
  <c r="X343" i="1"/>
  <c r="V343" i="1"/>
  <c r="W343" i="1" s="1"/>
  <c r="S343" i="1"/>
  <c r="Q343" i="1"/>
  <c r="R343" i="1" s="1"/>
  <c r="P343" i="1"/>
  <c r="H343" i="1"/>
  <c r="Z343" i="1" s="1"/>
  <c r="A343" i="1"/>
  <c r="Y342" i="1"/>
  <c r="X342" i="1"/>
  <c r="V342" i="1"/>
  <c r="W342" i="1" s="1"/>
  <c r="U342" i="1"/>
  <c r="S342" i="1"/>
  <c r="Q342" i="1"/>
  <c r="P342" i="1"/>
  <c r="R342" i="1" s="1"/>
  <c r="T342" i="1" s="1"/>
  <c r="H342" i="1"/>
  <c r="Z342" i="1" s="1"/>
  <c r="A342" i="1"/>
  <c r="Y341" i="1"/>
  <c r="X341" i="1"/>
  <c r="V341" i="1"/>
  <c r="U341" i="1"/>
  <c r="W341" i="1" s="1"/>
  <c r="S341" i="1"/>
  <c r="Q341" i="1"/>
  <c r="R341" i="1" s="1"/>
  <c r="P341" i="1"/>
  <c r="H341" i="1"/>
  <c r="A341" i="1"/>
  <c r="Z340" i="1"/>
  <c r="Y340" i="1"/>
  <c r="X340" i="1"/>
  <c r="V340" i="1"/>
  <c r="W340" i="1" s="1"/>
  <c r="U340" i="1"/>
  <c r="S340" i="1"/>
  <c r="R340" i="1"/>
  <c r="T340" i="1" s="1"/>
  <c r="Q340" i="1"/>
  <c r="P340" i="1"/>
  <c r="H340" i="1"/>
  <c r="A340" i="1"/>
  <c r="Y339" i="1"/>
  <c r="X339" i="1"/>
  <c r="W339" i="1"/>
  <c r="V339" i="1"/>
  <c r="U339" i="1"/>
  <c r="S339" i="1"/>
  <c r="Q339" i="1"/>
  <c r="R339" i="1" s="1"/>
  <c r="P339" i="1"/>
  <c r="H339" i="1"/>
  <c r="A339" i="1"/>
  <c r="Z338" i="1"/>
  <c r="Y338" i="1"/>
  <c r="X338" i="1"/>
  <c r="V338" i="1"/>
  <c r="W338" i="1" s="1"/>
  <c r="U338" i="1"/>
  <c r="S338" i="1"/>
  <c r="Q338" i="1"/>
  <c r="P338" i="1"/>
  <c r="R338" i="1" s="1"/>
  <c r="T338" i="1" s="1"/>
  <c r="H338" i="1"/>
  <c r="A338" i="1"/>
  <c r="Y337" i="1"/>
  <c r="X337" i="1"/>
  <c r="V337" i="1"/>
  <c r="U337" i="1"/>
  <c r="W337" i="1" s="1"/>
  <c r="S337" i="1"/>
  <c r="Q337" i="1"/>
  <c r="P337" i="1"/>
  <c r="H337" i="1"/>
  <c r="A337" i="1"/>
  <c r="Z336" i="1"/>
  <c r="Y336" i="1"/>
  <c r="X336" i="1"/>
  <c r="V336" i="1"/>
  <c r="U336" i="1"/>
  <c r="W336" i="1" s="1"/>
  <c r="S336" i="1"/>
  <c r="R336" i="1"/>
  <c r="T336" i="1" s="1"/>
  <c r="Q336" i="1"/>
  <c r="P336" i="1"/>
  <c r="H336" i="1"/>
  <c r="A336" i="1"/>
  <c r="Y335" i="1"/>
  <c r="X335" i="1"/>
  <c r="W335" i="1"/>
  <c r="V335" i="1"/>
  <c r="U335" i="1"/>
  <c r="S335" i="1"/>
  <c r="Q335" i="1"/>
  <c r="R335" i="1" s="1"/>
  <c r="P335" i="1"/>
  <c r="H335" i="1"/>
  <c r="Z335" i="1" s="1"/>
  <c r="A335" i="1"/>
  <c r="Z334" i="1"/>
  <c r="Y334" i="1"/>
  <c r="X334" i="1"/>
  <c r="V334" i="1"/>
  <c r="W334" i="1" s="1"/>
  <c r="U334" i="1"/>
  <c r="S334" i="1"/>
  <c r="Q334" i="1"/>
  <c r="P334" i="1"/>
  <c r="R334" i="1" s="1"/>
  <c r="T334" i="1" s="1"/>
  <c r="H334" i="1"/>
  <c r="A334" i="1"/>
  <c r="Y333" i="1"/>
  <c r="X333" i="1"/>
  <c r="V333" i="1"/>
  <c r="U333" i="1"/>
  <c r="W333" i="1" s="1"/>
  <c r="S333" i="1"/>
  <c r="Q333" i="1"/>
  <c r="R333" i="1" s="1"/>
  <c r="P333" i="1"/>
  <c r="H333" i="1"/>
  <c r="A333" i="1"/>
  <c r="Y332" i="1"/>
  <c r="X332" i="1"/>
  <c r="V332" i="1"/>
  <c r="U332" i="1"/>
  <c r="W332" i="1" s="1"/>
  <c r="S332" i="1"/>
  <c r="Q332" i="1"/>
  <c r="P332" i="1"/>
  <c r="H332" i="1"/>
  <c r="A332" i="1"/>
  <c r="Z331" i="1"/>
  <c r="Y331" i="1"/>
  <c r="X331" i="1"/>
  <c r="V331" i="1"/>
  <c r="U331" i="1"/>
  <c r="S331" i="1"/>
  <c r="R331" i="1"/>
  <c r="T331" i="1" s="1"/>
  <c r="Q331" i="1"/>
  <c r="P331" i="1"/>
  <c r="H331" i="1"/>
  <c r="A331" i="1"/>
  <c r="Y330" i="1"/>
  <c r="X330" i="1"/>
  <c r="W330" i="1"/>
  <c r="V330" i="1"/>
  <c r="U330" i="1"/>
  <c r="S330" i="1"/>
  <c r="Q330" i="1"/>
  <c r="R330" i="1" s="1"/>
  <c r="P330" i="1"/>
  <c r="H330" i="1"/>
  <c r="A330" i="1"/>
  <c r="Z329" i="1"/>
  <c r="Y329" i="1"/>
  <c r="X329" i="1"/>
  <c r="V329" i="1"/>
  <c r="W329" i="1" s="1"/>
  <c r="U329" i="1"/>
  <c r="T329" i="1"/>
  <c r="S329" i="1"/>
  <c r="Q329" i="1"/>
  <c r="P329" i="1"/>
  <c r="R329" i="1" s="1"/>
  <c r="H329" i="1"/>
  <c r="A329" i="1"/>
  <c r="Y328" i="1"/>
  <c r="X328" i="1"/>
  <c r="V328" i="1"/>
  <c r="U328" i="1"/>
  <c r="W328" i="1" s="1"/>
  <c r="S328" i="1"/>
  <c r="Q328" i="1"/>
  <c r="R328" i="1" s="1"/>
  <c r="P328" i="1"/>
  <c r="H328" i="1"/>
  <c r="T328" i="1" s="1"/>
  <c r="A328" i="1"/>
  <c r="Z327" i="1"/>
  <c r="Y327" i="1"/>
  <c r="X327" i="1"/>
  <c r="V327" i="1"/>
  <c r="W327" i="1" s="1"/>
  <c r="U327" i="1"/>
  <c r="S327" i="1"/>
  <c r="R327" i="1"/>
  <c r="T327" i="1" s="1"/>
  <c r="Q327" i="1"/>
  <c r="P327" i="1"/>
  <c r="H327" i="1"/>
  <c r="A327" i="1"/>
  <c r="Y326" i="1"/>
  <c r="X326" i="1"/>
  <c r="W326" i="1"/>
  <c r="V326" i="1"/>
  <c r="U326" i="1"/>
  <c r="S326" i="1"/>
  <c r="Q326" i="1"/>
  <c r="R326" i="1" s="1"/>
  <c r="P326" i="1"/>
  <c r="H326" i="1"/>
  <c r="A326" i="1"/>
  <c r="Z325" i="1"/>
  <c r="Y325" i="1"/>
  <c r="X325" i="1"/>
  <c r="V325" i="1"/>
  <c r="W325" i="1" s="1"/>
  <c r="U325" i="1"/>
  <c r="T325" i="1"/>
  <c r="S325" i="1"/>
  <c r="Q325" i="1"/>
  <c r="P325" i="1"/>
  <c r="R325" i="1" s="1"/>
  <c r="H325" i="1"/>
  <c r="A325" i="1"/>
  <c r="Y324" i="1"/>
  <c r="X324" i="1"/>
  <c r="V324" i="1"/>
  <c r="U324" i="1"/>
  <c r="W324" i="1" s="1"/>
  <c r="S324" i="1"/>
  <c r="Q324" i="1"/>
  <c r="P324" i="1"/>
  <c r="R324" i="1" s="1"/>
  <c r="H324" i="1"/>
  <c r="A324" i="1"/>
  <c r="Z323" i="1"/>
  <c r="Y323" i="1"/>
  <c r="X323" i="1"/>
  <c r="V323" i="1"/>
  <c r="U323" i="1"/>
  <c r="W323" i="1" s="1"/>
  <c r="S323" i="1"/>
  <c r="R323" i="1"/>
  <c r="T323" i="1" s="1"/>
  <c r="Q323" i="1"/>
  <c r="P323" i="1"/>
  <c r="H323" i="1"/>
  <c r="A323" i="1"/>
  <c r="Y322" i="1"/>
  <c r="X322" i="1"/>
  <c r="W322" i="1"/>
  <c r="V322" i="1"/>
  <c r="U322" i="1"/>
  <c r="S322" i="1"/>
  <c r="Q322" i="1"/>
  <c r="R322" i="1" s="1"/>
  <c r="P322" i="1"/>
  <c r="H322" i="1"/>
  <c r="A322" i="1"/>
  <c r="Z321" i="1"/>
  <c r="Y321" i="1"/>
  <c r="X321" i="1"/>
  <c r="V321" i="1"/>
  <c r="W321" i="1" s="1"/>
  <c r="U321" i="1"/>
  <c r="T321" i="1"/>
  <c r="S321" i="1"/>
  <c r="Q321" i="1"/>
  <c r="P321" i="1"/>
  <c r="R321" i="1" s="1"/>
  <c r="H321" i="1"/>
  <c r="A321" i="1"/>
  <c r="Y320" i="1"/>
  <c r="X320" i="1"/>
  <c r="V320" i="1"/>
  <c r="U320" i="1"/>
  <c r="W320" i="1" s="1"/>
  <c r="S320" i="1"/>
  <c r="Q320" i="1"/>
  <c r="R320" i="1" s="1"/>
  <c r="P320" i="1"/>
  <c r="H320" i="1"/>
  <c r="T320" i="1" s="1"/>
  <c r="A320" i="1"/>
  <c r="Z319" i="1"/>
  <c r="Y319" i="1"/>
  <c r="X319" i="1"/>
  <c r="V319" i="1"/>
  <c r="W319" i="1" s="1"/>
  <c r="U319" i="1"/>
  <c r="S319" i="1"/>
  <c r="R319" i="1"/>
  <c r="T319" i="1" s="1"/>
  <c r="Q319" i="1"/>
  <c r="P319" i="1"/>
  <c r="H319" i="1"/>
  <c r="A319" i="1"/>
  <c r="Y318" i="1"/>
  <c r="X318" i="1"/>
  <c r="V318" i="1"/>
  <c r="U318" i="1"/>
  <c r="W318" i="1" s="1"/>
  <c r="S318" i="1"/>
  <c r="R318" i="1"/>
  <c r="T318" i="1" s="1"/>
  <c r="Q318" i="1"/>
  <c r="P318" i="1"/>
  <c r="H318" i="1"/>
  <c r="A318" i="1"/>
  <c r="Y317" i="1"/>
  <c r="X317" i="1"/>
  <c r="W317" i="1"/>
  <c r="V317" i="1"/>
  <c r="U317" i="1"/>
  <c r="S317" i="1"/>
  <c r="Q317" i="1"/>
  <c r="R317" i="1" s="1"/>
  <c r="P317" i="1"/>
  <c r="H317" i="1"/>
  <c r="A317" i="1"/>
  <c r="Z316" i="1"/>
  <c r="Y316" i="1"/>
  <c r="X316" i="1"/>
  <c r="V316" i="1"/>
  <c r="W316" i="1" s="1"/>
  <c r="U316" i="1"/>
  <c r="S316" i="1"/>
  <c r="Q316" i="1"/>
  <c r="P316" i="1"/>
  <c r="R316" i="1" s="1"/>
  <c r="T316" i="1" s="1"/>
  <c r="H316" i="1"/>
  <c r="A316" i="1"/>
  <c r="Y315" i="1"/>
  <c r="X315" i="1"/>
  <c r="V315" i="1"/>
  <c r="U315" i="1"/>
  <c r="W315" i="1" s="1"/>
  <c r="S315" i="1"/>
  <c r="Q315" i="1"/>
  <c r="R315" i="1" s="1"/>
  <c r="P315" i="1"/>
  <c r="H315" i="1"/>
  <c r="A315" i="1"/>
  <c r="Z314" i="1"/>
  <c r="Y314" i="1"/>
  <c r="X314" i="1"/>
  <c r="V314" i="1"/>
  <c r="W314" i="1" s="1"/>
  <c r="U314" i="1"/>
  <c r="S314" i="1"/>
  <c r="R314" i="1"/>
  <c r="T314" i="1" s="1"/>
  <c r="Q314" i="1"/>
  <c r="P314" i="1"/>
  <c r="H314" i="1"/>
  <c r="A314" i="1"/>
  <c r="Y313" i="1"/>
  <c r="X313" i="1"/>
  <c r="W313" i="1"/>
  <c r="V313" i="1"/>
  <c r="U313" i="1"/>
  <c r="S313" i="1"/>
  <c r="Q313" i="1"/>
  <c r="R313" i="1" s="1"/>
  <c r="P313" i="1"/>
  <c r="H313" i="1"/>
  <c r="A313" i="1"/>
  <c r="Z312" i="1"/>
  <c r="Y312" i="1"/>
  <c r="X312" i="1"/>
  <c r="V312" i="1"/>
  <c r="W312" i="1" s="1"/>
  <c r="U312" i="1"/>
  <c r="S312" i="1"/>
  <c r="Q312" i="1"/>
  <c r="P312" i="1"/>
  <c r="R312" i="1" s="1"/>
  <c r="T312" i="1" s="1"/>
  <c r="H312" i="1"/>
  <c r="A312" i="1"/>
  <c r="Y311" i="1"/>
  <c r="X311" i="1"/>
  <c r="V311" i="1"/>
  <c r="U311" i="1"/>
  <c r="W311" i="1" s="1"/>
  <c r="S311" i="1"/>
  <c r="Q311" i="1"/>
  <c r="P311" i="1"/>
  <c r="H311" i="1"/>
  <c r="A311" i="1"/>
  <c r="Z310" i="1"/>
  <c r="Y310" i="1"/>
  <c r="X310" i="1"/>
  <c r="V310" i="1"/>
  <c r="U310" i="1"/>
  <c r="W310" i="1" s="1"/>
  <c r="S310" i="1"/>
  <c r="R310" i="1"/>
  <c r="T310" i="1" s="1"/>
  <c r="Q310" i="1"/>
  <c r="P310" i="1"/>
  <c r="H310" i="1"/>
  <c r="A310" i="1"/>
  <c r="Y309" i="1"/>
  <c r="X309" i="1"/>
  <c r="W309" i="1"/>
  <c r="V309" i="1"/>
  <c r="U309" i="1"/>
  <c r="S309" i="1"/>
  <c r="Q309" i="1"/>
  <c r="R309" i="1" s="1"/>
  <c r="P309" i="1"/>
  <c r="H309" i="1"/>
  <c r="A309" i="1"/>
  <c r="Z308" i="1"/>
  <c r="Y308" i="1"/>
  <c r="X308" i="1"/>
  <c r="V308" i="1"/>
  <c r="W308" i="1" s="1"/>
  <c r="U308" i="1"/>
  <c r="S308" i="1"/>
  <c r="Q308" i="1"/>
  <c r="P308" i="1"/>
  <c r="R308" i="1" s="1"/>
  <c r="T308" i="1" s="1"/>
  <c r="H308" i="1"/>
  <c r="A308" i="1"/>
  <c r="Y307" i="1"/>
  <c r="X307" i="1"/>
  <c r="V307" i="1"/>
  <c r="U307" i="1"/>
  <c r="W307" i="1" s="1"/>
  <c r="S307" i="1"/>
  <c r="Q307" i="1"/>
  <c r="R307" i="1" s="1"/>
  <c r="P307" i="1"/>
  <c r="H307" i="1"/>
  <c r="A307" i="1"/>
  <c r="Z306" i="1"/>
  <c r="Y306" i="1"/>
  <c r="X306" i="1"/>
  <c r="V306" i="1"/>
  <c r="W306" i="1" s="1"/>
  <c r="U306" i="1"/>
  <c r="S306" i="1"/>
  <c r="R306" i="1"/>
  <c r="T306" i="1" s="1"/>
  <c r="Q306" i="1"/>
  <c r="P306" i="1"/>
  <c r="H306" i="1"/>
  <c r="A306" i="1"/>
  <c r="Y305" i="1"/>
  <c r="X305" i="1"/>
  <c r="W305" i="1"/>
  <c r="V305" i="1"/>
  <c r="U305" i="1"/>
  <c r="S305" i="1"/>
  <c r="Q305" i="1"/>
  <c r="R305" i="1" s="1"/>
  <c r="P305" i="1"/>
  <c r="H305" i="1"/>
  <c r="A305" i="1"/>
  <c r="Z304" i="1"/>
  <c r="Y304" i="1"/>
  <c r="X304" i="1"/>
  <c r="V304" i="1"/>
  <c r="W304" i="1" s="1"/>
  <c r="U304" i="1"/>
  <c r="T304" i="1"/>
  <c r="S304" i="1"/>
  <c r="Q304" i="1"/>
  <c r="P304" i="1"/>
  <c r="R304" i="1" s="1"/>
  <c r="H304" i="1"/>
  <c r="A304" i="1"/>
  <c r="Y303" i="1"/>
  <c r="X303" i="1"/>
  <c r="V303" i="1"/>
  <c r="U303" i="1"/>
  <c r="W303" i="1" s="1"/>
  <c r="S303" i="1"/>
  <c r="Q303" i="1"/>
  <c r="P303" i="1"/>
  <c r="R303" i="1" s="1"/>
  <c r="H303" i="1"/>
  <c r="T303" i="1" s="1"/>
  <c r="A303" i="1"/>
  <c r="Z302" i="1"/>
  <c r="Y302" i="1"/>
  <c r="X302" i="1"/>
  <c r="V302" i="1"/>
  <c r="U302" i="1"/>
  <c r="S302" i="1"/>
  <c r="R302" i="1"/>
  <c r="T302" i="1" s="1"/>
  <c r="Q302" i="1"/>
  <c r="P302" i="1"/>
  <c r="H302" i="1"/>
  <c r="A302" i="1"/>
  <c r="Y301" i="1"/>
  <c r="X301" i="1"/>
  <c r="W301" i="1"/>
  <c r="V301" i="1"/>
  <c r="U301" i="1"/>
  <c r="S301" i="1"/>
  <c r="Q301" i="1"/>
  <c r="R301" i="1" s="1"/>
  <c r="P301" i="1"/>
  <c r="H301" i="1"/>
  <c r="A301" i="1"/>
  <c r="Z300" i="1"/>
  <c r="Y300" i="1"/>
  <c r="X300" i="1"/>
  <c r="V300" i="1"/>
  <c r="W300" i="1" s="1"/>
  <c r="U300" i="1"/>
  <c r="T300" i="1"/>
  <c r="S300" i="1"/>
  <c r="Q300" i="1"/>
  <c r="P300" i="1"/>
  <c r="R300" i="1" s="1"/>
  <c r="H300" i="1"/>
  <c r="A300" i="1"/>
  <c r="Y299" i="1"/>
  <c r="X299" i="1"/>
  <c r="V299" i="1"/>
  <c r="U299" i="1"/>
  <c r="W299" i="1" s="1"/>
  <c r="S299" i="1"/>
  <c r="Q299" i="1"/>
  <c r="R299" i="1" s="1"/>
  <c r="P299" i="1"/>
  <c r="H299" i="1"/>
  <c r="A299" i="1"/>
  <c r="Z298" i="1"/>
  <c r="Y298" i="1"/>
  <c r="X298" i="1"/>
  <c r="V298" i="1"/>
  <c r="W298" i="1" s="1"/>
  <c r="U298" i="1"/>
  <c r="S298" i="1"/>
  <c r="R298" i="1"/>
  <c r="T298" i="1" s="1"/>
  <c r="Q298" i="1"/>
  <c r="P298" i="1"/>
  <c r="H298" i="1"/>
  <c r="A298" i="1"/>
  <c r="Y297" i="1"/>
  <c r="X297" i="1"/>
  <c r="W297" i="1"/>
  <c r="V297" i="1"/>
  <c r="U297" i="1"/>
  <c r="S297" i="1"/>
  <c r="Q297" i="1"/>
  <c r="R297" i="1" s="1"/>
  <c r="P297" i="1"/>
  <c r="H297" i="1"/>
  <c r="A297" i="1"/>
  <c r="Z296" i="1"/>
  <c r="Y296" i="1"/>
  <c r="X296" i="1"/>
  <c r="V296" i="1"/>
  <c r="W296" i="1" s="1"/>
  <c r="U296" i="1"/>
  <c r="T296" i="1"/>
  <c r="S296" i="1"/>
  <c r="Q296" i="1"/>
  <c r="P296" i="1"/>
  <c r="R296" i="1" s="1"/>
  <c r="H296" i="1"/>
  <c r="A296" i="1"/>
  <c r="Y295" i="1"/>
  <c r="X295" i="1"/>
  <c r="V295" i="1"/>
  <c r="U295" i="1"/>
  <c r="W295" i="1" s="1"/>
  <c r="S295" i="1"/>
  <c r="Q295" i="1"/>
  <c r="P295" i="1"/>
  <c r="H295" i="1"/>
  <c r="A295" i="1"/>
  <c r="Z294" i="1"/>
  <c r="Y294" i="1"/>
  <c r="X294" i="1"/>
  <c r="V294" i="1"/>
  <c r="U294" i="1"/>
  <c r="W294" i="1" s="1"/>
  <c r="S294" i="1"/>
  <c r="R294" i="1"/>
  <c r="T294" i="1" s="1"/>
  <c r="Q294" i="1"/>
  <c r="P294" i="1"/>
  <c r="H294" i="1"/>
  <c r="A294" i="1"/>
  <c r="Y293" i="1"/>
  <c r="X293" i="1"/>
  <c r="W293" i="1"/>
  <c r="V293" i="1"/>
  <c r="U293" i="1"/>
  <c r="S293" i="1"/>
  <c r="Q293" i="1"/>
  <c r="R293" i="1" s="1"/>
  <c r="P293" i="1"/>
  <c r="H293" i="1"/>
  <c r="A293" i="1"/>
  <c r="Z292" i="1"/>
  <c r="Y292" i="1"/>
  <c r="X292" i="1"/>
  <c r="V292" i="1"/>
  <c r="W292" i="1" s="1"/>
  <c r="U292" i="1"/>
  <c r="T292" i="1"/>
  <c r="S292" i="1"/>
  <c r="Q292" i="1"/>
  <c r="P292" i="1"/>
  <c r="R292" i="1" s="1"/>
  <c r="H292" i="1"/>
  <c r="A292" i="1"/>
  <c r="Y291" i="1"/>
  <c r="X291" i="1"/>
  <c r="V291" i="1"/>
  <c r="U291" i="1"/>
  <c r="W291" i="1" s="1"/>
  <c r="S291" i="1"/>
  <c r="Q291" i="1"/>
  <c r="R291" i="1" s="1"/>
  <c r="P291" i="1"/>
  <c r="H291" i="1"/>
  <c r="T291" i="1" s="1"/>
  <c r="A291" i="1"/>
  <c r="Z290" i="1"/>
  <c r="Y290" i="1"/>
  <c r="X290" i="1"/>
  <c r="V290" i="1"/>
  <c r="W290" i="1" s="1"/>
  <c r="U290" i="1"/>
  <c r="S290" i="1"/>
  <c r="R290" i="1"/>
  <c r="T290" i="1" s="1"/>
  <c r="Q290" i="1"/>
  <c r="P290" i="1"/>
  <c r="H290" i="1"/>
  <c r="A290" i="1"/>
  <c r="Y289" i="1"/>
  <c r="X289" i="1"/>
  <c r="W289" i="1"/>
  <c r="V289" i="1"/>
  <c r="U289" i="1"/>
  <c r="S289" i="1"/>
  <c r="Q289" i="1"/>
  <c r="P289" i="1"/>
  <c r="R289" i="1" s="1"/>
  <c r="H289" i="1"/>
  <c r="A289" i="1"/>
  <c r="Z288" i="1"/>
  <c r="Y288" i="1"/>
  <c r="X288" i="1"/>
  <c r="V288" i="1"/>
  <c r="U288" i="1"/>
  <c r="W288" i="1" s="1"/>
  <c r="S288" i="1"/>
  <c r="Q288" i="1"/>
  <c r="P288" i="1"/>
  <c r="R288" i="1" s="1"/>
  <c r="T288" i="1" s="1"/>
  <c r="H288" i="1"/>
  <c r="A288" i="1"/>
  <c r="Y287" i="1"/>
  <c r="X287" i="1"/>
  <c r="V287" i="1"/>
  <c r="U287" i="1"/>
  <c r="W287" i="1" s="1"/>
  <c r="S287" i="1"/>
  <c r="Q287" i="1"/>
  <c r="P287" i="1"/>
  <c r="R287" i="1" s="1"/>
  <c r="H287" i="1"/>
  <c r="T287" i="1" s="1"/>
  <c r="A287" i="1"/>
  <c r="Z286" i="1"/>
  <c r="Y286" i="1"/>
  <c r="X286" i="1"/>
  <c r="V286" i="1"/>
  <c r="U286" i="1"/>
  <c r="W286" i="1" s="1"/>
  <c r="S286" i="1"/>
  <c r="R286" i="1"/>
  <c r="T286" i="1" s="1"/>
  <c r="Q286" i="1"/>
  <c r="P286" i="1"/>
  <c r="H286" i="1"/>
  <c r="A286" i="1"/>
  <c r="Y285" i="1"/>
  <c r="X285" i="1"/>
  <c r="W285" i="1"/>
  <c r="V285" i="1"/>
  <c r="U285" i="1"/>
  <c r="S285" i="1"/>
  <c r="Q285" i="1"/>
  <c r="R285" i="1" s="1"/>
  <c r="P285" i="1"/>
  <c r="H285" i="1"/>
  <c r="A285" i="1"/>
  <c r="Z284" i="1"/>
  <c r="Y284" i="1"/>
  <c r="X284" i="1"/>
  <c r="V284" i="1"/>
  <c r="W284" i="1" s="1"/>
  <c r="U284" i="1"/>
  <c r="S284" i="1"/>
  <c r="Q284" i="1"/>
  <c r="P284" i="1"/>
  <c r="R284" i="1" s="1"/>
  <c r="T284" i="1" s="1"/>
  <c r="H284" i="1"/>
  <c r="A284" i="1"/>
  <c r="Y283" i="1"/>
  <c r="X283" i="1"/>
  <c r="V283" i="1"/>
  <c r="U283" i="1"/>
  <c r="W283" i="1" s="1"/>
  <c r="S283" i="1"/>
  <c r="Q283" i="1"/>
  <c r="R283" i="1" s="1"/>
  <c r="P283" i="1"/>
  <c r="H283" i="1"/>
  <c r="A283" i="1"/>
  <c r="Z282" i="1"/>
  <c r="Y282" i="1"/>
  <c r="X282" i="1"/>
  <c r="V282" i="1"/>
  <c r="W282" i="1" s="1"/>
  <c r="U282" i="1"/>
  <c r="S282" i="1"/>
  <c r="R282" i="1"/>
  <c r="T282" i="1" s="1"/>
  <c r="Q282" i="1"/>
  <c r="P282" i="1"/>
  <c r="H282" i="1"/>
  <c r="A282" i="1"/>
  <c r="Y281" i="1"/>
  <c r="X281" i="1"/>
  <c r="W281" i="1"/>
  <c r="V281" i="1"/>
  <c r="U281" i="1"/>
  <c r="S281" i="1"/>
  <c r="Q281" i="1"/>
  <c r="P281" i="1"/>
  <c r="R281" i="1" s="1"/>
  <c r="H281" i="1"/>
  <c r="A281" i="1"/>
  <c r="Z280" i="1"/>
  <c r="Y280" i="1"/>
  <c r="X280" i="1"/>
  <c r="V280" i="1"/>
  <c r="U280" i="1"/>
  <c r="W280" i="1" s="1"/>
  <c r="S280" i="1"/>
  <c r="Q280" i="1"/>
  <c r="P280" i="1"/>
  <c r="R280" i="1" s="1"/>
  <c r="T280" i="1" s="1"/>
  <c r="H280" i="1"/>
  <c r="A280" i="1"/>
  <c r="Y279" i="1"/>
  <c r="X279" i="1"/>
  <c r="V279" i="1"/>
  <c r="U279" i="1"/>
  <c r="W279" i="1" s="1"/>
  <c r="S279" i="1"/>
  <c r="Q279" i="1"/>
  <c r="P279" i="1"/>
  <c r="H279" i="1"/>
  <c r="A279" i="1"/>
  <c r="Z278" i="1"/>
  <c r="Y278" i="1"/>
  <c r="X278" i="1"/>
  <c r="V278" i="1"/>
  <c r="U278" i="1"/>
  <c r="S278" i="1"/>
  <c r="R278" i="1"/>
  <c r="T278" i="1" s="1"/>
  <c r="Q278" i="1"/>
  <c r="P278" i="1"/>
  <c r="H278" i="1"/>
  <c r="A278" i="1"/>
  <c r="Y277" i="1"/>
  <c r="X277" i="1"/>
  <c r="W277" i="1"/>
  <c r="V277" i="1"/>
  <c r="U277" i="1"/>
  <c r="S277" i="1"/>
  <c r="Q277" i="1"/>
  <c r="R277" i="1" s="1"/>
  <c r="P277" i="1"/>
  <c r="H277" i="1"/>
  <c r="A277" i="1"/>
  <c r="Z276" i="1"/>
  <c r="Y276" i="1"/>
  <c r="X276" i="1"/>
  <c r="V276" i="1"/>
  <c r="W276" i="1" s="1"/>
  <c r="U276" i="1"/>
  <c r="T276" i="1"/>
  <c r="S276" i="1"/>
  <c r="Q276" i="1"/>
  <c r="P276" i="1"/>
  <c r="R276" i="1" s="1"/>
  <c r="H276" i="1"/>
  <c r="A276" i="1"/>
  <c r="Y275" i="1"/>
  <c r="X275" i="1"/>
  <c r="V275" i="1"/>
  <c r="U275" i="1"/>
  <c r="W275" i="1" s="1"/>
  <c r="S275" i="1"/>
  <c r="Q275" i="1"/>
  <c r="R275" i="1" s="1"/>
  <c r="P275" i="1"/>
  <c r="H275" i="1"/>
  <c r="A275" i="1"/>
  <c r="Z274" i="1"/>
  <c r="Y274" i="1"/>
  <c r="X274" i="1"/>
  <c r="V274" i="1"/>
  <c r="W274" i="1" s="1"/>
  <c r="U274" i="1"/>
  <c r="S274" i="1"/>
  <c r="R274" i="1"/>
  <c r="T274" i="1" s="1"/>
  <c r="Q274" i="1"/>
  <c r="P274" i="1"/>
  <c r="H274" i="1"/>
  <c r="A274" i="1"/>
  <c r="Y273" i="1"/>
  <c r="X273" i="1"/>
  <c r="V273" i="1"/>
  <c r="U273" i="1"/>
  <c r="W273" i="1" s="1"/>
  <c r="S273" i="1"/>
  <c r="Q273" i="1"/>
  <c r="P273" i="1"/>
  <c r="R273" i="1" s="1"/>
  <c r="H273" i="1"/>
  <c r="A273" i="1"/>
  <c r="Z272" i="1"/>
  <c r="Y272" i="1"/>
  <c r="X272" i="1"/>
  <c r="V272" i="1"/>
  <c r="U272" i="1"/>
  <c r="W272" i="1" s="1"/>
  <c r="T272" i="1"/>
  <c r="S272" i="1"/>
  <c r="R272" i="1"/>
  <c r="Q272" i="1"/>
  <c r="P272" i="1"/>
  <c r="H272" i="1"/>
  <c r="A272" i="1"/>
  <c r="Y271" i="1"/>
  <c r="X271" i="1"/>
  <c r="W271" i="1"/>
  <c r="V271" i="1"/>
  <c r="U271" i="1"/>
  <c r="S271" i="1"/>
  <c r="Q271" i="1"/>
  <c r="P271" i="1"/>
  <c r="H271" i="1"/>
  <c r="A271" i="1"/>
  <c r="Z270" i="1"/>
  <c r="Y270" i="1"/>
  <c r="X270" i="1"/>
  <c r="V270" i="1"/>
  <c r="U270" i="1"/>
  <c r="W270" i="1" s="1"/>
  <c r="S270" i="1"/>
  <c r="R270" i="1"/>
  <c r="T270" i="1" s="1"/>
  <c r="Q270" i="1"/>
  <c r="P270" i="1"/>
  <c r="H270" i="1"/>
  <c r="A270" i="1"/>
  <c r="Y269" i="1"/>
  <c r="X269" i="1"/>
  <c r="W269" i="1"/>
  <c r="V269" i="1"/>
  <c r="U269" i="1"/>
  <c r="S269" i="1"/>
  <c r="Q269" i="1"/>
  <c r="R269" i="1" s="1"/>
  <c r="P269" i="1"/>
  <c r="H269" i="1"/>
  <c r="A269" i="1"/>
  <c r="Z268" i="1"/>
  <c r="Y268" i="1"/>
  <c r="X268" i="1"/>
  <c r="V268" i="1"/>
  <c r="W268" i="1" s="1"/>
  <c r="U268" i="1"/>
  <c r="S268" i="1"/>
  <c r="Q268" i="1"/>
  <c r="P268" i="1"/>
  <c r="R268" i="1" s="1"/>
  <c r="T268" i="1" s="1"/>
  <c r="H268" i="1"/>
  <c r="A268" i="1"/>
  <c r="Y267" i="1"/>
  <c r="X267" i="1"/>
  <c r="V267" i="1"/>
  <c r="U267" i="1"/>
  <c r="W267" i="1" s="1"/>
  <c r="S267" i="1"/>
  <c r="Q267" i="1"/>
  <c r="R267" i="1" s="1"/>
  <c r="P267" i="1"/>
  <c r="H267" i="1"/>
  <c r="T267" i="1" s="1"/>
  <c r="A267" i="1"/>
  <c r="Z266" i="1"/>
  <c r="Y266" i="1"/>
  <c r="X266" i="1"/>
  <c r="V266" i="1"/>
  <c r="W266" i="1" s="1"/>
  <c r="U266" i="1"/>
  <c r="S266" i="1"/>
  <c r="R266" i="1"/>
  <c r="T266" i="1" s="1"/>
  <c r="Q266" i="1"/>
  <c r="P266" i="1"/>
  <c r="H266" i="1"/>
  <c r="A266" i="1"/>
  <c r="Y265" i="1"/>
  <c r="X265" i="1"/>
  <c r="W265" i="1"/>
  <c r="V265" i="1"/>
  <c r="U265" i="1"/>
  <c r="S265" i="1"/>
  <c r="Q265" i="1"/>
  <c r="P265" i="1"/>
  <c r="R265" i="1" s="1"/>
  <c r="H265" i="1"/>
  <c r="A265" i="1"/>
  <c r="Z264" i="1"/>
  <c r="Y264" i="1"/>
  <c r="X264" i="1"/>
  <c r="V264" i="1"/>
  <c r="U264" i="1"/>
  <c r="W264" i="1" s="1"/>
  <c r="S264" i="1"/>
  <c r="Q264" i="1"/>
  <c r="P264" i="1"/>
  <c r="R264" i="1" s="1"/>
  <c r="T264" i="1" s="1"/>
  <c r="H264" i="1"/>
  <c r="A264" i="1"/>
  <c r="Y263" i="1"/>
  <c r="X263" i="1"/>
  <c r="V263" i="1"/>
  <c r="U263" i="1"/>
  <c r="W263" i="1" s="1"/>
  <c r="S263" i="1"/>
  <c r="Q263" i="1"/>
  <c r="P263" i="1"/>
  <c r="H263" i="1"/>
  <c r="A263" i="1"/>
  <c r="Z262" i="1"/>
  <c r="Y262" i="1"/>
  <c r="X262" i="1"/>
  <c r="V262" i="1"/>
  <c r="U262" i="1"/>
  <c r="S262" i="1"/>
  <c r="R262" i="1"/>
  <c r="T262" i="1" s="1"/>
  <c r="Q262" i="1"/>
  <c r="P262" i="1"/>
  <c r="H262" i="1"/>
  <c r="A262" i="1"/>
  <c r="Y261" i="1"/>
  <c r="X261" i="1"/>
  <c r="W261" i="1"/>
  <c r="V261" i="1"/>
  <c r="U261" i="1"/>
  <c r="S261" i="1"/>
  <c r="Q261" i="1"/>
  <c r="R261" i="1" s="1"/>
  <c r="P261" i="1"/>
  <c r="H261" i="1"/>
  <c r="A261" i="1"/>
  <c r="Z260" i="1"/>
  <c r="Y260" i="1"/>
  <c r="X260" i="1"/>
  <c r="V260" i="1"/>
  <c r="W260" i="1" s="1"/>
  <c r="U260" i="1"/>
  <c r="T260" i="1"/>
  <c r="S260" i="1"/>
  <c r="Q260" i="1"/>
  <c r="P260" i="1"/>
  <c r="R260" i="1" s="1"/>
  <c r="H260" i="1"/>
  <c r="A260" i="1"/>
  <c r="Y259" i="1"/>
  <c r="X259" i="1"/>
  <c r="V259" i="1"/>
  <c r="U259" i="1"/>
  <c r="W259" i="1" s="1"/>
  <c r="S259" i="1"/>
  <c r="Q259" i="1"/>
  <c r="P259" i="1"/>
  <c r="R259" i="1" s="1"/>
  <c r="T259" i="1" s="1"/>
  <c r="H259" i="1"/>
  <c r="A259" i="1"/>
  <c r="Y258" i="1"/>
  <c r="X258" i="1"/>
  <c r="W258" i="1"/>
  <c r="V258" i="1"/>
  <c r="U258" i="1"/>
  <c r="S258" i="1"/>
  <c r="Q258" i="1"/>
  <c r="P258" i="1"/>
  <c r="R258" i="1" s="1"/>
  <c r="H258" i="1"/>
  <c r="A258" i="1"/>
  <c r="Z257" i="1"/>
  <c r="Y257" i="1"/>
  <c r="X257" i="1"/>
  <c r="V257" i="1"/>
  <c r="U257" i="1"/>
  <c r="W257" i="1" s="1"/>
  <c r="T257" i="1"/>
  <c r="S257" i="1"/>
  <c r="R257" i="1"/>
  <c r="Q257" i="1"/>
  <c r="P257" i="1"/>
  <c r="H257" i="1"/>
  <c r="A257" i="1"/>
  <c r="Y256" i="1"/>
  <c r="X256" i="1"/>
  <c r="W256" i="1"/>
  <c r="V256" i="1"/>
  <c r="U256" i="1"/>
  <c r="S256" i="1"/>
  <c r="Q256" i="1"/>
  <c r="R256" i="1" s="1"/>
  <c r="P256" i="1"/>
  <c r="H256" i="1"/>
  <c r="A256" i="1"/>
  <c r="Z255" i="1"/>
  <c r="Y255" i="1"/>
  <c r="X255" i="1"/>
  <c r="V255" i="1"/>
  <c r="W255" i="1" s="1"/>
  <c r="U255" i="1"/>
  <c r="T255" i="1"/>
  <c r="S255" i="1"/>
  <c r="Q255" i="1"/>
  <c r="P255" i="1"/>
  <c r="R255" i="1" s="1"/>
  <c r="H255" i="1"/>
  <c r="A255" i="1"/>
  <c r="Y254" i="1"/>
  <c r="X254" i="1"/>
  <c r="V254" i="1"/>
  <c r="U254" i="1"/>
  <c r="W254" i="1" s="1"/>
  <c r="S254" i="1"/>
  <c r="Q254" i="1"/>
  <c r="R254" i="1" s="1"/>
  <c r="P254" i="1"/>
  <c r="H254" i="1"/>
  <c r="A254" i="1"/>
  <c r="Z253" i="1"/>
  <c r="Y253" i="1"/>
  <c r="X253" i="1"/>
  <c r="V253" i="1"/>
  <c r="W253" i="1" s="1"/>
  <c r="U253" i="1"/>
  <c r="S253" i="1"/>
  <c r="R253" i="1"/>
  <c r="T253" i="1" s="1"/>
  <c r="Q253" i="1"/>
  <c r="P253" i="1"/>
  <c r="H253" i="1"/>
  <c r="A253" i="1"/>
  <c r="Y252" i="1"/>
  <c r="X252" i="1"/>
  <c r="V252" i="1"/>
  <c r="U252" i="1"/>
  <c r="W252" i="1" s="1"/>
  <c r="S252" i="1"/>
  <c r="Q252" i="1"/>
  <c r="P252" i="1"/>
  <c r="R252" i="1" s="1"/>
  <c r="H252" i="1"/>
  <c r="A252" i="1"/>
  <c r="Z251" i="1"/>
  <c r="Y251" i="1"/>
  <c r="X251" i="1"/>
  <c r="V251" i="1"/>
  <c r="U251" i="1"/>
  <c r="W251" i="1" s="1"/>
  <c r="T251" i="1"/>
  <c r="S251" i="1"/>
  <c r="R251" i="1"/>
  <c r="Q251" i="1"/>
  <c r="P251" i="1"/>
  <c r="H251" i="1"/>
  <c r="A251" i="1"/>
  <c r="Y250" i="1"/>
  <c r="X250" i="1"/>
  <c r="W250" i="1"/>
  <c r="V250" i="1"/>
  <c r="U250" i="1"/>
  <c r="S250" i="1"/>
  <c r="Q250" i="1"/>
  <c r="P250" i="1"/>
  <c r="H250" i="1"/>
  <c r="A250" i="1"/>
  <c r="Z249" i="1"/>
  <c r="Y249" i="1"/>
  <c r="X249" i="1"/>
  <c r="V249" i="1"/>
  <c r="U249" i="1"/>
  <c r="W249" i="1" s="1"/>
  <c r="S249" i="1"/>
  <c r="R249" i="1"/>
  <c r="T249" i="1" s="1"/>
  <c r="Q249" i="1"/>
  <c r="P249" i="1"/>
  <c r="H249" i="1"/>
  <c r="A249" i="1"/>
  <c r="Y248" i="1"/>
  <c r="X248" i="1"/>
  <c r="V248" i="1"/>
  <c r="U248" i="1"/>
  <c r="W248" i="1" s="1"/>
  <c r="S248" i="1"/>
  <c r="Q248" i="1"/>
  <c r="R248" i="1" s="1"/>
  <c r="P248" i="1"/>
  <c r="H248" i="1"/>
  <c r="A248" i="1"/>
  <c r="Z247" i="1"/>
  <c r="Y247" i="1"/>
  <c r="X247" i="1"/>
  <c r="V247" i="1"/>
  <c r="W247" i="1" s="1"/>
  <c r="U247" i="1"/>
  <c r="S247" i="1"/>
  <c r="Q247" i="1"/>
  <c r="P247" i="1"/>
  <c r="R247" i="1" s="1"/>
  <c r="T247" i="1" s="1"/>
  <c r="H247" i="1"/>
  <c r="A247" i="1"/>
  <c r="Y246" i="1"/>
  <c r="X246" i="1"/>
  <c r="V246" i="1"/>
  <c r="U246" i="1"/>
  <c r="W246" i="1" s="1"/>
  <c r="S246" i="1"/>
  <c r="Q246" i="1"/>
  <c r="R246" i="1" s="1"/>
  <c r="P246" i="1"/>
  <c r="H246" i="1"/>
  <c r="A246" i="1"/>
  <c r="Z245" i="1"/>
  <c r="Y245" i="1"/>
  <c r="X245" i="1"/>
  <c r="V245" i="1"/>
  <c r="W245" i="1" s="1"/>
  <c r="U245" i="1"/>
  <c r="T245" i="1"/>
  <c r="S245" i="1"/>
  <c r="R245" i="1"/>
  <c r="Q245" i="1"/>
  <c r="P245" i="1"/>
  <c r="H245" i="1"/>
  <c r="A245" i="1"/>
  <c r="Y244" i="1"/>
  <c r="X244" i="1"/>
  <c r="V244" i="1"/>
  <c r="U244" i="1"/>
  <c r="W244" i="1" s="1"/>
  <c r="S244" i="1"/>
  <c r="Q244" i="1"/>
  <c r="P244" i="1"/>
  <c r="R244" i="1" s="1"/>
  <c r="H244" i="1"/>
  <c r="A244" i="1"/>
  <c r="Z243" i="1"/>
  <c r="Y243" i="1"/>
  <c r="X243" i="1"/>
  <c r="V243" i="1"/>
  <c r="U243" i="1"/>
  <c r="W243" i="1" s="1"/>
  <c r="T243" i="1"/>
  <c r="S243" i="1"/>
  <c r="R243" i="1"/>
  <c r="Q243" i="1"/>
  <c r="P243" i="1"/>
  <c r="H243" i="1"/>
  <c r="A243" i="1"/>
  <c r="Y242" i="1"/>
  <c r="X242" i="1"/>
  <c r="V242" i="1"/>
  <c r="W242" i="1" s="1"/>
  <c r="U242" i="1"/>
  <c r="S242" i="1"/>
  <c r="Q242" i="1"/>
  <c r="P242" i="1"/>
  <c r="R242" i="1" s="1"/>
  <c r="T242" i="1" s="1"/>
  <c r="H242" i="1"/>
  <c r="A242" i="1"/>
  <c r="Y241" i="1"/>
  <c r="X241" i="1"/>
  <c r="W241" i="1"/>
  <c r="V241" i="1"/>
  <c r="U241" i="1"/>
  <c r="S241" i="1"/>
  <c r="Q241" i="1"/>
  <c r="R241" i="1" s="1"/>
  <c r="P241" i="1"/>
  <c r="H241" i="1"/>
  <c r="A241" i="1"/>
  <c r="Z240" i="1"/>
  <c r="Y240" i="1"/>
  <c r="X240" i="1"/>
  <c r="V240" i="1"/>
  <c r="W240" i="1" s="1"/>
  <c r="U240" i="1"/>
  <c r="T240" i="1"/>
  <c r="S240" i="1"/>
  <c r="Q240" i="1"/>
  <c r="P240" i="1"/>
  <c r="R240" i="1" s="1"/>
  <c r="H240" i="1"/>
  <c r="A240" i="1"/>
  <c r="Y239" i="1"/>
  <c r="X239" i="1"/>
  <c r="W239" i="1"/>
  <c r="V239" i="1"/>
  <c r="U239" i="1"/>
  <c r="S239" i="1"/>
  <c r="Q239" i="1"/>
  <c r="P239" i="1"/>
  <c r="R239" i="1" s="1"/>
  <c r="H239" i="1"/>
  <c r="A239" i="1"/>
  <c r="Z238" i="1"/>
  <c r="Y238" i="1"/>
  <c r="X238" i="1"/>
  <c r="V238" i="1"/>
  <c r="U238" i="1"/>
  <c r="S238" i="1"/>
  <c r="R238" i="1"/>
  <c r="T238" i="1" s="1"/>
  <c r="Q238" i="1"/>
  <c r="P238" i="1"/>
  <c r="H238" i="1"/>
  <c r="A238" i="1"/>
  <c r="Y237" i="1"/>
  <c r="X237" i="1"/>
  <c r="W237" i="1"/>
  <c r="V237" i="1"/>
  <c r="U237" i="1"/>
  <c r="S237" i="1"/>
  <c r="Q237" i="1"/>
  <c r="P237" i="1"/>
  <c r="R237" i="1" s="1"/>
  <c r="H237" i="1"/>
  <c r="A237" i="1"/>
  <c r="Z236" i="1"/>
  <c r="Y236" i="1"/>
  <c r="X236" i="1"/>
  <c r="V236" i="1"/>
  <c r="U236" i="1"/>
  <c r="W236" i="1" s="1"/>
  <c r="S236" i="1"/>
  <c r="Q236" i="1"/>
  <c r="P236" i="1"/>
  <c r="R236" i="1" s="1"/>
  <c r="T236" i="1" s="1"/>
  <c r="H236" i="1"/>
  <c r="A236" i="1"/>
  <c r="Y235" i="1"/>
  <c r="X235" i="1"/>
  <c r="V235" i="1"/>
  <c r="U235" i="1"/>
  <c r="W235" i="1" s="1"/>
  <c r="S235" i="1"/>
  <c r="Q235" i="1"/>
  <c r="R235" i="1" s="1"/>
  <c r="P235" i="1"/>
  <c r="H235" i="1"/>
  <c r="A235" i="1"/>
  <c r="Z234" i="1"/>
  <c r="Y234" i="1"/>
  <c r="X234" i="1"/>
  <c r="V234" i="1"/>
  <c r="W234" i="1" s="1"/>
  <c r="U234" i="1"/>
  <c r="S234" i="1"/>
  <c r="Q234" i="1"/>
  <c r="P234" i="1"/>
  <c r="R234" i="1" s="1"/>
  <c r="T234" i="1" s="1"/>
  <c r="H234" i="1"/>
  <c r="A234" i="1"/>
  <c r="Y233" i="1"/>
  <c r="X233" i="1"/>
  <c r="W233" i="1"/>
  <c r="V233" i="1"/>
  <c r="U233" i="1"/>
  <c r="S233" i="1"/>
  <c r="Q233" i="1"/>
  <c r="R233" i="1" s="1"/>
  <c r="P233" i="1"/>
  <c r="H233" i="1"/>
  <c r="A233" i="1"/>
  <c r="Z232" i="1"/>
  <c r="Y232" i="1"/>
  <c r="X232" i="1"/>
  <c r="V232" i="1"/>
  <c r="W232" i="1" s="1"/>
  <c r="U232" i="1"/>
  <c r="T232" i="1"/>
  <c r="S232" i="1"/>
  <c r="Q232" i="1"/>
  <c r="P232" i="1"/>
  <c r="R232" i="1" s="1"/>
  <c r="H232" i="1"/>
  <c r="A232" i="1"/>
  <c r="Y231" i="1"/>
  <c r="X231" i="1"/>
  <c r="W231" i="1"/>
  <c r="V231" i="1"/>
  <c r="U231" i="1"/>
  <c r="S231" i="1"/>
  <c r="Q231" i="1"/>
  <c r="P231" i="1"/>
  <c r="R231" i="1" s="1"/>
  <c r="H231" i="1"/>
  <c r="A231" i="1"/>
  <c r="Z230" i="1"/>
  <c r="Y230" i="1"/>
  <c r="X230" i="1"/>
  <c r="V230" i="1"/>
  <c r="U230" i="1"/>
  <c r="S230" i="1"/>
  <c r="R230" i="1"/>
  <c r="T230" i="1" s="1"/>
  <c r="Q230" i="1"/>
  <c r="P230" i="1"/>
  <c r="H230" i="1"/>
  <c r="A230" i="1"/>
  <c r="Y229" i="1"/>
  <c r="X229" i="1"/>
  <c r="W229" i="1"/>
  <c r="V229" i="1"/>
  <c r="U229" i="1"/>
  <c r="S229" i="1"/>
  <c r="Q229" i="1"/>
  <c r="P229" i="1"/>
  <c r="R229" i="1" s="1"/>
  <c r="H229" i="1"/>
  <c r="A229" i="1"/>
  <c r="Z228" i="1"/>
  <c r="Y228" i="1"/>
  <c r="X228" i="1"/>
  <c r="V228" i="1"/>
  <c r="U228" i="1"/>
  <c r="W228" i="1" s="1"/>
  <c r="S228" i="1"/>
  <c r="Q228" i="1"/>
  <c r="P228" i="1"/>
  <c r="R228" i="1" s="1"/>
  <c r="T228" i="1" s="1"/>
  <c r="H228" i="1"/>
  <c r="A228" i="1"/>
  <c r="Y227" i="1"/>
  <c r="X227" i="1"/>
  <c r="V227" i="1"/>
  <c r="U227" i="1"/>
  <c r="W227" i="1" s="1"/>
  <c r="S227" i="1"/>
  <c r="Q227" i="1"/>
  <c r="R227" i="1" s="1"/>
  <c r="P227" i="1"/>
  <c r="H227" i="1"/>
  <c r="A227" i="1"/>
  <c r="Z226" i="1"/>
  <c r="Y226" i="1"/>
  <c r="X226" i="1"/>
  <c r="V226" i="1"/>
  <c r="W226" i="1" s="1"/>
  <c r="U226" i="1"/>
  <c r="S226" i="1"/>
  <c r="Q226" i="1"/>
  <c r="P226" i="1"/>
  <c r="R226" i="1" s="1"/>
  <c r="T226" i="1" s="1"/>
  <c r="H226" i="1"/>
  <c r="A226" i="1"/>
  <c r="Y225" i="1"/>
  <c r="X225" i="1"/>
  <c r="W225" i="1"/>
  <c r="V225" i="1"/>
  <c r="U225" i="1"/>
  <c r="S225" i="1"/>
  <c r="Q225" i="1"/>
  <c r="R225" i="1" s="1"/>
  <c r="P225" i="1"/>
  <c r="H225" i="1"/>
  <c r="A225" i="1"/>
  <c r="Z224" i="1"/>
  <c r="Y224" i="1"/>
  <c r="X224" i="1"/>
  <c r="V224" i="1"/>
  <c r="W224" i="1" s="1"/>
  <c r="U224" i="1"/>
  <c r="T224" i="1"/>
  <c r="S224" i="1"/>
  <c r="Q224" i="1"/>
  <c r="P224" i="1"/>
  <c r="R224" i="1" s="1"/>
  <c r="H224" i="1"/>
  <c r="A224" i="1"/>
  <c r="Y223" i="1"/>
  <c r="X223" i="1"/>
  <c r="W223" i="1"/>
  <c r="V223" i="1"/>
  <c r="U223" i="1"/>
  <c r="S223" i="1"/>
  <c r="Q223" i="1"/>
  <c r="P223" i="1"/>
  <c r="R223" i="1" s="1"/>
  <c r="H223" i="1"/>
  <c r="A223" i="1"/>
  <c r="Z222" i="1"/>
  <c r="Y222" i="1"/>
  <c r="X222" i="1"/>
  <c r="V222" i="1"/>
  <c r="U222" i="1"/>
  <c r="S222" i="1"/>
  <c r="R222" i="1"/>
  <c r="T222" i="1" s="1"/>
  <c r="Q222" i="1"/>
  <c r="P222" i="1"/>
  <c r="H222" i="1"/>
  <c r="A222" i="1"/>
  <c r="Y221" i="1"/>
  <c r="X221" i="1"/>
  <c r="W221" i="1"/>
  <c r="V221" i="1"/>
  <c r="U221" i="1"/>
  <c r="S221" i="1"/>
  <c r="Q221" i="1"/>
  <c r="P221" i="1"/>
  <c r="R221" i="1" s="1"/>
  <c r="H221" i="1"/>
  <c r="A221" i="1"/>
  <c r="Z220" i="1"/>
  <c r="Y220" i="1"/>
  <c r="X220" i="1"/>
  <c r="V220" i="1"/>
  <c r="U220" i="1"/>
  <c r="W220" i="1" s="1"/>
  <c r="S220" i="1"/>
  <c r="Q220" i="1"/>
  <c r="P220" i="1"/>
  <c r="R220" i="1" s="1"/>
  <c r="T220" i="1" s="1"/>
  <c r="H220" i="1"/>
  <c r="A220" i="1"/>
  <c r="Y219" i="1"/>
  <c r="X219" i="1"/>
  <c r="V219" i="1"/>
  <c r="U219" i="1"/>
  <c r="W219" i="1" s="1"/>
  <c r="S219" i="1"/>
  <c r="Q219" i="1"/>
  <c r="R219" i="1" s="1"/>
  <c r="P219" i="1"/>
  <c r="H219" i="1"/>
  <c r="A219" i="1"/>
  <c r="Z218" i="1"/>
  <c r="Y218" i="1"/>
  <c r="X218" i="1"/>
  <c r="V218" i="1"/>
  <c r="W218" i="1" s="1"/>
  <c r="U218" i="1"/>
  <c r="S218" i="1"/>
  <c r="Q218" i="1"/>
  <c r="P218" i="1"/>
  <c r="R218" i="1" s="1"/>
  <c r="T218" i="1" s="1"/>
  <c r="H218" i="1"/>
  <c r="A218" i="1"/>
  <c r="Y217" i="1"/>
  <c r="X217" i="1"/>
  <c r="W217" i="1"/>
  <c r="V217" i="1"/>
  <c r="U217" i="1"/>
  <c r="S217" i="1"/>
  <c r="Q217" i="1"/>
  <c r="R217" i="1" s="1"/>
  <c r="P217" i="1"/>
  <c r="H217" i="1"/>
  <c r="A217" i="1"/>
  <c r="Y216" i="1"/>
  <c r="X216" i="1"/>
  <c r="V216" i="1"/>
  <c r="U216" i="1"/>
  <c r="W216" i="1" s="1"/>
  <c r="S216" i="1"/>
  <c r="Q216" i="1"/>
  <c r="P216" i="1"/>
  <c r="H216" i="1"/>
  <c r="A216" i="1"/>
  <c r="Z215" i="1"/>
  <c r="Y215" i="1"/>
  <c r="X215" i="1"/>
  <c r="V215" i="1"/>
  <c r="U215" i="1"/>
  <c r="S215" i="1"/>
  <c r="Q215" i="1"/>
  <c r="P215" i="1"/>
  <c r="R215" i="1" s="1"/>
  <c r="T215" i="1" s="1"/>
  <c r="H215" i="1"/>
  <c r="A215" i="1"/>
  <c r="Y214" i="1"/>
  <c r="X214" i="1"/>
  <c r="W214" i="1"/>
  <c r="V214" i="1"/>
  <c r="U214" i="1"/>
  <c r="S214" i="1"/>
  <c r="Q214" i="1"/>
  <c r="R214" i="1" s="1"/>
  <c r="P214" i="1"/>
  <c r="H214" i="1"/>
  <c r="A214" i="1"/>
  <c r="Z213" i="1"/>
  <c r="Y213" i="1"/>
  <c r="X213" i="1"/>
  <c r="V213" i="1"/>
  <c r="W213" i="1" s="1"/>
  <c r="U213" i="1"/>
  <c r="T213" i="1"/>
  <c r="S213" i="1"/>
  <c r="Q213" i="1"/>
  <c r="P213" i="1"/>
  <c r="R213" i="1" s="1"/>
  <c r="H213" i="1"/>
  <c r="A213" i="1"/>
  <c r="Y212" i="1"/>
  <c r="X212" i="1"/>
  <c r="W212" i="1"/>
  <c r="V212" i="1"/>
  <c r="U212" i="1"/>
  <c r="S212" i="1"/>
  <c r="Q212" i="1"/>
  <c r="R212" i="1" s="1"/>
  <c r="P212" i="1"/>
  <c r="H212" i="1"/>
  <c r="A212" i="1"/>
  <c r="Y211" i="1"/>
  <c r="X211" i="1"/>
  <c r="W211" i="1"/>
  <c r="V211" i="1"/>
  <c r="U211" i="1"/>
  <c r="S211" i="1"/>
  <c r="Q211" i="1"/>
  <c r="P211" i="1"/>
  <c r="H211" i="1"/>
  <c r="A211" i="1"/>
  <c r="Z210" i="1"/>
  <c r="Y210" i="1"/>
  <c r="X210" i="1"/>
  <c r="V210" i="1"/>
  <c r="U210" i="1"/>
  <c r="W210" i="1" s="1"/>
  <c r="T210" i="1"/>
  <c r="S210" i="1"/>
  <c r="Q210" i="1"/>
  <c r="P210" i="1"/>
  <c r="R210" i="1" s="1"/>
  <c r="H210" i="1"/>
  <c r="A210" i="1"/>
  <c r="Y209" i="1"/>
  <c r="X209" i="1"/>
  <c r="W209" i="1"/>
  <c r="V209" i="1"/>
  <c r="U209" i="1"/>
  <c r="S209" i="1"/>
  <c r="Q209" i="1"/>
  <c r="R209" i="1" s="1"/>
  <c r="P209" i="1"/>
  <c r="H209" i="1"/>
  <c r="A209" i="1"/>
  <c r="Z208" i="1"/>
  <c r="Y208" i="1"/>
  <c r="X208" i="1"/>
  <c r="V208" i="1"/>
  <c r="W208" i="1" s="1"/>
  <c r="U208" i="1"/>
  <c r="S208" i="1"/>
  <c r="R208" i="1"/>
  <c r="T208" i="1" s="1"/>
  <c r="Q208" i="1"/>
  <c r="P208" i="1"/>
  <c r="H208" i="1"/>
  <c r="A208" i="1"/>
  <c r="Y207" i="1"/>
  <c r="X207" i="1"/>
  <c r="W207" i="1"/>
  <c r="V207" i="1"/>
  <c r="U207" i="1"/>
  <c r="S207" i="1"/>
  <c r="Q207" i="1"/>
  <c r="R207" i="1" s="1"/>
  <c r="P207" i="1"/>
  <c r="H207" i="1"/>
  <c r="A207" i="1"/>
  <c r="Z206" i="1"/>
  <c r="Y206" i="1"/>
  <c r="X206" i="1"/>
  <c r="V206" i="1"/>
  <c r="W206" i="1" s="1"/>
  <c r="U206" i="1"/>
  <c r="S206" i="1"/>
  <c r="Q206" i="1"/>
  <c r="P206" i="1"/>
  <c r="R206" i="1" s="1"/>
  <c r="T206" i="1" s="1"/>
  <c r="H206" i="1"/>
  <c r="A206" i="1"/>
  <c r="Y205" i="1"/>
  <c r="X205" i="1"/>
  <c r="V205" i="1"/>
  <c r="U205" i="1"/>
  <c r="W205" i="1" s="1"/>
  <c r="S205" i="1"/>
  <c r="Q205" i="1"/>
  <c r="P205" i="1"/>
  <c r="H205" i="1"/>
  <c r="A205" i="1"/>
  <c r="Z204" i="1"/>
  <c r="Y204" i="1"/>
  <c r="X204" i="1"/>
  <c r="V204" i="1"/>
  <c r="U204" i="1"/>
  <c r="S204" i="1"/>
  <c r="Q204" i="1"/>
  <c r="P204" i="1"/>
  <c r="R204" i="1" s="1"/>
  <c r="T204" i="1" s="1"/>
  <c r="H204" i="1"/>
  <c r="A204" i="1"/>
  <c r="Y203" i="1"/>
  <c r="X203" i="1"/>
  <c r="V203" i="1"/>
  <c r="W203" i="1" s="1"/>
  <c r="U203" i="1"/>
  <c r="S203" i="1"/>
  <c r="Q203" i="1"/>
  <c r="P203" i="1"/>
  <c r="H203" i="1"/>
  <c r="A203" i="1"/>
  <c r="Z202" i="1"/>
  <c r="Y202" i="1"/>
  <c r="X202" i="1"/>
  <c r="V202" i="1"/>
  <c r="U202" i="1"/>
  <c r="W202" i="1" s="1"/>
  <c r="T202" i="1"/>
  <c r="S202" i="1"/>
  <c r="Q202" i="1"/>
  <c r="P202" i="1"/>
  <c r="R202" i="1" s="1"/>
  <c r="H202" i="1"/>
  <c r="A202" i="1"/>
  <c r="Z201" i="1"/>
  <c r="Y201" i="1"/>
  <c r="X201" i="1"/>
  <c r="V201" i="1"/>
  <c r="U201" i="1"/>
  <c r="W201" i="1" s="1"/>
  <c r="S201" i="1"/>
  <c r="Q201" i="1"/>
  <c r="P201" i="1"/>
  <c r="H201" i="1"/>
  <c r="A201" i="1"/>
  <c r="Y200" i="1"/>
  <c r="X200" i="1"/>
  <c r="V200" i="1"/>
  <c r="U200" i="1"/>
  <c r="S200" i="1"/>
  <c r="R200" i="1"/>
  <c r="Q200" i="1"/>
  <c r="P200" i="1"/>
  <c r="H200" i="1"/>
  <c r="T200" i="1" s="1"/>
  <c r="A200" i="1"/>
  <c r="Z199" i="1"/>
  <c r="Y199" i="1"/>
  <c r="X199" i="1"/>
  <c r="W199" i="1"/>
  <c r="V199" i="1"/>
  <c r="U199" i="1"/>
  <c r="S199" i="1"/>
  <c r="R199" i="1"/>
  <c r="T199" i="1" s="1"/>
  <c r="Q199" i="1"/>
  <c r="P199" i="1"/>
  <c r="H199" i="1"/>
  <c r="A199" i="1"/>
  <c r="Y198" i="1"/>
  <c r="X198" i="1"/>
  <c r="W198" i="1"/>
  <c r="V198" i="1"/>
  <c r="U198" i="1"/>
  <c r="S198" i="1"/>
  <c r="Q198" i="1"/>
  <c r="P198" i="1"/>
  <c r="R198" i="1" s="1"/>
  <c r="H198" i="1"/>
  <c r="A198" i="1"/>
  <c r="Y197" i="1"/>
  <c r="X197" i="1"/>
  <c r="V197" i="1"/>
  <c r="U197" i="1"/>
  <c r="W197" i="1" s="1"/>
  <c r="S197" i="1"/>
  <c r="Q197" i="1"/>
  <c r="P197" i="1"/>
  <c r="H197" i="1"/>
  <c r="Z197" i="1" s="1"/>
  <c r="A197" i="1"/>
  <c r="Z196" i="1"/>
  <c r="Y196" i="1"/>
  <c r="X196" i="1"/>
  <c r="V196" i="1"/>
  <c r="U196" i="1"/>
  <c r="S196" i="1"/>
  <c r="Q196" i="1"/>
  <c r="P196" i="1"/>
  <c r="R196" i="1" s="1"/>
  <c r="T196" i="1" s="1"/>
  <c r="H196" i="1"/>
  <c r="A196" i="1"/>
  <c r="Y195" i="1"/>
  <c r="X195" i="1"/>
  <c r="V195" i="1"/>
  <c r="W195" i="1" s="1"/>
  <c r="U195" i="1"/>
  <c r="S195" i="1"/>
  <c r="Q195" i="1"/>
  <c r="P195" i="1"/>
  <c r="R195" i="1" s="1"/>
  <c r="H195" i="1"/>
  <c r="A195" i="1"/>
  <c r="Z194" i="1"/>
  <c r="Y194" i="1"/>
  <c r="X194" i="1"/>
  <c r="V194" i="1"/>
  <c r="U194" i="1"/>
  <c r="W194" i="1" s="1"/>
  <c r="T194" i="1"/>
  <c r="S194" i="1"/>
  <c r="Q194" i="1"/>
  <c r="P194" i="1"/>
  <c r="R194" i="1" s="1"/>
  <c r="H194" i="1"/>
  <c r="A194" i="1"/>
  <c r="Z193" i="1"/>
  <c r="Y193" i="1"/>
  <c r="X193" i="1"/>
  <c r="V193" i="1"/>
  <c r="U193" i="1"/>
  <c r="W193" i="1" s="1"/>
  <c r="S193" i="1"/>
  <c r="Q193" i="1"/>
  <c r="P193" i="1"/>
  <c r="R193" i="1" s="1"/>
  <c r="H193" i="1"/>
  <c r="A193" i="1"/>
  <c r="Y192" i="1"/>
  <c r="X192" i="1"/>
  <c r="V192" i="1"/>
  <c r="U192" i="1"/>
  <c r="S192" i="1"/>
  <c r="Q192" i="1"/>
  <c r="R192" i="1" s="1"/>
  <c r="P192" i="1"/>
  <c r="H192" i="1"/>
  <c r="T192" i="1" s="1"/>
  <c r="A192" i="1"/>
  <c r="Z191" i="1"/>
  <c r="Y191" i="1"/>
  <c r="X191" i="1"/>
  <c r="V191" i="1"/>
  <c r="W191" i="1" s="1"/>
  <c r="U191" i="1"/>
  <c r="S191" i="1"/>
  <c r="R191" i="1"/>
  <c r="T191" i="1" s="1"/>
  <c r="Q191" i="1"/>
  <c r="P191" i="1"/>
  <c r="H191" i="1"/>
  <c r="A191" i="1"/>
  <c r="Y190" i="1"/>
  <c r="X190" i="1"/>
  <c r="W190" i="1"/>
  <c r="V190" i="1"/>
  <c r="U190" i="1"/>
  <c r="S190" i="1"/>
  <c r="Q190" i="1"/>
  <c r="P190" i="1"/>
  <c r="R190" i="1" s="1"/>
  <c r="H190" i="1"/>
  <c r="A190" i="1"/>
  <c r="Y189" i="1"/>
  <c r="X189" i="1"/>
  <c r="V189" i="1"/>
  <c r="U189" i="1"/>
  <c r="W189" i="1" s="1"/>
  <c r="T189" i="1"/>
  <c r="S189" i="1"/>
  <c r="Q189" i="1"/>
  <c r="P189" i="1"/>
  <c r="R189" i="1" s="1"/>
  <c r="H189" i="1"/>
  <c r="Z189" i="1" s="1"/>
  <c r="A189" i="1"/>
  <c r="Z188" i="1"/>
  <c r="Y188" i="1"/>
  <c r="X188" i="1"/>
  <c r="V188" i="1"/>
  <c r="U188" i="1"/>
  <c r="W188" i="1" s="1"/>
  <c r="S188" i="1"/>
  <c r="Q188" i="1"/>
  <c r="R188" i="1" s="1"/>
  <c r="T188" i="1" s="1"/>
  <c r="P188" i="1"/>
  <c r="H188" i="1"/>
  <c r="A188" i="1"/>
  <c r="Y187" i="1"/>
  <c r="X187" i="1"/>
  <c r="W187" i="1"/>
  <c r="V187" i="1"/>
  <c r="U187" i="1"/>
  <c r="S187" i="1"/>
  <c r="Q187" i="1"/>
  <c r="P187" i="1"/>
  <c r="R187" i="1" s="1"/>
  <c r="H187" i="1"/>
  <c r="A187" i="1"/>
  <c r="Z186" i="1"/>
  <c r="Y186" i="1"/>
  <c r="X186" i="1"/>
  <c r="V186" i="1"/>
  <c r="U186" i="1"/>
  <c r="W186" i="1" s="1"/>
  <c r="T186" i="1"/>
  <c r="S186" i="1"/>
  <c r="R186" i="1"/>
  <c r="Q186" i="1"/>
  <c r="P186" i="1"/>
  <c r="H186" i="1"/>
  <c r="A186" i="1"/>
  <c r="Z185" i="1"/>
  <c r="Y185" i="1"/>
  <c r="X185" i="1"/>
  <c r="W185" i="1"/>
  <c r="V185" i="1"/>
  <c r="U185" i="1"/>
  <c r="S185" i="1"/>
  <c r="Q185" i="1"/>
  <c r="P185" i="1"/>
  <c r="H185" i="1"/>
  <c r="A185" i="1"/>
  <c r="Y184" i="1"/>
  <c r="X184" i="1"/>
  <c r="V184" i="1"/>
  <c r="U184" i="1"/>
  <c r="W184" i="1" s="1"/>
  <c r="S184" i="1"/>
  <c r="Q184" i="1"/>
  <c r="R184" i="1" s="1"/>
  <c r="P184" i="1"/>
  <c r="H184" i="1"/>
  <c r="A184" i="1"/>
  <c r="Z183" i="1"/>
  <c r="Y183" i="1"/>
  <c r="X183" i="1"/>
  <c r="V183" i="1"/>
  <c r="W183" i="1" s="1"/>
  <c r="U183" i="1"/>
  <c r="S183" i="1"/>
  <c r="R183" i="1"/>
  <c r="Q183" i="1"/>
  <c r="P183" i="1"/>
  <c r="H183" i="1"/>
  <c r="A183" i="1"/>
  <c r="Y182" i="1"/>
  <c r="X182" i="1"/>
  <c r="W182" i="1"/>
  <c r="V182" i="1"/>
  <c r="U182" i="1"/>
  <c r="S182" i="1"/>
  <c r="Q182" i="1"/>
  <c r="P182" i="1"/>
  <c r="R182" i="1" s="1"/>
  <c r="H182" i="1"/>
  <c r="A182" i="1"/>
  <c r="Y181" i="1"/>
  <c r="X181" i="1"/>
  <c r="V181" i="1"/>
  <c r="U181" i="1"/>
  <c r="W181" i="1" s="1"/>
  <c r="S181" i="1"/>
  <c r="Q181" i="1"/>
  <c r="P181" i="1"/>
  <c r="R181" i="1" s="1"/>
  <c r="T181" i="1" s="1"/>
  <c r="H181" i="1"/>
  <c r="Z181" i="1" s="1"/>
  <c r="A181" i="1"/>
  <c r="Z180" i="1"/>
  <c r="Y180" i="1"/>
  <c r="X180" i="1"/>
  <c r="V180" i="1"/>
  <c r="U180" i="1"/>
  <c r="W180" i="1" s="1"/>
  <c r="S180" i="1"/>
  <c r="R180" i="1"/>
  <c r="T180" i="1" s="1"/>
  <c r="Q180" i="1"/>
  <c r="P180" i="1"/>
  <c r="H180" i="1"/>
  <c r="A180" i="1"/>
  <c r="Y179" i="1"/>
  <c r="X179" i="1"/>
  <c r="V179" i="1"/>
  <c r="W179" i="1" s="1"/>
  <c r="U179" i="1"/>
  <c r="S179" i="1"/>
  <c r="Q179" i="1"/>
  <c r="P179" i="1"/>
  <c r="R179" i="1" s="1"/>
  <c r="H179" i="1"/>
  <c r="A179" i="1"/>
  <c r="Z178" i="1"/>
  <c r="Y178" i="1"/>
  <c r="X178" i="1"/>
  <c r="V178" i="1"/>
  <c r="U178" i="1"/>
  <c r="W178" i="1" s="1"/>
  <c r="S178" i="1"/>
  <c r="T178" i="1" s="1"/>
  <c r="R178" i="1"/>
  <c r="Q178" i="1"/>
  <c r="P178" i="1"/>
  <c r="H178" i="1"/>
  <c r="A178" i="1"/>
  <c r="Z177" i="1"/>
  <c r="Y177" i="1"/>
  <c r="X177" i="1"/>
  <c r="W177" i="1"/>
  <c r="V177" i="1"/>
  <c r="U177" i="1"/>
  <c r="S177" i="1"/>
  <c r="Q177" i="1"/>
  <c r="P177" i="1"/>
  <c r="R177" i="1" s="1"/>
  <c r="H177" i="1"/>
  <c r="A177" i="1"/>
  <c r="Y176" i="1"/>
  <c r="X176" i="1"/>
  <c r="V176" i="1"/>
  <c r="U176" i="1"/>
  <c r="S176" i="1"/>
  <c r="Q176" i="1"/>
  <c r="R176" i="1" s="1"/>
  <c r="P176" i="1"/>
  <c r="H176" i="1"/>
  <c r="T176" i="1" s="1"/>
  <c r="A176" i="1"/>
  <c r="Z175" i="1"/>
  <c r="Y175" i="1"/>
  <c r="X175" i="1"/>
  <c r="V175" i="1"/>
  <c r="W175" i="1" s="1"/>
  <c r="U175" i="1"/>
  <c r="S175" i="1"/>
  <c r="R175" i="1"/>
  <c r="T175" i="1" s="1"/>
  <c r="Q175" i="1"/>
  <c r="P175" i="1"/>
  <c r="H175" i="1"/>
  <c r="A175" i="1"/>
  <c r="Y174" i="1"/>
  <c r="X174" i="1"/>
  <c r="W174" i="1"/>
  <c r="V174" i="1"/>
  <c r="U174" i="1"/>
  <c r="S174" i="1"/>
  <c r="Q174" i="1"/>
  <c r="P174" i="1"/>
  <c r="R174" i="1" s="1"/>
  <c r="H174" i="1"/>
  <c r="A174" i="1"/>
  <c r="Y173" i="1"/>
  <c r="X173" i="1"/>
  <c r="V173" i="1"/>
  <c r="U173" i="1"/>
  <c r="W173" i="1" s="1"/>
  <c r="T173" i="1"/>
  <c r="S173" i="1"/>
  <c r="Q173" i="1"/>
  <c r="P173" i="1"/>
  <c r="R173" i="1" s="1"/>
  <c r="H173" i="1"/>
  <c r="Z173" i="1" s="1"/>
  <c r="A173" i="1"/>
  <c r="Z172" i="1"/>
  <c r="Y172" i="1"/>
  <c r="X172" i="1"/>
  <c r="V172" i="1"/>
  <c r="U172" i="1"/>
  <c r="W172" i="1" s="1"/>
  <c r="S172" i="1"/>
  <c r="Q172" i="1"/>
  <c r="R172" i="1" s="1"/>
  <c r="T172" i="1" s="1"/>
  <c r="P172" i="1"/>
  <c r="H172" i="1"/>
  <c r="A172" i="1"/>
  <c r="Y171" i="1"/>
  <c r="X171" i="1"/>
  <c r="W171" i="1"/>
  <c r="V171" i="1"/>
  <c r="U171" i="1"/>
  <c r="S171" i="1"/>
  <c r="Q171" i="1"/>
  <c r="P171" i="1"/>
  <c r="R171" i="1" s="1"/>
  <c r="H171" i="1"/>
  <c r="A171" i="1"/>
  <c r="Y170" i="1"/>
  <c r="X170" i="1"/>
  <c r="V170" i="1"/>
  <c r="W170" i="1" s="1"/>
  <c r="U170" i="1"/>
  <c r="S170" i="1"/>
  <c r="T170" i="1" s="1"/>
  <c r="R170" i="1"/>
  <c r="Q170" i="1"/>
  <c r="P170" i="1"/>
  <c r="H170" i="1"/>
  <c r="A170" i="1"/>
  <c r="Y169" i="1"/>
  <c r="X169" i="1"/>
  <c r="W169" i="1"/>
  <c r="V169" i="1"/>
  <c r="U169" i="1"/>
  <c r="S169" i="1"/>
  <c r="Q169" i="1"/>
  <c r="P169" i="1"/>
  <c r="R169" i="1" s="1"/>
  <c r="H169" i="1"/>
  <c r="A169" i="1"/>
  <c r="Y168" i="1"/>
  <c r="X168" i="1"/>
  <c r="V168" i="1"/>
  <c r="U168" i="1"/>
  <c r="W168" i="1" s="1"/>
  <c r="S168" i="1"/>
  <c r="Q168" i="1"/>
  <c r="P168" i="1"/>
  <c r="R168" i="1" s="1"/>
  <c r="T168" i="1" s="1"/>
  <c r="H168" i="1"/>
  <c r="Z168" i="1" s="1"/>
  <c r="A168" i="1"/>
  <c r="Z167" i="1"/>
  <c r="Y167" i="1"/>
  <c r="X167" i="1"/>
  <c r="V167" i="1"/>
  <c r="U167" i="1"/>
  <c r="W167" i="1" s="1"/>
  <c r="S167" i="1"/>
  <c r="R167" i="1"/>
  <c r="T167" i="1" s="1"/>
  <c r="Q167" i="1"/>
  <c r="P167" i="1"/>
  <c r="H167" i="1"/>
  <c r="A167" i="1"/>
  <c r="Y166" i="1"/>
  <c r="X166" i="1"/>
  <c r="V166" i="1"/>
  <c r="W166" i="1" s="1"/>
  <c r="U166" i="1"/>
  <c r="S166" i="1"/>
  <c r="Q166" i="1"/>
  <c r="R166" i="1" s="1"/>
  <c r="P166" i="1"/>
  <c r="H166" i="1"/>
  <c r="T166" i="1" s="1"/>
  <c r="A166" i="1"/>
  <c r="Z165" i="1"/>
  <c r="Y165" i="1"/>
  <c r="X165" i="1"/>
  <c r="V165" i="1"/>
  <c r="W165" i="1" s="1"/>
  <c r="U165" i="1"/>
  <c r="S165" i="1"/>
  <c r="R165" i="1"/>
  <c r="T165" i="1" s="1"/>
  <c r="Q165" i="1"/>
  <c r="P165" i="1"/>
  <c r="H165" i="1"/>
  <c r="A165" i="1"/>
  <c r="Y164" i="1"/>
  <c r="X164" i="1"/>
  <c r="W164" i="1"/>
  <c r="V164" i="1"/>
  <c r="U164" i="1"/>
  <c r="S164" i="1"/>
  <c r="Q164" i="1"/>
  <c r="P164" i="1"/>
  <c r="H164" i="1"/>
  <c r="A164" i="1"/>
  <c r="Y163" i="1"/>
  <c r="X163" i="1"/>
  <c r="V163" i="1"/>
  <c r="U163" i="1"/>
  <c r="W163" i="1" s="1"/>
  <c r="S163" i="1"/>
  <c r="Q163" i="1"/>
  <c r="P163" i="1"/>
  <c r="R163" i="1" s="1"/>
  <c r="T163" i="1" s="1"/>
  <c r="H163" i="1"/>
  <c r="Z163" i="1" s="1"/>
  <c r="A163" i="1"/>
  <c r="Z162" i="1"/>
  <c r="Y162" i="1"/>
  <c r="X162" i="1"/>
  <c r="V162" i="1"/>
  <c r="U162" i="1"/>
  <c r="W162" i="1" s="1"/>
  <c r="S162" i="1"/>
  <c r="Q162" i="1"/>
  <c r="R162" i="1" s="1"/>
  <c r="T162" i="1" s="1"/>
  <c r="P162" i="1"/>
  <c r="H162" i="1"/>
  <c r="A162" i="1"/>
  <c r="Y161" i="1"/>
  <c r="X161" i="1"/>
  <c r="V161" i="1"/>
  <c r="W161" i="1" s="1"/>
  <c r="U161" i="1"/>
  <c r="S161" i="1"/>
  <c r="Q161" i="1"/>
  <c r="P161" i="1"/>
  <c r="R161" i="1" s="1"/>
  <c r="H161" i="1"/>
  <c r="A161" i="1"/>
  <c r="Z160" i="1"/>
  <c r="Y160" i="1"/>
  <c r="X160" i="1"/>
  <c r="V160" i="1"/>
  <c r="U160" i="1"/>
  <c r="W160" i="1" s="1"/>
  <c r="T160" i="1"/>
  <c r="S160" i="1"/>
  <c r="R160" i="1"/>
  <c r="Q160" i="1"/>
  <c r="P160" i="1"/>
  <c r="H160" i="1"/>
  <c r="A160" i="1"/>
  <c r="Z159" i="1"/>
  <c r="Y159" i="1"/>
  <c r="X159" i="1"/>
  <c r="W159" i="1"/>
  <c r="V159" i="1"/>
  <c r="U159" i="1"/>
  <c r="S159" i="1"/>
  <c r="Q159" i="1"/>
  <c r="R159" i="1" s="1"/>
  <c r="P159" i="1"/>
  <c r="H159" i="1"/>
  <c r="A159" i="1"/>
  <c r="Y158" i="1"/>
  <c r="X158" i="1"/>
  <c r="W158" i="1"/>
  <c r="V158" i="1"/>
  <c r="U158" i="1"/>
  <c r="S158" i="1"/>
  <c r="Q158" i="1"/>
  <c r="R158" i="1" s="1"/>
  <c r="P158" i="1"/>
  <c r="H158" i="1"/>
  <c r="A158" i="1"/>
  <c r="Z157" i="1"/>
  <c r="Y157" i="1"/>
  <c r="X157" i="1"/>
  <c r="V157" i="1"/>
  <c r="W157" i="1" s="1"/>
  <c r="U157" i="1"/>
  <c r="S157" i="1"/>
  <c r="R157" i="1"/>
  <c r="T157" i="1" s="1"/>
  <c r="Q157" i="1"/>
  <c r="P157" i="1"/>
  <c r="H157" i="1"/>
  <c r="A157" i="1"/>
  <c r="Y156" i="1"/>
  <c r="X156" i="1"/>
  <c r="W156" i="1"/>
  <c r="V156" i="1"/>
  <c r="U156" i="1"/>
  <c r="S156" i="1"/>
  <c r="Q156" i="1"/>
  <c r="P156" i="1"/>
  <c r="H156" i="1"/>
  <c r="A156" i="1"/>
  <c r="Y155" i="1"/>
  <c r="X155" i="1"/>
  <c r="V155" i="1"/>
  <c r="U155" i="1"/>
  <c r="T155" i="1"/>
  <c r="S155" i="1"/>
  <c r="Q155" i="1"/>
  <c r="P155" i="1"/>
  <c r="R155" i="1" s="1"/>
  <c r="H155" i="1"/>
  <c r="Z155" i="1" s="1"/>
  <c r="A155" i="1"/>
  <c r="Z154" i="1"/>
  <c r="Y154" i="1"/>
  <c r="X154" i="1"/>
  <c r="V154" i="1"/>
  <c r="U154" i="1"/>
  <c r="W154" i="1" s="1"/>
  <c r="S154" i="1"/>
  <c r="Q154" i="1"/>
  <c r="P154" i="1"/>
  <c r="R154" i="1" s="1"/>
  <c r="T154" i="1" s="1"/>
  <c r="H154" i="1"/>
  <c r="A154" i="1"/>
  <c r="Y153" i="1"/>
  <c r="X153" i="1"/>
  <c r="V153" i="1"/>
  <c r="U153" i="1"/>
  <c r="W153" i="1" s="1"/>
  <c r="T153" i="1"/>
  <c r="S153" i="1"/>
  <c r="Q153" i="1"/>
  <c r="R153" i="1" s="1"/>
  <c r="P153" i="1"/>
  <c r="H153" i="1"/>
  <c r="A153" i="1"/>
  <c r="Z152" i="1"/>
  <c r="Y152" i="1"/>
  <c r="X152" i="1"/>
  <c r="V152" i="1"/>
  <c r="W152" i="1" s="1"/>
  <c r="U152" i="1"/>
  <c r="S152" i="1"/>
  <c r="R152" i="1"/>
  <c r="T152" i="1" s="1"/>
  <c r="Q152" i="1"/>
  <c r="P152" i="1"/>
  <c r="H152" i="1"/>
  <c r="A152" i="1"/>
  <c r="Y151" i="1"/>
  <c r="X151" i="1"/>
  <c r="V151" i="1"/>
  <c r="W151" i="1" s="1"/>
  <c r="U151" i="1"/>
  <c r="S151" i="1"/>
  <c r="Q151" i="1"/>
  <c r="P151" i="1"/>
  <c r="H151" i="1"/>
  <c r="A151" i="1"/>
  <c r="Y150" i="1"/>
  <c r="X150" i="1"/>
  <c r="V150" i="1"/>
  <c r="U150" i="1"/>
  <c r="W150" i="1" s="1"/>
  <c r="T150" i="1"/>
  <c r="S150" i="1"/>
  <c r="Q150" i="1"/>
  <c r="P150" i="1"/>
  <c r="R150" i="1" s="1"/>
  <c r="H150" i="1"/>
  <c r="Z150" i="1" s="1"/>
  <c r="A150" i="1"/>
  <c r="Z149" i="1"/>
  <c r="Y149" i="1"/>
  <c r="X149" i="1"/>
  <c r="V149" i="1"/>
  <c r="U149" i="1"/>
  <c r="W149" i="1" s="1"/>
  <c r="S149" i="1"/>
  <c r="Q149" i="1"/>
  <c r="P149" i="1"/>
  <c r="R149" i="1" s="1"/>
  <c r="T149" i="1" s="1"/>
  <c r="H149" i="1"/>
  <c r="A149" i="1"/>
  <c r="Y148" i="1"/>
  <c r="X148" i="1"/>
  <c r="V148" i="1"/>
  <c r="U148" i="1"/>
  <c r="W148" i="1" s="1"/>
  <c r="S148" i="1"/>
  <c r="Q148" i="1"/>
  <c r="P148" i="1"/>
  <c r="R148" i="1" s="1"/>
  <c r="H148" i="1"/>
  <c r="A148" i="1"/>
  <c r="Y147" i="1"/>
  <c r="X147" i="1"/>
  <c r="V147" i="1"/>
  <c r="W147" i="1" s="1"/>
  <c r="U147" i="1"/>
  <c r="S147" i="1"/>
  <c r="Q147" i="1"/>
  <c r="R147" i="1" s="1"/>
  <c r="P147" i="1"/>
  <c r="H147" i="1"/>
  <c r="A147" i="1"/>
  <c r="Y146" i="1"/>
  <c r="X146" i="1"/>
  <c r="W146" i="1"/>
  <c r="V146" i="1"/>
  <c r="U146" i="1"/>
  <c r="S146" i="1"/>
  <c r="Q146" i="1"/>
  <c r="P146" i="1"/>
  <c r="R146" i="1" s="1"/>
  <c r="H146" i="1"/>
  <c r="A146" i="1"/>
  <c r="Y145" i="1"/>
  <c r="X145" i="1"/>
  <c r="V145" i="1"/>
  <c r="U145" i="1"/>
  <c r="S145" i="1"/>
  <c r="Q145" i="1"/>
  <c r="P145" i="1"/>
  <c r="R145" i="1" s="1"/>
  <c r="T145" i="1" s="1"/>
  <c r="H145" i="1"/>
  <c r="Z145" i="1" s="1"/>
  <c r="A145" i="1"/>
  <c r="Z144" i="1"/>
  <c r="Y144" i="1"/>
  <c r="X144" i="1"/>
  <c r="V144" i="1"/>
  <c r="U144" i="1"/>
  <c r="W144" i="1" s="1"/>
  <c r="S144" i="1"/>
  <c r="R144" i="1"/>
  <c r="T144" i="1" s="1"/>
  <c r="Q144" i="1"/>
  <c r="P144" i="1"/>
  <c r="H144" i="1"/>
  <c r="A144" i="1"/>
  <c r="Y143" i="1"/>
  <c r="X143" i="1"/>
  <c r="V143" i="1"/>
  <c r="W143" i="1" s="1"/>
  <c r="U143" i="1"/>
  <c r="S143" i="1"/>
  <c r="Q143" i="1"/>
  <c r="P143" i="1"/>
  <c r="R143" i="1" s="1"/>
  <c r="H143" i="1"/>
  <c r="A143" i="1"/>
  <c r="Z142" i="1"/>
  <c r="Y142" i="1"/>
  <c r="X142" i="1"/>
  <c r="V142" i="1"/>
  <c r="U142" i="1"/>
  <c r="W142" i="1" s="1"/>
  <c r="S142" i="1"/>
  <c r="R142" i="1"/>
  <c r="T142" i="1" s="1"/>
  <c r="Q142" i="1"/>
  <c r="P142" i="1"/>
  <c r="H142" i="1"/>
  <c r="A142" i="1"/>
  <c r="Y141" i="1"/>
  <c r="X141" i="1"/>
  <c r="W141" i="1"/>
  <c r="V141" i="1"/>
  <c r="U141" i="1"/>
  <c r="S141" i="1"/>
  <c r="Q141" i="1"/>
  <c r="P141" i="1"/>
  <c r="R141" i="1" s="1"/>
  <c r="H141" i="1"/>
  <c r="A141" i="1"/>
  <c r="Y140" i="1"/>
  <c r="X140" i="1"/>
  <c r="V140" i="1"/>
  <c r="U140" i="1"/>
  <c r="W140" i="1" s="1"/>
  <c r="T140" i="1"/>
  <c r="S140" i="1"/>
  <c r="Q140" i="1"/>
  <c r="R140" i="1" s="1"/>
  <c r="P140" i="1"/>
  <c r="H140" i="1"/>
  <c r="Z140" i="1" s="1"/>
  <c r="A140" i="1"/>
  <c r="Z139" i="1"/>
  <c r="Y139" i="1"/>
  <c r="X139" i="1"/>
  <c r="V139" i="1"/>
  <c r="W139" i="1" s="1"/>
  <c r="U139" i="1"/>
  <c r="S139" i="1"/>
  <c r="Q139" i="1"/>
  <c r="R139" i="1" s="1"/>
  <c r="T139" i="1" s="1"/>
  <c r="P139" i="1"/>
  <c r="H139" i="1"/>
  <c r="A139" i="1"/>
  <c r="Y138" i="1"/>
  <c r="X138" i="1"/>
  <c r="W138" i="1"/>
  <c r="V138" i="1"/>
  <c r="U138" i="1"/>
  <c r="S138" i="1"/>
  <c r="Q138" i="1"/>
  <c r="P138" i="1"/>
  <c r="R138" i="1" s="1"/>
  <c r="H138" i="1"/>
  <c r="A138" i="1"/>
  <c r="Y137" i="1"/>
  <c r="X137" i="1"/>
  <c r="V137" i="1"/>
  <c r="U137" i="1"/>
  <c r="S137" i="1"/>
  <c r="T137" i="1" s="1"/>
  <c r="Q137" i="1"/>
  <c r="P137" i="1"/>
  <c r="R137" i="1" s="1"/>
  <c r="H137" i="1"/>
  <c r="Z137" i="1" s="1"/>
  <c r="A137" i="1"/>
  <c r="Z136" i="1"/>
  <c r="Y136" i="1"/>
  <c r="X136" i="1"/>
  <c r="V136" i="1"/>
  <c r="U136" i="1"/>
  <c r="W136" i="1" s="1"/>
  <c r="S136" i="1"/>
  <c r="Q136" i="1"/>
  <c r="P136" i="1"/>
  <c r="R136" i="1" s="1"/>
  <c r="T136" i="1" s="1"/>
  <c r="H136" i="1"/>
  <c r="A136" i="1"/>
  <c r="Z135" i="1"/>
  <c r="Y135" i="1"/>
  <c r="X135" i="1"/>
  <c r="V135" i="1"/>
  <c r="U135" i="1"/>
  <c r="W135" i="1" s="1"/>
  <c r="S135" i="1"/>
  <c r="R135" i="1"/>
  <c r="Q135" i="1"/>
  <c r="P135" i="1"/>
  <c r="H135" i="1"/>
  <c r="A135" i="1"/>
  <c r="Y134" i="1"/>
  <c r="X134" i="1"/>
  <c r="W134" i="1"/>
  <c r="V134" i="1"/>
  <c r="U134" i="1"/>
  <c r="S134" i="1"/>
  <c r="R134" i="1"/>
  <c r="Q134" i="1"/>
  <c r="P134" i="1"/>
  <c r="H134" i="1"/>
  <c r="T134" i="1" s="1"/>
  <c r="A134" i="1"/>
  <c r="Z133" i="1"/>
  <c r="Y133" i="1"/>
  <c r="X133" i="1"/>
  <c r="W133" i="1"/>
  <c r="V133" i="1"/>
  <c r="U133" i="1"/>
  <c r="S133" i="1"/>
  <c r="Q133" i="1"/>
  <c r="R133" i="1" s="1"/>
  <c r="T133" i="1" s="1"/>
  <c r="P133" i="1"/>
  <c r="H133" i="1"/>
  <c r="A133" i="1"/>
  <c r="Y132" i="1"/>
  <c r="X132" i="1"/>
  <c r="W132" i="1"/>
  <c r="V132" i="1"/>
  <c r="U132" i="1"/>
  <c r="S132" i="1"/>
  <c r="Q132" i="1"/>
  <c r="R132" i="1" s="1"/>
  <c r="P132" i="1"/>
  <c r="H132" i="1"/>
  <c r="Z132" i="1" s="1"/>
  <c r="A132" i="1"/>
  <c r="Z131" i="1"/>
  <c r="Y131" i="1"/>
  <c r="X131" i="1"/>
  <c r="V131" i="1"/>
  <c r="W131" i="1" s="1"/>
  <c r="U131" i="1"/>
  <c r="S131" i="1"/>
  <c r="Q131" i="1"/>
  <c r="R131" i="1" s="1"/>
  <c r="T131" i="1" s="1"/>
  <c r="P131" i="1"/>
  <c r="H131" i="1"/>
  <c r="A131" i="1"/>
  <c r="Y130" i="1"/>
  <c r="X130" i="1"/>
  <c r="W130" i="1"/>
  <c r="V130" i="1"/>
  <c r="U130" i="1"/>
  <c r="S130" i="1"/>
  <c r="Q130" i="1"/>
  <c r="P130" i="1"/>
  <c r="H130" i="1"/>
  <c r="Z130" i="1" s="1"/>
  <c r="A130" i="1"/>
  <c r="Y129" i="1"/>
  <c r="X129" i="1"/>
  <c r="V129" i="1"/>
  <c r="U129" i="1"/>
  <c r="S129" i="1"/>
  <c r="Q129" i="1"/>
  <c r="P129" i="1"/>
  <c r="R129" i="1" s="1"/>
  <c r="T129" i="1" s="1"/>
  <c r="H129" i="1"/>
  <c r="Z129" i="1" s="1"/>
  <c r="A129" i="1"/>
  <c r="Z128" i="1"/>
  <c r="Y128" i="1"/>
  <c r="X128" i="1"/>
  <c r="V128" i="1"/>
  <c r="U128" i="1"/>
  <c r="W128" i="1" s="1"/>
  <c r="S128" i="1"/>
  <c r="Q128" i="1"/>
  <c r="R128" i="1" s="1"/>
  <c r="P128" i="1"/>
  <c r="H128" i="1"/>
  <c r="A128" i="1"/>
  <c r="Y127" i="1"/>
  <c r="X127" i="1"/>
  <c r="V127" i="1"/>
  <c r="W127" i="1" s="1"/>
  <c r="U127" i="1"/>
  <c r="S127" i="1"/>
  <c r="Q127" i="1"/>
  <c r="P127" i="1"/>
  <c r="R127" i="1" s="1"/>
  <c r="H127" i="1"/>
  <c r="A127" i="1"/>
  <c r="Y126" i="1"/>
  <c r="X126" i="1"/>
  <c r="V126" i="1"/>
  <c r="W126" i="1" s="1"/>
  <c r="U126" i="1"/>
  <c r="S126" i="1"/>
  <c r="Q126" i="1"/>
  <c r="R126" i="1" s="1"/>
  <c r="P126" i="1"/>
  <c r="H126" i="1"/>
  <c r="A126" i="1"/>
  <c r="Y125" i="1"/>
  <c r="X125" i="1"/>
  <c r="W125" i="1"/>
  <c r="V125" i="1"/>
  <c r="U125" i="1"/>
  <c r="S125" i="1"/>
  <c r="Q125" i="1"/>
  <c r="P125" i="1"/>
  <c r="H125" i="1"/>
  <c r="Z125" i="1" s="1"/>
  <c r="A125" i="1"/>
  <c r="Y124" i="1"/>
  <c r="X124" i="1"/>
  <c r="V124" i="1"/>
  <c r="U124" i="1"/>
  <c r="S124" i="1"/>
  <c r="Q124" i="1"/>
  <c r="P124" i="1"/>
  <c r="R124" i="1" s="1"/>
  <c r="T124" i="1" s="1"/>
  <c r="H124" i="1"/>
  <c r="Z124" i="1" s="1"/>
  <c r="A124" i="1"/>
  <c r="Z123" i="1"/>
  <c r="Y123" i="1"/>
  <c r="X123" i="1"/>
  <c r="V123" i="1"/>
  <c r="U123" i="1"/>
  <c r="W123" i="1" s="1"/>
  <c r="S123" i="1"/>
  <c r="Q123" i="1"/>
  <c r="R123" i="1" s="1"/>
  <c r="P123" i="1"/>
  <c r="H123" i="1"/>
  <c r="A123" i="1"/>
  <c r="Y122" i="1"/>
  <c r="X122" i="1"/>
  <c r="V122" i="1"/>
  <c r="W122" i="1" s="1"/>
  <c r="U122" i="1"/>
  <c r="S122" i="1"/>
  <c r="Q122" i="1"/>
  <c r="P122" i="1"/>
  <c r="R122" i="1" s="1"/>
  <c r="H122" i="1"/>
  <c r="A122" i="1"/>
  <c r="Z121" i="1"/>
  <c r="Y121" i="1"/>
  <c r="X121" i="1"/>
  <c r="V121" i="1"/>
  <c r="U121" i="1"/>
  <c r="W121" i="1" s="1"/>
  <c r="T121" i="1"/>
  <c r="S121" i="1"/>
  <c r="R121" i="1"/>
  <c r="Q121" i="1"/>
  <c r="P121" i="1"/>
  <c r="H121" i="1"/>
  <c r="A121" i="1"/>
  <c r="Z120" i="1"/>
  <c r="Y120" i="1"/>
  <c r="X120" i="1"/>
  <c r="W120" i="1"/>
  <c r="V120" i="1"/>
  <c r="U120" i="1"/>
  <c r="S120" i="1"/>
  <c r="Q120" i="1"/>
  <c r="R120" i="1" s="1"/>
  <c r="P120" i="1"/>
  <c r="H120" i="1"/>
  <c r="A120" i="1"/>
  <c r="Y119" i="1"/>
  <c r="X119" i="1"/>
  <c r="V119" i="1"/>
  <c r="W119" i="1" s="1"/>
  <c r="U119" i="1"/>
  <c r="S119" i="1"/>
  <c r="Q119" i="1"/>
  <c r="P119" i="1"/>
  <c r="R119" i="1" s="1"/>
  <c r="H119" i="1"/>
  <c r="A119" i="1"/>
  <c r="Z118" i="1"/>
  <c r="Y118" i="1"/>
  <c r="X118" i="1"/>
  <c r="V118" i="1"/>
  <c r="U118" i="1"/>
  <c r="W118" i="1" s="1"/>
  <c r="S118" i="1"/>
  <c r="Q118" i="1"/>
  <c r="R118" i="1" s="1"/>
  <c r="P118" i="1"/>
  <c r="H118" i="1"/>
  <c r="A118" i="1"/>
  <c r="Y117" i="1"/>
  <c r="X117" i="1"/>
  <c r="V117" i="1"/>
  <c r="W117" i="1" s="1"/>
  <c r="U117" i="1"/>
  <c r="S117" i="1"/>
  <c r="Q117" i="1"/>
  <c r="P117" i="1"/>
  <c r="R117" i="1" s="1"/>
  <c r="H117" i="1"/>
  <c r="A117" i="1"/>
  <c r="Y116" i="1"/>
  <c r="X116" i="1"/>
  <c r="V116" i="1"/>
  <c r="U116" i="1"/>
  <c r="W116" i="1" s="1"/>
  <c r="T116" i="1"/>
  <c r="S116" i="1"/>
  <c r="R116" i="1"/>
  <c r="Q116" i="1"/>
  <c r="P116" i="1"/>
  <c r="H116" i="1"/>
  <c r="A116" i="1"/>
  <c r="Z115" i="1"/>
  <c r="Y115" i="1"/>
  <c r="X115" i="1"/>
  <c r="W115" i="1"/>
  <c r="V115" i="1"/>
  <c r="U115" i="1"/>
  <c r="S115" i="1"/>
  <c r="Q115" i="1"/>
  <c r="R115" i="1" s="1"/>
  <c r="P115" i="1"/>
  <c r="H115" i="1"/>
  <c r="A115" i="1"/>
  <c r="Y114" i="1"/>
  <c r="X114" i="1"/>
  <c r="V114" i="1"/>
  <c r="W114" i="1" s="1"/>
  <c r="U114" i="1"/>
  <c r="S114" i="1"/>
  <c r="Q114" i="1"/>
  <c r="P114" i="1"/>
  <c r="R114" i="1" s="1"/>
  <c r="H114" i="1"/>
  <c r="T114" i="1" s="1"/>
  <c r="A114" i="1"/>
  <c r="Z113" i="1"/>
  <c r="Y113" i="1"/>
  <c r="X113" i="1"/>
  <c r="V113" i="1"/>
  <c r="U113" i="1"/>
  <c r="W113" i="1" s="1"/>
  <c r="S113" i="1"/>
  <c r="Q113" i="1"/>
  <c r="R113" i="1" s="1"/>
  <c r="T113" i="1" s="1"/>
  <c r="P113" i="1"/>
  <c r="H113" i="1"/>
  <c r="A113" i="1"/>
  <c r="Y112" i="1"/>
  <c r="X112" i="1"/>
  <c r="V112" i="1"/>
  <c r="W112" i="1" s="1"/>
  <c r="U112" i="1"/>
  <c r="S112" i="1"/>
  <c r="Q112" i="1"/>
  <c r="P112" i="1"/>
  <c r="R112" i="1" s="1"/>
  <c r="H112" i="1"/>
  <c r="A112" i="1"/>
  <c r="Y111" i="1"/>
  <c r="X111" i="1"/>
  <c r="V111" i="1"/>
  <c r="U111" i="1"/>
  <c r="W111" i="1" s="1"/>
  <c r="S111" i="1"/>
  <c r="Q111" i="1"/>
  <c r="P111" i="1"/>
  <c r="H111" i="1"/>
  <c r="Z111" i="1" s="1"/>
  <c r="A111" i="1"/>
  <c r="Z110" i="1"/>
  <c r="Y110" i="1"/>
  <c r="X110" i="1"/>
  <c r="V110" i="1"/>
  <c r="U110" i="1"/>
  <c r="W110" i="1" s="1"/>
  <c r="S110" i="1"/>
  <c r="Q110" i="1"/>
  <c r="P110" i="1"/>
  <c r="R110" i="1" s="1"/>
  <c r="T110" i="1" s="1"/>
  <c r="H110" i="1"/>
  <c r="A110" i="1"/>
  <c r="Z109" i="1"/>
  <c r="Y109" i="1"/>
  <c r="X109" i="1"/>
  <c r="V109" i="1"/>
  <c r="U109" i="1"/>
  <c r="W109" i="1" s="1"/>
  <c r="S109" i="1"/>
  <c r="Q109" i="1"/>
  <c r="R109" i="1" s="1"/>
  <c r="P109" i="1"/>
  <c r="H109" i="1"/>
  <c r="A109" i="1"/>
  <c r="Z108" i="1"/>
  <c r="Y108" i="1"/>
  <c r="X108" i="1"/>
  <c r="V108" i="1"/>
  <c r="W108" i="1" s="1"/>
  <c r="U108" i="1"/>
  <c r="S108" i="1"/>
  <c r="Q108" i="1"/>
  <c r="P108" i="1"/>
  <c r="R108" i="1" s="1"/>
  <c r="H108" i="1"/>
  <c r="A108" i="1"/>
  <c r="Y107" i="1"/>
  <c r="X107" i="1"/>
  <c r="V107" i="1"/>
  <c r="U107" i="1"/>
  <c r="W107" i="1" s="1"/>
  <c r="S107" i="1"/>
  <c r="Q107" i="1"/>
  <c r="P107" i="1"/>
  <c r="R107" i="1" s="1"/>
  <c r="H107" i="1"/>
  <c r="A107" i="1"/>
  <c r="Z106" i="1"/>
  <c r="Y106" i="1"/>
  <c r="X106" i="1"/>
  <c r="V106" i="1"/>
  <c r="U106" i="1"/>
  <c r="W106" i="1" s="1"/>
  <c r="S106" i="1"/>
  <c r="R106" i="1"/>
  <c r="T106" i="1" s="1"/>
  <c r="Q106" i="1"/>
  <c r="P106" i="1"/>
  <c r="H106" i="1"/>
  <c r="A106" i="1"/>
  <c r="Y105" i="1"/>
  <c r="X105" i="1"/>
  <c r="W105" i="1"/>
  <c r="V105" i="1"/>
  <c r="U105" i="1"/>
  <c r="S105" i="1"/>
  <c r="R105" i="1"/>
  <c r="Q105" i="1"/>
  <c r="P105" i="1"/>
  <c r="H105" i="1"/>
  <c r="A105" i="1"/>
  <c r="Z104" i="1"/>
  <c r="Y104" i="1"/>
  <c r="X104" i="1"/>
  <c r="W104" i="1"/>
  <c r="V104" i="1"/>
  <c r="U104" i="1"/>
  <c r="T104" i="1"/>
  <c r="S104" i="1"/>
  <c r="R104" i="1"/>
  <c r="Q104" i="1"/>
  <c r="P104" i="1"/>
  <c r="H104" i="1"/>
  <c r="A104" i="1"/>
  <c r="Y103" i="1"/>
  <c r="X103" i="1"/>
  <c r="V103" i="1"/>
  <c r="W103" i="1" s="1"/>
  <c r="U103" i="1"/>
  <c r="S103" i="1"/>
  <c r="Q103" i="1"/>
  <c r="P103" i="1"/>
  <c r="R103" i="1" s="1"/>
  <c r="H103" i="1"/>
  <c r="A103" i="1"/>
  <c r="Z102" i="1"/>
  <c r="Y102" i="1"/>
  <c r="X102" i="1"/>
  <c r="V102" i="1"/>
  <c r="U102" i="1"/>
  <c r="S102" i="1"/>
  <c r="Q102" i="1"/>
  <c r="R102" i="1" s="1"/>
  <c r="T102" i="1" s="1"/>
  <c r="P102" i="1"/>
  <c r="H102" i="1"/>
  <c r="A102" i="1"/>
  <c r="Z101" i="1"/>
  <c r="Y101" i="1"/>
  <c r="X101" i="1"/>
  <c r="V101" i="1"/>
  <c r="W101" i="1" s="1"/>
  <c r="U101" i="1"/>
  <c r="S101" i="1"/>
  <c r="Q101" i="1"/>
  <c r="P101" i="1"/>
  <c r="R101" i="1" s="1"/>
  <c r="H101" i="1"/>
  <c r="A101" i="1"/>
  <c r="Y100" i="1"/>
  <c r="X100" i="1"/>
  <c r="V100" i="1"/>
  <c r="U100" i="1"/>
  <c r="W100" i="1" s="1"/>
  <c r="S100" i="1"/>
  <c r="Q100" i="1"/>
  <c r="P100" i="1"/>
  <c r="R100" i="1" s="1"/>
  <c r="H100" i="1"/>
  <c r="A100" i="1"/>
  <c r="Z99" i="1"/>
  <c r="Y99" i="1"/>
  <c r="X99" i="1"/>
  <c r="V99" i="1"/>
  <c r="U99" i="1"/>
  <c r="W99" i="1" s="1"/>
  <c r="S99" i="1"/>
  <c r="R99" i="1"/>
  <c r="T99" i="1" s="1"/>
  <c r="Q99" i="1"/>
  <c r="P99" i="1"/>
  <c r="H99" i="1"/>
  <c r="A99" i="1"/>
  <c r="Y98" i="1"/>
  <c r="X98" i="1"/>
  <c r="W98" i="1"/>
  <c r="V98" i="1"/>
  <c r="U98" i="1"/>
  <c r="S98" i="1"/>
  <c r="Q98" i="1"/>
  <c r="P98" i="1"/>
  <c r="R98" i="1" s="1"/>
  <c r="H98" i="1"/>
  <c r="A98" i="1"/>
  <c r="Z97" i="1"/>
  <c r="Y97" i="1"/>
  <c r="X97" i="1"/>
  <c r="V97" i="1"/>
  <c r="U97" i="1"/>
  <c r="W97" i="1" s="1"/>
  <c r="T97" i="1"/>
  <c r="S97" i="1"/>
  <c r="R97" i="1"/>
  <c r="Q97" i="1"/>
  <c r="P97" i="1"/>
  <c r="H97" i="1"/>
  <c r="A97" i="1"/>
  <c r="Z96" i="1"/>
  <c r="Y96" i="1"/>
  <c r="X96" i="1"/>
  <c r="W96" i="1"/>
  <c r="V96" i="1"/>
  <c r="U96" i="1"/>
  <c r="S96" i="1"/>
  <c r="Q96" i="1"/>
  <c r="R96" i="1" s="1"/>
  <c r="P96" i="1"/>
  <c r="H96" i="1"/>
  <c r="T96" i="1" s="1"/>
  <c r="A96" i="1"/>
  <c r="Y95" i="1"/>
  <c r="X95" i="1"/>
  <c r="W95" i="1"/>
  <c r="V95" i="1"/>
  <c r="U95" i="1"/>
  <c r="S95" i="1"/>
  <c r="Q95" i="1"/>
  <c r="P95" i="1"/>
  <c r="R95" i="1" s="1"/>
  <c r="H95" i="1"/>
  <c r="A95" i="1"/>
  <c r="Z94" i="1"/>
  <c r="Y94" i="1"/>
  <c r="X94" i="1"/>
  <c r="V94" i="1"/>
  <c r="U94" i="1"/>
  <c r="W94" i="1" s="1"/>
  <c r="T94" i="1"/>
  <c r="S94" i="1"/>
  <c r="Q94" i="1"/>
  <c r="R94" i="1" s="1"/>
  <c r="P94" i="1"/>
  <c r="H94" i="1"/>
  <c r="A94" i="1"/>
  <c r="Z93" i="1"/>
  <c r="Y93" i="1"/>
  <c r="X93" i="1"/>
  <c r="V93" i="1"/>
  <c r="W93" i="1" s="1"/>
  <c r="U93" i="1"/>
  <c r="S93" i="1"/>
  <c r="Q93" i="1"/>
  <c r="P93" i="1"/>
  <c r="R93" i="1" s="1"/>
  <c r="H93" i="1"/>
  <c r="T93" i="1" s="1"/>
  <c r="A93" i="1"/>
  <c r="Y92" i="1"/>
  <c r="X92" i="1"/>
  <c r="V92" i="1"/>
  <c r="U92" i="1"/>
  <c r="S92" i="1"/>
  <c r="Q92" i="1"/>
  <c r="P92" i="1"/>
  <c r="R92" i="1" s="1"/>
  <c r="H92" i="1"/>
  <c r="A92" i="1"/>
  <c r="Z91" i="1"/>
  <c r="Y91" i="1"/>
  <c r="X91" i="1"/>
  <c r="V91" i="1"/>
  <c r="U91" i="1"/>
  <c r="W91" i="1" s="1"/>
  <c r="S91" i="1"/>
  <c r="R91" i="1"/>
  <c r="Q91" i="1"/>
  <c r="P91" i="1"/>
  <c r="H91" i="1"/>
  <c r="A91" i="1"/>
  <c r="Y90" i="1"/>
  <c r="X90" i="1"/>
  <c r="W90" i="1"/>
  <c r="V90" i="1"/>
  <c r="U90" i="1"/>
  <c r="S90" i="1"/>
  <c r="Q90" i="1"/>
  <c r="P90" i="1"/>
  <c r="R90" i="1" s="1"/>
  <c r="H90" i="1"/>
  <c r="A90" i="1"/>
  <c r="Z89" i="1"/>
  <c r="Y89" i="1"/>
  <c r="X89" i="1"/>
  <c r="V89" i="1"/>
  <c r="U89" i="1"/>
  <c r="W89" i="1" s="1"/>
  <c r="T89" i="1"/>
  <c r="S89" i="1"/>
  <c r="R89" i="1"/>
  <c r="Q89" i="1"/>
  <c r="P89" i="1"/>
  <c r="H89" i="1"/>
  <c r="A89" i="1"/>
  <c r="Y88" i="1"/>
  <c r="X88" i="1"/>
  <c r="V88" i="1"/>
  <c r="W88" i="1" s="1"/>
  <c r="U88" i="1"/>
  <c r="S88" i="1"/>
  <c r="Q88" i="1"/>
  <c r="P88" i="1"/>
  <c r="R88" i="1" s="1"/>
  <c r="H88" i="1"/>
  <c r="A88" i="1"/>
  <c r="Y87" i="1"/>
  <c r="X87" i="1"/>
  <c r="V87" i="1"/>
  <c r="U87" i="1"/>
  <c r="W87" i="1" s="1"/>
  <c r="S87" i="1"/>
  <c r="Q87" i="1"/>
  <c r="P87" i="1"/>
  <c r="R87" i="1" s="1"/>
  <c r="H87" i="1"/>
  <c r="A87" i="1"/>
  <c r="Z86" i="1"/>
  <c r="Y86" i="1"/>
  <c r="X86" i="1"/>
  <c r="V86" i="1"/>
  <c r="U86" i="1"/>
  <c r="W86" i="1" s="1"/>
  <c r="S86" i="1"/>
  <c r="R86" i="1"/>
  <c r="Q86" i="1"/>
  <c r="P86" i="1"/>
  <c r="H86" i="1"/>
  <c r="A86" i="1"/>
  <c r="Y85" i="1"/>
  <c r="X85" i="1"/>
  <c r="W85" i="1"/>
  <c r="V85" i="1"/>
  <c r="U85" i="1"/>
  <c r="S85" i="1"/>
  <c r="Q85" i="1"/>
  <c r="P85" i="1"/>
  <c r="R85" i="1" s="1"/>
  <c r="H85" i="1"/>
  <c r="A85" i="1"/>
  <c r="Z84" i="1"/>
  <c r="Y84" i="1"/>
  <c r="X84" i="1"/>
  <c r="V84" i="1"/>
  <c r="U84" i="1"/>
  <c r="W84" i="1" s="1"/>
  <c r="T84" i="1"/>
  <c r="S84" i="1"/>
  <c r="R84" i="1"/>
  <c r="Q84" i="1"/>
  <c r="P84" i="1"/>
  <c r="H84" i="1"/>
  <c r="A84" i="1"/>
  <c r="Z83" i="1"/>
  <c r="Y83" i="1"/>
  <c r="X83" i="1"/>
  <c r="W83" i="1"/>
  <c r="V83" i="1"/>
  <c r="U83" i="1"/>
  <c r="S83" i="1"/>
  <c r="Q83" i="1"/>
  <c r="R83" i="1" s="1"/>
  <c r="P83" i="1"/>
  <c r="H83" i="1"/>
  <c r="A83" i="1"/>
  <c r="Y82" i="1"/>
  <c r="X82" i="1"/>
  <c r="W82" i="1"/>
  <c r="V82" i="1"/>
  <c r="U82" i="1"/>
  <c r="S82" i="1"/>
  <c r="Q82" i="1"/>
  <c r="P82" i="1"/>
  <c r="R82" i="1" s="1"/>
  <c r="H82" i="1"/>
  <c r="A82" i="1"/>
  <c r="Z81" i="1"/>
  <c r="Y81" i="1"/>
  <c r="X81" i="1"/>
  <c r="V81" i="1"/>
  <c r="U81" i="1"/>
  <c r="W81" i="1" s="1"/>
  <c r="T81" i="1"/>
  <c r="S81" i="1"/>
  <c r="Q81" i="1"/>
  <c r="R81" i="1" s="1"/>
  <c r="P81" i="1"/>
  <c r="H81" i="1"/>
  <c r="A81" i="1"/>
  <c r="Z80" i="1"/>
  <c r="Y80" i="1"/>
  <c r="X80" i="1"/>
  <c r="V80" i="1"/>
  <c r="W80" i="1" s="1"/>
  <c r="U80" i="1"/>
  <c r="S80" i="1"/>
  <c r="Q80" i="1"/>
  <c r="P80" i="1"/>
  <c r="R80" i="1" s="1"/>
  <c r="H80" i="1"/>
  <c r="T80" i="1" s="1"/>
  <c r="A80" i="1"/>
  <c r="Y79" i="1"/>
  <c r="X79" i="1"/>
  <c r="V79" i="1"/>
  <c r="U79" i="1"/>
  <c r="S79" i="1"/>
  <c r="Q79" i="1"/>
  <c r="P79" i="1"/>
  <c r="R79" i="1" s="1"/>
  <c r="H79" i="1"/>
  <c r="A79" i="1"/>
  <c r="Z78" i="1"/>
  <c r="Y78" i="1"/>
  <c r="X78" i="1"/>
  <c r="V78" i="1"/>
  <c r="U78" i="1"/>
  <c r="W78" i="1" s="1"/>
  <c r="S78" i="1"/>
  <c r="R78" i="1"/>
  <c r="Q78" i="1"/>
  <c r="P78" i="1"/>
  <c r="H78" i="1"/>
  <c r="A78" i="1"/>
  <c r="Y77" i="1"/>
  <c r="X77" i="1"/>
  <c r="W77" i="1"/>
  <c r="V77" i="1"/>
  <c r="U77" i="1"/>
  <c r="S77" i="1"/>
  <c r="Q77" i="1"/>
  <c r="P77" i="1"/>
  <c r="R77" i="1" s="1"/>
  <c r="H77" i="1"/>
  <c r="A77" i="1"/>
  <c r="Z76" i="1"/>
  <c r="Y76" i="1"/>
  <c r="X76" i="1"/>
  <c r="V76" i="1"/>
  <c r="U76" i="1"/>
  <c r="W76" i="1" s="1"/>
  <c r="T76" i="1"/>
  <c r="S76" i="1"/>
  <c r="R76" i="1"/>
  <c r="Q76" i="1"/>
  <c r="P76" i="1"/>
  <c r="H76" i="1"/>
  <c r="A76" i="1"/>
  <c r="Z75" i="1"/>
  <c r="Y75" i="1"/>
  <c r="X75" i="1"/>
  <c r="W75" i="1"/>
  <c r="V75" i="1"/>
  <c r="U75" i="1"/>
  <c r="S75" i="1"/>
  <c r="R75" i="1"/>
  <c r="Q75" i="1"/>
  <c r="P75" i="1"/>
  <c r="H75" i="1"/>
  <c r="A75" i="1"/>
  <c r="Y74" i="1"/>
  <c r="X74" i="1"/>
  <c r="W74" i="1"/>
  <c r="V74" i="1"/>
  <c r="U74" i="1"/>
  <c r="S74" i="1"/>
  <c r="Q74" i="1"/>
  <c r="P74" i="1"/>
  <c r="R74" i="1" s="1"/>
  <c r="H74" i="1"/>
  <c r="A74" i="1"/>
  <c r="Z73" i="1"/>
  <c r="Y73" i="1"/>
  <c r="X73" i="1"/>
  <c r="V73" i="1"/>
  <c r="U73" i="1"/>
  <c r="W73" i="1" s="1"/>
  <c r="S73" i="1"/>
  <c r="Q73" i="1"/>
  <c r="R73" i="1" s="1"/>
  <c r="T73" i="1" s="1"/>
  <c r="P73" i="1"/>
  <c r="H73" i="1"/>
  <c r="A73" i="1"/>
  <c r="Z72" i="1"/>
  <c r="Y72" i="1"/>
  <c r="X72" i="1"/>
  <c r="V72" i="1"/>
  <c r="W72" i="1" s="1"/>
  <c r="U72" i="1"/>
  <c r="S72" i="1"/>
  <c r="Q72" i="1"/>
  <c r="P72" i="1"/>
  <c r="H72" i="1"/>
  <c r="A72" i="1"/>
  <c r="Y71" i="1"/>
  <c r="X71" i="1"/>
  <c r="V71" i="1"/>
  <c r="U71" i="1"/>
  <c r="W71" i="1" s="1"/>
  <c r="S71" i="1"/>
  <c r="Q71" i="1"/>
  <c r="P71" i="1"/>
  <c r="R71" i="1" s="1"/>
  <c r="H71" i="1"/>
  <c r="A71" i="1"/>
  <c r="Z70" i="1"/>
  <c r="Y70" i="1"/>
  <c r="X70" i="1"/>
  <c r="V70" i="1"/>
  <c r="U70" i="1"/>
  <c r="W70" i="1" s="1"/>
  <c r="S70" i="1"/>
  <c r="R70" i="1"/>
  <c r="Q70" i="1"/>
  <c r="P70" i="1"/>
  <c r="H70" i="1"/>
  <c r="A70" i="1"/>
  <c r="Y69" i="1"/>
  <c r="X69" i="1"/>
  <c r="W69" i="1"/>
  <c r="V69" i="1"/>
  <c r="U69" i="1"/>
  <c r="S69" i="1"/>
  <c r="Q69" i="1"/>
  <c r="P69" i="1"/>
  <c r="R69" i="1" s="1"/>
  <c r="H69" i="1"/>
  <c r="A69" i="1"/>
  <c r="Z68" i="1"/>
  <c r="Y68" i="1"/>
  <c r="X68" i="1"/>
  <c r="V68" i="1"/>
  <c r="U68" i="1"/>
  <c r="W68" i="1" s="1"/>
  <c r="T68" i="1"/>
  <c r="S68" i="1"/>
  <c r="R68" i="1"/>
  <c r="Q68" i="1"/>
  <c r="P68" i="1"/>
  <c r="H68" i="1"/>
  <c r="A68" i="1"/>
  <c r="Z67" i="1"/>
  <c r="Y67" i="1"/>
  <c r="X67" i="1"/>
  <c r="W67" i="1"/>
  <c r="V67" i="1"/>
  <c r="U67" i="1"/>
  <c r="S67" i="1"/>
  <c r="R67" i="1"/>
  <c r="Q67" i="1"/>
  <c r="P67" i="1"/>
  <c r="H67" i="1"/>
  <c r="T67" i="1" s="1"/>
  <c r="A67" i="1"/>
  <c r="Y66" i="1"/>
  <c r="X66" i="1"/>
  <c r="V66" i="1"/>
  <c r="W66" i="1" s="1"/>
  <c r="U66" i="1"/>
  <c r="S66" i="1"/>
  <c r="Q66" i="1"/>
  <c r="P66" i="1"/>
  <c r="R66" i="1" s="1"/>
  <c r="H66" i="1"/>
  <c r="A66" i="1"/>
  <c r="Z65" i="1"/>
  <c r="Y65" i="1"/>
  <c r="X65" i="1"/>
  <c r="V65" i="1"/>
  <c r="U65" i="1"/>
  <c r="W65" i="1" s="1"/>
  <c r="T65" i="1"/>
  <c r="S65" i="1"/>
  <c r="Q65" i="1"/>
  <c r="R65" i="1" s="1"/>
  <c r="P65" i="1"/>
  <c r="H65" i="1"/>
  <c r="A65" i="1"/>
  <c r="Z64" i="1"/>
  <c r="Y64" i="1"/>
  <c r="X64" i="1"/>
  <c r="V64" i="1"/>
  <c r="W64" i="1" s="1"/>
  <c r="U64" i="1"/>
  <c r="S64" i="1"/>
  <c r="Q64" i="1"/>
  <c r="P64" i="1"/>
  <c r="H64" i="1"/>
  <c r="A64" i="1"/>
  <c r="Y63" i="1"/>
  <c r="X63" i="1"/>
  <c r="V63" i="1"/>
  <c r="U63" i="1"/>
  <c r="W63" i="1" s="1"/>
  <c r="S63" i="1"/>
  <c r="Q63" i="1"/>
  <c r="P63" i="1"/>
  <c r="R63" i="1" s="1"/>
  <c r="H63" i="1"/>
  <c r="A63" i="1"/>
  <c r="Z62" i="1"/>
  <c r="Y62" i="1"/>
  <c r="X62" i="1"/>
  <c r="V62" i="1"/>
  <c r="U62" i="1"/>
  <c r="W62" i="1" s="1"/>
  <c r="S62" i="1"/>
  <c r="R62" i="1"/>
  <c r="Q62" i="1"/>
  <c r="P62" i="1"/>
  <c r="H62" i="1"/>
  <c r="A62" i="1"/>
  <c r="Y61" i="1"/>
  <c r="X61" i="1"/>
  <c r="W61" i="1"/>
  <c r="V61" i="1"/>
  <c r="U61" i="1"/>
  <c r="S61" i="1"/>
  <c r="Q61" i="1"/>
  <c r="P61" i="1"/>
  <c r="R61" i="1" s="1"/>
  <c r="H61" i="1"/>
  <c r="A61" i="1"/>
  <c r="Z60" i="1"/>
  <c r="Y60" i="1"/>
  <c r="X60" i="1"/>
  <c r="V60" i="1"/>
  <c r="U60" i="1"/>
  <c r="W60" i="1" s="1"/>
  <c r="T60" i="1"/>
  <c r="S60" i="1"/>
  <c r="R60" i="1"/>
  <c r="Q60" i="1"/>
  <c r="P60" i="1"/>
  <c r="H60" i="1"/>
  <c r="A60" i="1"/>
  <c r="Z59" i="1"/>
  <c r="Y59" i="1"/>
  <c r="X59" i="1"/>
  <c r="W59" i="1"/>
  <c r="V59" i="1"/>
  <c r="U59" i="1"/>
  <c r="S59" i="1"/>
  <c r="R59" i="1"/>
  <c r="Q59" i="1"/>
  <c r="P59" i="1"/>
  <c r="H59" i="1"/>
  <c r="T59" i="1" s="1"/>
  <c r="A59" i="1"/>
  <c r="Y58" i="1"/>
  <c r="X58" i="1"/>
  <c r="W58" i="1"/>
  <c r="V58" i="1"/>
  <c r="U58" i="1"/>
  <c r="S58" i="1"/>
  <c r="Q58" i="1"/>
  <c r="P58" i="1"/>
  <c r="R58" i="1" s="1"/>
  <c r="H58" i="1"/>
  <c r="A58" i="1"/>
  <c r="Z57" i="1"/>
  <c r="Y57" i="1"/>
  <c r="X57" i="1"/>
  <c r="V57" i="1"/>
  <c r="U57" i="1"/>
  <c r="W57" i="1" s="1"/>
  <c r="S57" i="1"/>
  <c r="Q57" i="1"/>
  <c r="R57" i="1" s="1"/>
  <c r="T57" i="1" s="1"/>
  <c r="P57" i="1"/>
  <c r="H57" i="1"/>
  <c r="A57" i="1"/>
  <c r="Z56" i="1"/>
  <c r="Y56" i="1"/>
  <c r="X56" i="1"/>
  <c r="V56" i="1"/>
  <c r="W56" i="1" s="1"/>
  <c r="U56" i="1"/>
  <c r="S56" i="1"/>
  <c r="Q56" i="1"/>
  <c r="P56" i="1"/>
  <c r="H56" i="1"/>
  <c r="A56" i="1"/>
  <c r="Y55" i="1"/>
  <c r="X55" i="1"/>
  <c r="V55" i="1"/>
  <c r="U55" i="1"/>
  <c r="S55" i="1"/>
  <c r="Q55" i="1"/>
  <c r="P55" i="1"/>
  <c r="R55" i="1" s="1"/>
  <c r="H55" i="1"/>
  <c r="T55" i="1" s="1"/>
  <c r="A55" i="1"/>
  <c r="Z54" i="1"/>
  <c r="Y54" i="1"/>
  <c r="X54" i="1"/>
  <c r="V54" i="1"/>
  <c r="U54" i="1"/>
  <c r="W54" i="1" s="1"/>
  <c r="S54" i="1"/>
  <c r="R54" i="1"/>
  <c r="T54" i="1" s="1"/>
  <c r="Q54" i="1"/>
  <c r="P54" i="1"/>
  <c r="H54" i="1"/>
  <c r="A54" i="1"/>
  <c r="Y53" i="1"/>
  <c r="X53" i="1"/>
  <c r="W53" i="1"/>
  <c r="V53" i="1"/>
  <c r="U53" i="1"/>
  <c r="S53" i="1"/>
  <c r="Q53" i="1"/>
  <c r="P53" i="1"/>
  <c r="R53" i="1" s="1"/>
  <c r="H53" i="1"/>
  <c r="A53" i="1"/>
  <c r="Z52" i="1"/>
  <c r="Y52" i="1"/>
  <c r="X52" i="1"/>
  <c r="V52" i="1"/>
  <c r="U52" i="1"/>
  <c r="W52" i="1" s="1"/>
  <c r="T52" i="1"/>
  <c r="S52" i="1"/>
  <c r="R52" i="1"/>
  <c r="Q52" i="1"/>
  <c r="P52" i="1"/>
  <c r="H52" i="1"/>
  <c r="A52" i="1"/>
  <c r="Z51" i="1"/>
  <c r="Y51" i="1"/>
  <c r="X51" i="1"/>
  <c r="W51" i="1"/>
  <c r="V51" i="1"/>
  <c r="U51" i="1"/>
  <c r="S51" i="1"/>
  <c r="R51" i="1"/>
  <c r="Q51" i="1"/>
  <c r="P51" i="1"/>
  <c r="H51" i="1"/>
  <c r="A51" i="1"/>
  <c r="Y50" i="1"/>
  <c r="X50" i="1"/>
  <c r="V50" i="1"/>
  <c r="W50" i="1" s="1"/>
  <c r="U50" i="1"/>
  <c r="S50" i="1"/>
  <c r="Q50" i="1"/>
  <c r="P50" i="1"/>
  <c r="R50" i="1" s="1"/>
  <c r="H50" i="1"/>
  <c r="A50" i="1"/>
  <c r="Z49" i="1"/>
  <c r="Y49" i="1"/>
  <c r="X49" i="1"/>
  <c r="V49" i="1"/>
  <c r="U49" i="1"/>
  <c r="W49" i="1" s="1"/>
  <c r="S49" i="1"/>
  <c r="Q49" i="1"/>
  <c r="R49" i="1" s="1"/>
  <c r="T49" i="1" s="1"/>
  <c r="P49" i="1"/>
  <c r="H49" i="1"/>
  <c r="A49" i="1"/>
  <c r="Z48" i="1"/>
  <c r="Y48" i="1"/>
  <c r="X48" i="1"/>
  <c r="V48" i="1"/>
  <c r="W48" i="1" s="1"/>
  <c r="U48" i="1"/>
  <c r="S48" i="1"/>
  <c r="Q48" i="1"/>
  <c r="P48" i="1"/>
  <c r="H48" i="1"/>
  <c r="A48" i="1"/>
  <c r="Y47" i="1"/>
  <c r="X47" i="1"/>
  <c r="V47" i="1"/>
  <c r="U47" i="1"/>
  <c r="S47" i="1"/>
  <c r="Q47" i="1"/>
  <c r="P47" i="1"/>
  <c r="R47" i="1" s="1"/>
  <c r="H47" i="1"/>
  <c r="A47" i="1"/>
  <c r="Z46" i="1"/>
  <c r="Y46" i="1"/>
  <c r="X46" i="1"/>
  <c r="V46" i="1"/>
  <c r="U46" i="1"/>
  <c r="W46" i="1" s="1"/>
  <c r="S46" i="1"/>
  <c r="R46" i="1"/>
  <c r="Q46" i="1"/>
  <c r="P46" i="1"/>
  <c r="H46" i="1"/>
  <c r="A46" i="1"/>
  <c r="Y45" i="1"/>
  <c r="X45" i="1"/>
  <c r="W45" i="1"/>
  <c r="V45" i="1"/>
  <c r="U45" i="1"/>
  <c r="S45" i="1"/>
  <c r="Q45" i="1"/>
  <c r="P45" i="1"/>
  <c r="R45" i="1" s="1"/>
  <c r="H45" i="1"/>
  <c r="A45" i="1"/>
  <c r="Z44" i="1"/>
  <c r="Y44" i="1"/>
  <c r="X44" i="1"/>
  <c r="V44" i="1"/>
  <c r="U44" i="1"/>
  <c r="W44" i="1" s="1"/>
  <c r="S44" i="1"/>
  <c r="R44" i="1"/>
  <c r="T44" i="1" s="1"/>
  <c r="Q44" i="1"/>
  <c r="P44" i="1"/>
  <c r="H44" i="1"/>
  <c r="A44" i="1"/>
  <c r="Y43" i="1"/>
  <c r="X43" i="1"/>
  <c r="W43" i="1"/>
  <c r="V43" i="1"/>
  <c r="U43" i="1"/>
  <c r="S43" i="1"/>
  <c r="Q43" i="1"/>
  <c r="R43" i="1" s="1"/>
  <c r="P43" i="1"/>
  <c r="H43" i="1"/>
  <c r="Z43" i="1" s="1"/>
  <c r="A43" i="1"/>
  <c r="Y42" i="1"/>
  <c r="X42" i="1"/>
  <c r="V42" i="1"/>
  <c r="W42" i="1" s="1"/>
  <c r="U42" i="1"/>
  <c r="S42" i="1"/>
  <c r="Q42" i="1"/>
  <c r="P42" i="1"/>
  <c r="R42" i="1" s="1"/>
  <c r="H42" i="1"/>
  <c r="Z42" i="1" s="1"/>
  <c r="A42" i="1"/>
  <c r="Z41" i="1"/>
  <c r="Y41" i="1"/>
  <c r="X41" i="1"/>
  <c r="V41" i="1"/>
  <c r="U41" i="1"/>
  <c r="W41" i="1" s="1"/>
  <c r="T41" i="1"/>
  <c r="S41" i="1"/>
  <c r="Q41" i="1"/>
  <c r="R41" i="1" s="1"/>
  <c r="P41" i="1"/>
  <c r="H41" i="1"/>
  <c r="A41" i="1"/>
  <c r="Z40" i="1"/>
  <c r="Y40" i="1"/>
  <c r="X40" i="1"/>
  <c r="V40" i="1"/>
  <c r="W40" i="1" s="1"/>
  <c r="U40" i="1"/>
  <c r="S40" i="1"/>
  <c r="Q40" i="1"/>
  <c r="P40" i="1"/>
  <c r="H40" i="1"/>
  <c r="A40" i="1"/>
  <c r="Y39" i="1"/>
  <c r="X39" i="1"/>
  <c r="V39" i="1"/>
  <c r="U39" i="1"/>
  <c r="W39" i="1" s="1"/>
  <c r="S39" i="1"/>
  <c r="Q39" i="1"/>
  <c r="P39" i="1"/>
  <c r="R39" i="1" s="1"/>
  <c r="H39" i="1"/>
  <c r="A39" i="1"/>
  <c r="Z38" i="1"/>
  <c r="Y38" i="1"/>
  <c r="X38" i="1"/>
  <c r="V38" i="1"/>
  <c r="U38" i="1"/>
  <c r="W38" i="1" s="1"/>
  <c r="S38" i="1"/>
  <c r="R38" i="1"/>
  <c r="Q38" i="1"/>
  <c r="P38" i="1"/>
  <c r="H38" i="1"/>
  <c r="A38" i="1"/>
  <c r="Y37" i="1"/>
  <c r="X37" i="1"/>
  <c r="W37" i="1"/>
  <c r="V37" i="1"/>
  <c r="U37" i="1"/>
  <c r="S37" i="1"/>
  <c r="Q37" i="1"/>
  <c r="P37" i="1"/>
  <c r="R37" i="1" s="1"/>
  <c r="H37" i="1"/>
  <c r="A37" i="1"/>
  <c r="Z36" i="1"/>
  <c r="Y36" i="1"/>
  <c r="X36" i="1"/>
  <c r="V36" i="1"/>
  <c r="U36" i="1"/>
  <c r="W36" i="1" s="1"/>
  <c r="S36" i="1"/>
  <c r="R36" i="1"/>
  <c r="T36" i="1" s="1"/>
  <c r="Q36" i="1"/>
  <c r="P36" i="1"/>
  <c r="H36" i="1"/>
  <c r="A36" i="1"/>
  <c r="Y35" i="1"/>
  <c r="X35" i="1"/>
  <c r="W35" i="1"/>
  <c r="V35" i="1"/>
  <c r="U35" i="1"/>
  <c r="S35" i="1"/>
  <c r="R35" i="1"/>
  <c r="Q35" i="1"/>
  <c r="P35" i="1"/>
  <c r="H35" i="1"/>
  <c r="A35" i="1"/>
  <c r="Y34" i="1"/>
  <c r="X34" i="1"/>
  <c r="W34" i="1"/>
  <c r="V34" i="1"/>
  <c r="U34" i="1"/>
  <c r="S34" i="1"/>
  <c r="Q34" i="1"/>
  <c r="P34" i="1"/>
  <c r="R34" i="1" s="1"/>
  <c r="H34" i="1"/>
  <c r="Z34" i="1" s="1"/>
  <c r="A34" i="1"/>
  <c r="Z33" i="1"/>
  <c r="Y33" i="1"/>
  <c r="X33" i="1"/>
  <c r="V33" i="1"/>
  <c r="U33" i="1"/>
  <c r="W33" i="1" s="1"/>
  <c r="T33" i="1"/>
  <c r="S33" i="1"/>
  <c r="Q33" i="1"/>
  <c r="R33" i="1" s="1"/>
  <c r="P33" i="1"/>
  <c r="H33" i="1"/>
  <c r="A33" i="1"/>
  <c r="Z32" i="1"/>
  <c r="Y32" i="1"/>
  <c r="X32" i="1"/>
  <c r="V32" i="1"/>
  <c r="W32" i="1" s="1"/>
  <c r="U32" i="1"/>
  <c r="S32" i="1"/>
  <c r="Q32" i="1"/>
  <c r="P32" i="1"/>
  <c r="R32" i="1" s="1"/>
  <c r="H32" i="1"/>
  <c r="T32" i="1" s="1"/>
  <c r="A32" i="1"/>
  <c r="Y31" i="1"/>
  <c r="X31" i="1"/>
  <c r="V31" i="1"/>
  <c r="U31" i="1"/>
  <c r="S31" i="1"/>
  <c r="Q31" i="1"/>
  <c r="P31" i="1"/>
  <c r="R31" i="1" s="1"/>
  <c r="H31" i="1"/>
  <c r="A31" i="1"/>
  <c r="Z30" i="1"/>
  <c r="Y30" i="1"/>
  <c r="X30" i="1"/>
  <c r="V30" i="1"/>
  <c r="U30" i="1"/>
  <c r="W30" i="1" s="1"/>
  <c r="S30" i="1"/>
  <c r="Q30" i="1"/>
  <c r="P30" i="1"/>
  <c r="R30" i="1" s="1"/>
  <c r="T30" i="1" s="1"/>
  <c r="H30" i="1"/>
  <c r="A30" i="1"/>
  <c r="Y29" i="1"/>
  <c r="X29" i="1"/>
  <c r="V29" i="1"/>
  <c r="U29" i="1"/>
  <c r="W29" i="1" s="1"/>
  <c r="S29" i="1"/>
  <c r="Q29" i="1"/>
  <c r="P29" i="1"/>
  <c r="R29" i="1" s="1"/>
  <c r="H29" i="1"/>
  <c r="A29" i="1"/>
  <c r="Z28" i="1"/>
  <c r="Y28" i="1"/>
  <c r="X28" i="1"/>
  <c r="V28" i="1"/>
  <c r="U28" i="1"/>
  <c r="W28" i="1" s="1"/>
  <c r="T28" i="1"/>
  <c r="S28" i="1"/>
  <c r="R28" i="1"/>
  <c r="Q28" i="1"/>
  <c r="P28" i="1"/>
  <c r="H28" i="1"/>
  <c r="A28" i="1"/>
  <c r="Z27" i="1"/>
  <c r="Y27" i="1"/>
  <c r="X27" i="1"/>
  <c r="W27" i="1"/>
  <c r="V27" i="1"/>
  <c r="U27" i="1"/>
  <c r="S27" i="1"/>
  <c r="R27" i="1"/>
  <c r="Q27" i="1"/>
  <c r="P27" i="1"/>
  <c r="H27" i="1"/>
  <c r="A27" i="1"/>
  <c r="Y26" i="1"/>
  <c r="X26" i="1"/>
  <c r="W26" i="1"/>
  <c r="V26" i="1"/>
  <c r="U26" i="1"/>
  <c r="T26" i="1"/>
  <c r="S26" i="1"/>
  <c r="Q26" i="1"/>
  <c r="P26" i="1"/>
  <c r="R26" i="1" s="1"/>
  <c r="H26" i="1"/>
  <c r="Z26" i="1" s="1"/>
  <c r="A26" i="1"/>
  <c r="Z25" i="1"/>
  <c r="Y25" i="1"/>
  <c r="X25" i="1"/>
  <c r="V25" i="1"/>
  <c r="U25" i="1"/>
  <c r="W25" i="1" s="1"/>
  <c r="S25" i="1"/>
  <c r="Q25" i="1"/>
  <c r="R25" i="1" s="1"/>
  <c r="T25" i="1" s="1"/>
  <c r="P25" i="1"/>
  <c r="H25" i="1"/>
  <c r="A25" i="1"/>
  <c r="Z24" i="1"/>
  <c r="Y24" i="1"/>
  <c r="X24" i="1"/>
  <c r="V24" i="1"/>
  <c r="W24" i="1" s="1"/>
  <c r="U24" i="1"/>
  <c r="S24" i="1"/>
  <c r="Q24" i="1"/>
  <c r="P24" i="1"/>
  <c r="H24" i="1"/>
  <c r="A24" i="1"/>
  <c r="Y23" i="1"/>
  <c r="X23" i="1"/>
  <c r="V23" i="1"/>
  <c r="U23" i="1"/>
  <c r="S23" i="1"/>
  <c r="Q23" i="1"/>
  <c r="P23" i="1"/>
  <c r="R23" i="1" s="1"/>
  <c r="H23" i="1"/>
  <c r="A23" i="1"/>
  <c r="Z22" i="1"/>
  <c r="Y22" i="1"/>
  <c r="X22" i="1"/>
  <c r="V22" i="1"/>
  <c r="U22" i="1"/>
  <c r="W22" i="1" s="1"/>
  <c r="S22" i="1"/>
  <c r="Q22" i="1"/>
  <c r="P22" i="1"/>
  <c r="R22" i="1" s="1"/>
  <c r="T22" i="1" s="1"/>
  <c r="H22" i="1"/>
  <c r="A22" i="1"/>
  <c r="Y21" i="1"/>
  <c r="X21" i="1"/>
  <c r="V21" i="1"/>
  <c r="U21" i="1"/>
  <c r="W21" i="1" s="1"/>
  <c r="S21" i="1"/>
  <c r="Q21" i="1"/>
  <c r="P21" i="1"/>
  <c r="R21" i="1" s="1"/>
  <c r="H21" i="1"/>
  <c r="A21" i="1"/>
  <c r="Z20" i="1"/>
  <c r="Y20" i="1"/>
  <c r="X20" i="1"/>
  <c r="V20" i="1"/>
  <c r="U20" i="1"/>
  <c r="W20" i="1" s="1"/>
  <c r="T20" i="1"/>
  <c r="S20" i="1"/>
  <c r="R20" i="1"/>
  <c r="Q20" i="1"/>
  <c r="P20" i="1"/>
  <c r="H20" i="1"/>
  <c r="A20" i="1"/>
  <c r="Z19" i="1"/>
  <c r="Y19" i="1"/>
  <c r="X19" i="1"/>
  <c r="W19" i="1"/>
  <c r="V19" i="1"/>
  <c r="U19" i="1"/>
  <c r="S19" i="1"/>
  <c r="Q19" i="1"/>
  <c r="R19" i="1" s="1"/>
  <c r="P19" i="1"/>
  <c r="H19" i="1"/>
  <c r="A19" i="1"/>
  <c r="Y18" i="1"/>
  <c r="X18" i="1"/>
  <c r="V18" i="1"/>
  <c r="U18" i="1"/>
  <c r="S18" i="1"/>
  <c r="Q18" i="1"/>
  <c r="P18" i="1"/>
  <c r="R18" i="1" s="1"/>
  <c r="H18" i="1"/>
  <c r="A18" i="1"/>
  <c r="Z17" i="1"/>
  <c r="Y17" i="1"/>
  <c r="X17" i="1"/>
  <c r="V17" i="1"/>
  <c r="U17" i="1"/>
  <c r="W17" i="1" s="1"/>
  <c r="S17" i="1"/>
  <c r="R17" i="1"/>
  <c r="Q17" i="1"/>
  <c r="P17" i="1"/>
  <c r="H17" i="1"/>
  <c r="A17" i="1"/>
  <c r="Y16" i="1"/>
  <c r="X16" i="1"/>
  <c r="W16" i="1"/>
  <c r="V16" i="1"/>
  <c r="U16" i="1"/>
  <c r="S16" i="1"/>
  <c r="Q16" i="1"/>
  <c r="P16" i="1"/>
  <c r="R16" i="1" s="1"/>
  <c r="H16" i="1"/>
  <c r="A16" i="1"/>
  <c r="Z15" i="1"/>
  <c r="Y15" i="1"/>
  <c r="X15" i="1"/>
  <c r="V15" i="1"/>
  <c r="U15" i="1"/>
  <c r="W15" i="1" s="1"/>
  <c r="S15" i="1"/>
  <c r="R15" i="1"/>
  <c r="T15" i="1" s="1"/>
  <c r="Q15" i="1"/>
  <c r="P15" i="1"/>
  <c r="H15" i="1"/>
  <c r="A15" i="1"/>
  <c r="Y14" i="1"/>
  <c r="X14" i="1"/>
  <c r="W14" i="1"/>
  <c r="V14" i="1"/>
  <c r="U14" i="1"/>
  <c r="S14" i="1"/>
  <c r="Q14" i="1"/>
  <c r="R14" i="1" s="1"/>
  <c r="P14" i="1"/>
  <c r="H14" i="1"/>
  <c r="Z14" i="1" s="1"/>
  <c r="A14" i="1"/>
  <c r="Y13" i="1"/>
  <c r="X13" i="1"/>
  <c r="V13" i="1"/>
  <c r="W13" i="1" s="1"/>
  <c r="U13" i="1"/>
  <c r="S13" i="1"/>
  <c r="Q13" i="1"/>
  <c r="P13" i="1"/>
  <c r="R13" i="1" s="1"/>
  <c r="H13" i="1"/>
  <c r="Z13" i="1" s="1"/>
  <c r="A13" i="1"/>
  <c r="Z12" i="1"/>
  <c r="Y12" i="1"/>
  <c r="X12" i="1"/>
  <c r="V12" i="1"/>
  <c r="U12" i="1"/>
  <c r="W12" i="1" s="1"/>
  <c r="T12" i="1"/>
  <c r="S12" i="1"/>
  <c r="Q12" i="1"/>
  <c r="R12" i="1" s="1"/>
  <c r="P12" i="1"/>
  <c r="H12" i="1"/>
  <c r="A12" i="1"/>
  <c r="Z11" i="1"/>
  <c r="Y11" i="1"/>
  <c r="X11" i="1"/>
  <c r="W11" i="1"/>
  <c r="V11" i="1"/>
  <c r="U11" i="1"/>
  <c r="S11" i="1"/>
  <c r="Q11" i="1"/>
  <c r="P11" i="1"/>
  <c r="R11" i="1" s="1"/>
  <c r="H11" i="1"/>
  <c r="A11" i="1"/>
  <c r="Y10" i="1"/>
  <c r="X10" i="1"/>
  <c r="V10" i="1"/>
  <c r="U10" i="1"/>
  <c r="W10" i="1" s="1"/>
  <c r="T10" i="1"/>
  <c r="S10" i="1"/>
  <c r="Q10" i="1"/>
  <c r="P10" i="1"/>
  <c r="R10" i="1" s="1"/>
  <c r="H10" i="1"/>
  <c r="Z10" i="1" s="1"/>
  <c r="A10" i="1"/>
  <c r="Z9" i="1"/>
  <c r="Y9" i="1"/>
  <c r="X9" i="1"/>
  <c r="V9" i="1"/>
  <c r="U9" i="1"/>
  <c r="W9" i="1" s="1"/>
  <c r="S9" i="1"/>
  <c r="Q9" i="1"/>
  <c r="P9" i="1"/>
  <c r="R9" i="1" s="1"/>
  <c r="T9" i="1" s="1"/>
  <c r="H9" i="1"/>
  <c r="A9" i="1"/>
  <c r="Y8" i="1"/>
  <c r="X8" i="1"/>
  <c r="V8" i="1"/>
  <c r="U8" i="1"/>
  <c r="W8" i="1" s="1"/>
  <c r="S8" i="1"/>
  <c r="Q8" i="1"/>
  <c r="P8" i="1"/>
  <c r="H8" i="1"/>
  <c r="A8" i="1"/>
  <c r="Z7" i="1"/>
  <c r="Y7" i="1"/>
  <c r="X7" i="1"/>
  <c r="V7" i="1"/>
  <c r="U7" i="1"/>
  <c r="T7" i="1"/>
  <c r="S7" i="1"/>
  <c r="R7" i="1"/>
  <c r="Q7" i="1"/>
  <c r="P7" i="1"/>
  <c r="H7" i="1"/>
  <c r="A7" i="1"/>
  <c r="Z6" i="1"/>
  <c r="Y6" i="1"/>
  <c r="X6" i="1"/>
  <c r="W6" i="1"/>
  <c r="V6" i="1"/>
  <c r="U6" i="1"/>
  <c r="S6" i="1"/>
  <c r="R6" i="1"/>
  <c r="T6" i="1" s="1"/>
  <c r="Q6" i="1"/>
  <c r="P6" i="1"/>
  <c r="H6" i="1"/>
  <c r="A6" i="1"/>
  <c r="Y5" i="1"/>
  <c r="X5" i="1"/>
  <c r="W5" i="1"/>
  <c r="V5" i="1"/>
  <c r="U5" i="1"/>
  <c r="T5" i="1"/>
  <c r="S5" i="1"/>
  <c r="Q5" i="1"/>
  <c r="P5" i="1"/>
  <c r="R5" i="1" s="1"/>
  <c r="H5" i="1"/>
  <c r="Z5" i="1" s="1"/>
  <c r="A5" i="1"/>
  <c r="Z4" i="1"/>
  <c r="Y4" i="1"/>
  <c r="X4" i="1"/>
  <c r="V4" i="1"/>
  <c r="U4" i="1"/>
  <c r="W4" i="1" s="1"/>
  <c r="S4" i="1"/>
  <c r="R4" i="1"/>
  <c r="T4" i="1" s="1"/>
  <c r="Q4" i="1"/>
  <c r="P4" i="1"/>
  <c r="H4" i="1"/>
  <c r="A4" i="1"/>
  <c r="Y3" i="1"/>
  <c r="X3" i="1"/>
  <c r="V3" i="1"/>
  <c r="W3" i="1" s="1"/>
  <c r="U3" i="1"/>
  <c r="S3" i="1"/>
  <c r="Q3" i="1"/>
  <c r="P3" i="1"/>
  <c r="R3" i="1" s="1"/>
  <c r="H3" i="1"/>
  <c r="A3" i="1"/>
  <c r="Y2" i="1"/>
  <c r="X2" i="1"/>
  <c r="W2" i="1"/>
  <c r="V2" i="1"/>
  <c r="U2" i="1"/>
  <c r="S2" i="1"/>
  <c r="Q2" i="1"/>
  <c r="P2" i="1"/>
  <c r="R2" i="1" s="1"/>
  <c r="H2" i="1"/>
  <c r="Z2" i="1" s="1"/>
  <c r="A2" i="1"/>
  <c r="T40" i="1" l="1"/>
  <c r="T98" i="1"/>
  <c r="Z98" i="1"/>
  <c r="T273" i="1"/>
  <c r="Z273" i="1"/>
  <c r="Z277" i="1"/>
  <c r="T277" i="1"/>
  <c r="T3" i="1"/>
  <c r="T13" i="1"/>
  <c r="W18" i="1"/>
  <c r="T31" i="1"/>
  <c r="R40" i="1"/>
  <c r="T42" i="1"/>
  <c r="W47" i="1"/>
  <c r="R64" i="1"/>
  <c r="T64" i="1" s="1"/>
  <c r="T78" i="1"/>
  <c r="T79" i="1"/>
  <c r="T83" i="1"/>
  <c r="T85" i="1"/>
  <c r="Z85" i="1"/>
  <c r="T91" i="1"/>
  <c r="T92" i="1"/>
  <c r="T117" i="1"/>
  <c r="T61" i="1"/>
  <c r="Z61" i="1"/>
  <c r="T74" i="1"/>
  <c r="Z74" i="1"/>
  <c r="Z103" i="1"/>
  <c r="T103" i="1"/>
  <c r="T182" i="1"/>
  <c r="Z182" i="1"/>
  <c r="T14" i="1"/>
  <c r="T43" i="1"/>
  <c r="Z3" i="1"/>
  <c r="Z1" i="1" s="1"/>
  <c r="T23" i="1"/>
  <c r="T34" i="1"/>
  <c r="T50" i="1"/>
  <c r="Z50" i="1"/>
  <c r="T56" i="1"/>
  <c r="T115" i="1"/>
  <c r="T127" i="1"/>
  <c r="Z127" i="1"/>
  <c r="T58" i="1"/>
  <c r="Z58" i="1"/>
  <c r="T105" i="1"/>
  <c r="Z105" i="1"/>
  <c r="T2" i="1"/>
  <c r="T35" i="1"/>
  <c r="T37" i="1"/>
  <c r="Z37" i="1"/>
  <c r="T27" i="1"/>
  <c r="T29" i="1"/>
  <c r="Z29" i="1"/>
  <c r="Z35" i="1"/>
  <c r="R56" i="1"/>
  <c r="T70" i="1"/>
  <c r="T71" i="1"/>
  <c r="T75" i="1"/>
  <c r="T77" i="1"/>
  <c r="Z77" i="1"/>
  <c r="T90" i="1"/>
  <c r="Z90" i="1"/>
  <c r="T118" i="1"/>
  <c r="T119" i="1"/>
  <c r="T122" i="1"/>
  <c r="Z122" i="1"/>
  <c r="T126" i="1"/>
  <c r="T45" i="1"/>
  <c r="Z45" i="1"/>
  <c r="T8" i="1"/>
  <c r="Z8" i="1"/>
  <c r="T17" i="1"/>
  <c r="T18" i="1"/>
  <c r="R24" i="1"/>
  <c r="T24" i="1" s="1"/>
  <c r="W31" i="1"/>
  <c r="T46" i="1"/>
  <c r="T47" i="1"/>
  <c r="T51" i="1"/>
  <c r="T53" i="1"/>
  <c r="Z53" i="1"/>
  <c r="T66" i="1"/>
  <c r="Z66" i="1"/>
  <c r="W79" i="1"/>
  <c r="W92" i="1"/>
  <c r="T100" i="1"/>
  <c r="T120" i="1"/>
  <c r="T147" i="1"/>
  <c r="T16" i="1"/>
  <c r="Z16" i="1"/>
  <c r="R8" i="1"/>
  <c r="T11" i="1"/>
  <c r="T19" i="1"/>
  <c r="T21" i="1"/>
  <c r="Z21" i="1"/>
  <c r="T48" i="1"/>
  <c r="W55" i="1"/>
  <c r="R72" i="1"/>
  <c r="T72" i="1" s="1"/>
  <c r="T86" i="1"/>
  <c r="T87" i="1"/>
  <c r="T101" i="1"/>
  <c r="T107" i="1"/>
  <c r="T128" i="1"/>
  <c r="W7" i="1"/>
  <c r="W23" i="1"/>
  <c r="T38" i="1"/>
  <c r="T39" i="1"/>
  <c r="R48" i="1"/>
  <c r="T62" i="1"/>
  <c r="T63" i="1"/>
  <c r="T69" i="1"/>
  <c r="Z69" i="1"/>
  <c r="T82" i="1"/>
  <c r="Z82" i="1"/>
  <c r="T88" i="1"/>
  <c r="T95" i="1"/>
  <c r="Z95" i="1"/>
  <c r="T108" i="1"/>
  <c r="T112" i="1"/>
  <c r="T123" i="1"/>
  <c r="T141" i="1"/>
  <c r="Z141" i="1"/>
  <c r="T169" i="1"/>
  <c r="Z169" i="1"/>
  <c r="T179" i="1"/>
  <c r="Z179" i="1"/>
  <c r="T223" i="1"/>
  <c r="Z223" i="1"/>
  <c r="T252" i="1"/>
  <c r="Z252" i="1"/>
  <c r="Z256" i="1"/>
  <c r="T256" i="1"/>
  <c r="Z330" i="1"/>
  <c r="T330" i="1"/>
  <c r="W102" i="1"/>
  <c r="Z112" i="1"/>
  <c r="Z117" i="1"/>
  <c r="R125" i="1"/>
  <c r="T125" i="1" s="1"/>
  <c r="R130" i="1"/>
  <c r="W137" i="1"/>
  <c r="T143" i="1"/>
  <c r="Z143" i="1"/>
  <c r="T146" i="1"/>
  <c r="Z146" i="1"/>
  <c r="T158" i="1"/>
  <c r="Z158" i="1"/>
  <c r="T177" i="1"/>
  <c r="R203" i="1"/>
  <c r="R211" i="1"/>
  <c r="T211" i="1" s="1"/>
  <c r="T231" i="1"/>
  <c r="Z231" i="1"/>
  <c r="T164" i="1"/>
  <c r="Z164" i="1"/>
  <c r="T212" i="1"/>
  <c r="Z212" i="1"/>
  <c r="T239" i="1"/>
  <c r="Z239" i="1"/>
  <c r="T109" i="1"/>
  <c r="Z114" i="1"/>
  <c r="Z119" i="1"/>
  <c r="W124" i="1"/>
  <c r="W129" i="1"/>
  <c r="Z134" i="1"/>
  <c r="Z156" i="1"/>
  <c r="T159" i="1"/>
  <c r="T161" i="1"/>
  <c r="Z161" i="1"/>
  <c r="R164" i="1"/>
  <c r="T174" i="1"/>
  <c r="Z174" i="1"/>
  <c r="T190" i="1"/>
  <c r="Z190" i="1"/>
  <c r="T198" i="1"/>
  <c r="Z198" i="1"/>
  <c r="Z209" i="1"/>
  <c r="T209" i="1"/>
  <c r="T305" i="1"/>
  <c r="Z305" i="1"/>
  <c r="Z23" i="1"/>
  <c r="Z31" i="1"/>
  <c r="Z39" i="1"/>
  <c r="Z47" i="1"/>
  <c r="Z55" i="1"/>
  <c r="Z63" i="1"/>
  <c r="Z71" i="1"/>
  <c r="Z79" i="1"/>
  <c r="Z87" i="1"/>
  <c r="Z92" i="1"/>
  <c r="Z100" i="1"/>
  <c r="Z107" i="1"/>
  <c r="R111" i="1"/>
  <c r="T111" i="1" s="1"/>
  <c r="T130" i="1"/>
  <c r="T132" i="1"/>
  <c r="W145" i="1"/>
  <c r="R156" i="1"/>
  <c r="T156" i="1" s="1"/>
  <c r="T171" i="1"/>
  <c r="Z171" i="1"/>
  <c r="W176" i="1"/>
  <c r="T183" i="1"/>
  <c r="T184" i="1"/>
  <c r="T187" i="1"/>
  <c r="Z187" i="1"/>
  <c r="W192" i="1"/>
  <c r="R201" i="1"/>
  <c r="T135" i="1"/>
  <c r="T151" i="1"/>
  <c r="Z151" i="1"/>
  <c r="T185" i="1"/>
  <c r="T138" i="1"/>
  <c r="Z138" i="1"/>
  <c r="T148" i="1"/>
  <c r="Z148" i="1"/>
  <c r="R151" i="1"/>
  <c r="W155" i="1"/>
  <c r="R185" i="1"/>
  <c r="W200" i="1"/>
  <c r="T244" i="1"/>
  <c r="Z244" i="1"/>
  <c r="W278" i="1"/>
  <c r="Z309" i="1"/>
  <c r="T309" i="1"/>
  <c r="T344" i="1"/>
  <c r="Z344" i="1"/>
  <c r="Z250" i="1"/>
  <c r="T271" i="1"/>
  <c r="Z271" i="1"/>
  <c r="T281" i="1"/>
  <c r="Z281" i="1"/>
  <c r="T295" i="1"/>
  <c r="T313" i="1"/>
  <c r="Z313" i="1"/>
  <c r="T339" i="1"/>
  <c r="Z339" i="1"/>
  <c r="T207" i="1"/>
  <c r="Z207" i="1"/>
  <c r="T221" i="1"/>
  <c r="Z221" i="1"/>
  <c r="W222" i="1"/>
  <c r="T229" i="1"/>
  <c r="Z229" i="1"/>
  <c r="W230" i="1"/>
  <c r="T237" i="1"/>
  <c r="Z237" i="1"/>
  <c r="W238" i="1"/>
  <c r="R250" i="1"/>
  <c r="T250" i="1" s="1"/>
  <c r="T265" i="1"/>
  <c r="Z265" i="1"/>
  <c r="R271" i="1"/>
  <c r="Z285" i="1"/>
  <c r="T285" i="1"/>
  <c r="R295" i="1"/>
  <c r="T299" i="1"/>
  <c r="Z317" i="1"/>
  <c r="T317" i="1"/>
  <c r="T324" i="1"/>
  <c r="Z248" i="1"/>
  <c r="T248" i="1"/>
  <c r="Z269" i="1"/>
  <c r="T269" i="1"/>
  <c r="T289" i="1"/>
  <c r="Z289" i="1"/>
  <c r="Z176" i="1"/>
  <c r="Z184" i="1"/>
  <c r="Z192" i="1"/>
  <c r="Z200" i="1"/>
  <c r="Z205" i="1"/>
  <c r="Z219" i="1"/>
  <c r="T219" i="1"/>
  <c r="Z227" i="1"/>
  <c r="T227" i="1"/>
  <c r="Z235" i="1"/>
  <c r="T235" i="1"/>
  <c r="T254" i="1"/>
  <c r="T263" i="1"/>
  <c r="Z263" i="1"/>
  <c r="T275" i="1"/>
  <c r="Z293" i="1"/>
  <c r="T293" i="1"/>
  <c r="T307" i="1"/>
  <c r="T332" i="1"/>
  <c r="R197" i="1"/>
  <c r="T197" i="1" s="1"/>
  <c r="R205" i="1"/>
  <c r="T205" i="1" s="1"/>
  <c r="R216" i="1"/>
  <c r="T216" i="1" s="1"/>
  <c r="T246" i="1"/>
  <c r="Z246" i="1"/>
  <c r="R263" i="1"/>
  <c r="T279" i="1"/>
  <c r="T297" i="1"/>
  <c r="Z297" i="1"/>
  <c r="W302" i="1"/>
  <c r="T311" i="1"/>
  <c r="Z322" i="1"/>
  <c r="T322" i="1"/>
  <c r="R332" i="1"/>
  <c r="T333" i="1"/>
  <c r="T337" i="1"/>
  <c r="W348" i="1"/>
  <c r="W352" i="1"/>
  <c r="W356" i="1"/>
  <c r="W360" i="1"/>
  <c r="T193" i="1"/>
  <c r="T195" i="1"/>
  <c r="Z195" i="1"/>
  <c r="W196" i="1"/>
  <c r="T201" i="1"/>
  <c r="T203" i="1"/>
  <c r="Z203" i="1"/>
  <c r="W204" i="1"/>
  <c r="Z214" i="1"/>
  <c r="T214" i="1"/>
  <c r="W215" i="1"/>
  <c r="T217" i="1"/>
  <c r="Z217" i="1"/>
  <c r="T225" i="1"/>
  <c r="Z225" i="1"/>
  <c r="T233" i="1"/>
  <c r="Z233" i="1"/>
  <c r="T241" i="1"/>
  <c r="Z241" i="1"/>
  <c r="T258" i="1"/>
  <c r="Z258" i="1"/>
  <c r="Z261" i="1"/>
  <c r="T261" i="1"/>
  <c r="W262" i="1"/>
  <c r="R279" i="1"/>
  <c r="T283" i="1"/>
  <c r="Z301" i="1"/>
  <c r="T301" i="1"/>
  <c r="R311" i="1"/>
  <c r="T315" i="1"/>
  <c r="T326" i="1"/>
  <c r="Z326" i="1"/>
  <c r="W331" i="1"/>
  <c r="R337" i="1"/>
  <c r="T341" i="1"/>
  <c r="Z279" i="1"/>
  <c r="Z287" i="1"/>
  <c r="Z295" i="1"/>
  <c r="Z303" i="1"/>
  <c r="Z311" i="1"/>
  <c r="Z324" i="1"/>
  <c r="T335" i="1"/>
  <c r="Z337" i="1"/>
  <c r="T343" i="1"/>
  <c r="Z254" i="1"/>
  <c r="Z267" i="1"/>
  <c r="Z275" i="1"/>
  <c r="Z283" i="1"/>
  <c r="Z291" i="1"/>
  <c r="Z299" i="1"/>
  <c r="Z307" i="1"/>
  <c r="Z315" i="1"/>
  <c r="Z320" i="1"/>
  <c r="Z328" i="1"/>
  <c r="Z333" i="1"/>
  <c r="Z341" i="1"/>
</calcChain>
</file>

<file path=xl/sharedStrings.xml><?xml version="1.0" encoding="utf-8"?>
<sst xmlns="http://schemas.openxmlformats.org/spreadsheetml/2006/main" count="26" uniqueCount="26">
  <si>
    <t>ID</t>
  </si>
  <si>
    <t>hodnost</t>
  </si>
  <si>
    <t>Jméno</t>
  </si>
  <si>
    <t>Příjmení</t>
  </si>
  <si>
    <t>Jednotka</t>
  </si>
  <si>
    <t>Pohlaví</t>
  </si>
  <si>
    <t>Rok narození</t>
  </si>
  <si>
    <t>Věková kategorie</t>
  </si>
  <si>
    <t>Datum přezkoušení</t>
  </si>
  <si>
    <t>Důvod neúčasti</t>
  </si>
  <si>
    <t>Leh-sedy</t>
  </si>
  <si>
    <t>Kliky</t>
  </si>
  <si>
    <t>Shyby                  /                 výdrž</t>
  </si>
  <si>
    <t>Běh</t>
  </si>
  <si>
    <t>Plavání</t>
  </si>
  <si>
    <t>Známka leh-sedy</t>
  </si>
  <si>
    <t>Známka kliky</t>
  </si>
  <si>
    <t>Známka SSC</t>
  </si>
  <si>
    <t>Známka shyby</t>
  </si>
  <si>
    <t>Známka silové</t>
  </si>
  <si>
    <t>Známka běh</t>
  </si>
  <si>
    <t>Známka plavání</t>
  </si>
  <si>
    <t>Známka vytrval</t>
  </si>
  <si>
    <t>Celkové hodnocení    (VP a PP)</t>
  </si>
  <si>
    <t>Hodnocení</t>
  </si>
  <si>
    <t>Pozn.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</si>
</sst>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1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1"/>
      <color indexed="8"/>
      <name val="Calibri"/>
      <family val="2"/>
      <charset val="238"/>
    </font>
    <font>
      <b/>
      <sz val="9"/>
      <color indexed="8"/>
      <name val="Aptos Narrow"/>
      <family val="2"/>
      <charset val="238"/>
      <scheme val="minor"/>
    </font>
    <font>
      <b/>
      <sz val="12"/>
      <color indexed="8"/>
      <name val="Aptos Narrow"/>
      <family val="2"/>
      <charset val="238"/>
      <scheme val="minor"/>
    </font>
    <font>
      <sz val="12"/>
      <color indexed="8"/>
      <name val="Aptos Narrow"/>
      <family val="2"/>
      <charset val="238"/>
      <scheme val="minor"/>
    </font>
    <font>
      <b/>
      <sz val="12"/>
      <name val="Aptos Narrow"/>
      <family val="2"/>
      <charset val="238"/>
      <scheme val="minor"/>
    </font>
    <font>
      <sz val="12"/>
      <color theme="1"/>
      <name val="Aptos Narrow"/>
      <family val="2"/>
      <charset val="238"/>
      <scheme val="minor"/>
    </font>
    <font>
      <sz val="12"/>
      <name val="Aptos Narrow"/>
      <family val="2"/>
      <charset val="238"/>
      <scheme val="minor"/>
    </font>
    <font>
      <b/>
      <sz val="11"/>
      <name val="Arial"/>
      <family val="2"/>
      <charset val="238"/>
    </font>
    <font>
      <b/>
      <sz val="11"/>
      <color theme="1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ECF2F8"/>
        <bgColor indexed="64"/>
      </patternFill>
    </fill>
    <fill>
      <patternFill patternType="solid">
        <fgColor theme="4" tint="0.59996337778862885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medium">
        <color indexed="8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auto="1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auto="1"/>
      </bottom>
      <diagonal/>
    </border>
    <border>
      <left style="thin">
        <color indexed="8"/>
      </left>
      <right/>
      <top style="medium">
        <color indexed="8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3">
    <xf numFmtId="0" fontId="0" fillId="0" borderId="0" xfId="0"/>
    <xf numFmtId="0" fontId="3" fillId="2" borderId="1" xfId="1" applyFont="1" applyFill="1" applyBorder="1" applyAlignment="1">
      <alignment horizontal="center" vertical="center" textRotation="90" wrapText="1"/>
    </xf>
    <xf numFmtId="0" fontId="3" fillId="2" borderId="2" xfId="1" applyFont="1" applyFill="1" applyBorder="1" applyAlignment="1">
      <alignment horizontal="center" vertical="center" textRotation="90" wrapText="1"/>
    </xf>
    <xf numFmtId="0" fontId="3" fillId="2" borderId="3" xfId="1" applyFont="1" applyFill="1" applyBorder="1" applyAlignment="1">
      <alignment horizontal="center" vertical="center" textRotation="90" wrapText="1"/>
    </xf>
    <xf numFmtId="0" fontId="3" fillId="2" borderId="4" xfId="1" applyFont="1" applyFill="1" applyBorder="1" applyAlignment="1">
      <alignment horizontal="center" vertical="center" textRotation="90" wrapText="1"/>
    </xf>
    <xf numFmtId="0" fontId="3" fillId="2" borderId="5" xfId="1" applyFont="1" applyFill="1" applyBorder="1" applyAlignment="1">
      <alignment horizontal="center" vertical="center" textRotation="90" wrapText="1"/>
    </xf>
    <xf numFmtId="14" fontId="3" fillId="2" borderId="6" xfId="1" applyNumberFormat="1" applyFont="1" applyFill="1" applyBorder="1" applyAlignment="1">
      <alignment horizontal="center" vertical="center" textRotation="90" wrapText="1"/>
    </xf>
    <xf numFmtId="0" fontId="3" fillId="2" borderId="7" xfId="1" applyFont="1" applyFill="1" applyBorder="1" applyAlignment="1">
      <alignment horizontal="center" vertical="center" textRotation="90" wrapText="1"/>
    </xf>
    <xf numFmtId="0" fontId="3" fillId="2" borderId="8" xfId="1" applyFont="1" applyFill="1" applyBorder="1" applyAlignment="1">
      <alignment horizontal="center" vertical="center" textRotation="90" wrapText="1"/>
    </xf>
    <xf numFmtId="0" fontId="3" fillId="2" borderId="9" xfId="1" applyFont="1" applyFill="1" applyBorder="1" applyAlignment="1">
      <alignment horizontal="center" vertical="center" textRotation="90" wrapText="1"/>
    </xf>
    <xf numFmtId="0" fontId="3" fillId="2" borderId="10" xfId="1" applyFont="1" applyFill="1" applyBorder="1" applyAlignment="1">
      <alignment horizontal="center" vertical="center" textRotation="90" wrapText="1"/>
    </xf>
    <xf numFmtId="0" fontId="3" fillId="2" borderId="11" xfId="1" applyFont="1" applyFill="1" applyBorder="1" applyAlignment="1">
      <alignment horizontal="center" vertical="center" textRotation="90" wrapText="1"/>
    </xf>
    <xf numFmtId="0" fontId="4" fillId="2" borderId="11" xfId="1" applyFont="1" applyFill="1" applyBorder="1" applyAlignment="1">
      <alignment horizontal="center" vertical="center" wrapText="1"/>
    </xf>
    <xf numFmtId="0" fontId="3" fillId="2" borderId="12" xfId="1" applyFont="1" applyFill="1" applyBorder="1" applyAlignment="1">
      <alignment horizontal="center" vertical="center" textRotation="90" wrapText="1"/>
    </xf>
    <xf numFmtId="0" fontId="5" fillId="2" borderId="13" xfId="1" applyFont="1" applyFill="1" applyBorder="1" applyAlignment="1">
      <alignment horizontal="center" vertical="center"/>
    </xf>
    <xf numFmtId="1" fontId="6" fillId="3" borderId="14" xfId="0" applyNumberFormat="1" applyFont="1" applyFill="1" applyBorder="1" applyAlignment="1">
      <alignment horizontal="center" vertical="center" wrapText="1"/>
    </xf>
    <xf numFmtId="1" fontId="6" fillId="3" borderId="14" xfId="0" applyNumberFormat="1" applyFont="1" applyFill="1" applyBorder="1" applyAlignment="1">
      <alignment horizontal="left" vertical="center" wrapText="1"/>
    </xf>
    <xf numFmtId="0" fontId="7" fillId="3" borderId="14" xfId="0" applyFont="1" applyFill="1" applyBorder="1" applyAlignment="1">
      <alignment vertical="top" wrapText="1"/>
    </xf>
    <xf numFmtId="1" fontId="8" fillId="3" borderId="14" xfId="0" applyNumberFormat="1" applyFont="1" applyFill="1" applyBorder="1" applyAlignment="1">
      <alignment horizontal="left" vertical="center" wrapText="1"/>
    </xf>
    <xf numFmtId="0" fontId="8" fillId="3" borderId="15" xfId="0" applyFont="1" applyFill="1" applyBorder="1" applyAlignment="1">
      <alignment horizontal="center" vertical="center" wrapText="1"/>
    </xf>
    <xf numFmtId="0" fontId="7" fillId="2" borderId="16" xfId="1" applyFont="1" applyFill="1" applyBorder="1" applyAlignment="1">
      <alignment horizontal="center" vertical="center"/>
    </xf>
    <xf numFmtId="14" fontId="8" fillId="0" borderId="13" xfId="1" applyNumberFormat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0" fontId="5" fillId="2" borderId="17" xfId="1" applyFont="1" applyFill="1" applyBorder="1" applyAlignment="1">
      <alignment horizontal="center" vertical="center"/>
    </xf>
    <xf numFmtId="0" fontId="5" fillId="2" borderId="18" xfId="1" applyFont="1" applyFill="1" applyBorder="1" applyAlignment="1">
      <alignment horizontal="center" vertical="center"/>
    </xf>
    <xf numFmtId="0" fontId="5" fillId="2" borderId="19" xfId="1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/>
    </xf>
    <xf numFmtId="0" fontId="5" fillId="2" borderId="20" xfId="1" applyFont="1" applyFill="1" applyBorder="1" applyAlignment="1">
      <alignment horizontal="center" vertical="center"/>
    </xf>
    <xf numFmtId="164" fontId="1" fillId="4" borderId="0" xfId="0" applyNumberFormat="1" applyFont="1" applyFill="1"/>
    <xf numFmtId="0" fontId="1" fillId="0" borderId="0" xfId="0" applyFont="1"/>
    <xf numFmtId="1" fontId="9" fillId="0" borderId="17" xfId="0" applyNumberFormat="1" applyFont="1" applyBorder="1" applyAlignment="1">
      <alignment horizontal="left" vertical="top" wrapText="1"/>
    </xf>
    <xf numFmtId="0" fontId="8" fillId="3" borderId="21" xfId="0" applyFont="1" applyFill="1" applyBorder="1" applyAlignment="1">
      <alignment horizontal="center" vertical="center" wrapText="1"/>
    </xf>
    <xf numFmtId="0" fontId="7" fillId="2" borderId="22" xfId="1" applyFont="1" applyFill="1" applyBorder="1" applyAlignment="1">
      <alignment horizontal="center" vertical="center"/>
    </xf>
    <xf numFmtId="0" fontId="5" fillId="2" borderId="23" xfId="1" applyFont="1" applyFill="1" applyBorder="1" applyAlignment="1">
      <alignment horizontal="center" vertical="center"/>
    </xf>
    <xf numFmtId="1" fontId="6" fillId="3" borderId="17" xfId="0" applyNumberFormat="1" applyFont="1" applyFill="1" applyBorder="1" applyAlignment="1">
      <alignment horizontal="left" vertical="center" wrapText="1"/>
    </xf>
    <xf numFmtId="1" fontId="6" fillId="0" borderId="14" xfId="0" applyNumberFormat="1" applyFont="1" applyBorder="1" applyAlignment="1">
      <alignment horizontal="center" vertical="center" wrapText="1"/>
    </xf>
    <xf numFmtId="0" fontId="7" fillId="0" borderId="14" xfId="0" applyFont="1" applyBorder="1" applyAlignment="1">
      <alignment vertical="top" wrapText="1"/>
    </xf>
    <xf numFmtId="1" fontId="8" fillId="0" borderId="14" xfId="0" applyNumberFormat="1" applyFont="1" applyBorder="1" applyAlignment="1">
      <alignment horizontal="left" vertical="center" wrapText="1"/>
    </xf>
    <xf numFmtId="0" fontId="8" fillId="0" borderId="21" xfId="0" applyFont="1" applyBorder="1" applyAlignment="1">
      <alignment horizontal="center" vertical="center" wrapText="1"/>
    </xf>
    <xf numFmtId="1" fontId="10" fillId="0" borderId="17" xfId="0" applyNumberFormat="1" applyFont="1" applyBorder="1" applyAlignment="1">
      <alignment horizontal="left" vertical="top" wrapText="1"/>
    </xf>
    <xf numFmtId="0" fontId="7" fillId="3" borderId="17" xfId="0" applyFont="1" applyFill="1" applyBorder="1" applyAlignment="1">
      <alignment vertical="top" wrapText="1"/>
    </xf>
    <xf numFmtId="1" fontId="8" fillId="3" borderId="17" xfId="0" applyNumberFormat="1" applyFont="1" applyFill="1" applyBorder="1" applyAlignment="1">
      <alignment horizontal="left" vertical="center" wrapText="1"/>
    </xf>
  </cellXfs>
  <cellStyles count="2">
    <cellStyle name="Excel Built-in Normal" xfId="1" xr:uid="{0BAA42E2-8608-4A52-94FA-D26804E4CA84}"/>
    <cellStyle name="Normální" xfId="0" builtinId="0"/>
  </cellStyles>
  <dxfs count="28">
    <dxf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C000"/>
        </patternFill>
      </fill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C000"/>
        </patternFill>
      </fill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F0000"/>
        </patternFill>
      </fill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fgColor indexed="60"/>
          <bgColor indexed="10"/>
        </patternFill>
      </fill>
    </dxf>
    <dxf>
      <font>
        <b/>
        <i val="0"/>
      </font>
      <fill>
        <patternFill>
          <bgColor rgb="FFFFFF00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ogovcz-my.sharepoint.com/personal/radek_telvak_mo_gov_cz/Documents/Desktop/P&#345;ezkou&#353;en&#237;%20202X_PVP_NOV&#221;.xlsx" TargetMode="External"/><Relationship Id="rId1" Type="http://schemas.openxmlformats.org/officeDocument/2006/relationships/externalLinkPath" Target="P&#345;ezkou&#353;en&#237;%20202X_PVP_NOV&#22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!Vstupní informace!"/>
      <sheetName val="VP"/>
      <sheetName val="PP"/>
      <sheetName val="Normy VP"/>
      <sheetName val="Normy PP"/>
      <sheetName val="KC"/>
      <sheetName val="Potvrzení"/>
      <sheetName val="Souhrnné hlášení"/>
      <sheetName val="Pomocné"/>
    </sheetNames>
    <sheetDataSet>
      <sheetData sheetId="0"/>
      <sheetData sheetId="1"/>
      <sheetData sheetId="2">
        <row r="2">
          <cell r="B2" t="str">
            <v>Vstupní informace:</v>
          </cell>
          <cell r="D2" t="str">
            <v>rok:</v>
          </cell>
          <cell r="E2">
            <v>2026</v>
          </cell>
          <cell r="F2" t="str">
            <v>PV - Praha</v>
          </cell>
          <cell r="I2" t="str">
            <v>Výsledky profesního přezkoušení jednotlivých vojáků</v>
          </cell>
          <cell r="Q2" t="str">
            <v>(Pomocné)</v>
          </cell>
          <cell r="W2" t="str">
            <v>Debug</v>
          </cell>
        </row>
        <row r="4">
          <cell r="A4" t="str">
            <v>ID</v>
          </cell>
          <cell r="B4" t="str">
            <v xml:space="preserve"> hodnost</v>
          </cell>
          <cell r="C4" t="str">
            <v>Jméno</v>
          </cell>
          <cell r="D4" t="str">
            <v>Příjmení</v>
          </cell>
          <cell r="E4" t="str">
            <v>Jednotka</v>
          </cell>
          <cell r="F4" t="str">
            <v>Výkonnostní skupina</v>
          </cell>
          <cell r="G4" t="str">
            <v>A</v>
          </cell>
          <cell r="H4" t="str">
            <v>0 testy</v>
          </cell>
          <cell r="Q4" t="str">
            <v>hodnocení testu č. 1</v>
          </cell>
          <cell r="R4" t="str">
            <v>hodnocení testu č. 2</v>
          </cell>
          <cell r="S4" t="str">
            <v>hodnocení testu č. 3</v>
          </cell>
          <cell r="T4" t="str">
            <v>hodnocení testu č. 4</v>
          </cell>
          <cell r="U4" t="str">
            <v>Celkové hodnocení   (PP a VP)</v>
          </cell>
          <cell r="V4" t="str">
            <v xml:space="preserve">Celkové hodnocení </v>
          </cell>
          <cell r="W4" t="str">
            <v>OK</v>
          </cell>
        </row>
        <row r="5">
          <cell r="G5" t="str">
            <v>B</v>
          </cell>
          <cell r="H5" t="str">
            <v>0 testy</v>
          </cell>
        </row>
        <row r="6">
          <cell r="G6" t="str">
            <v>C</v>
          </cell>
          <cell r="H6" t="str">
            <v>2 testy</v>
          </cell>
          <cell r="I6" t="str">
            <v>Pěší přesun na 15km</v>
          </cell>
          <cell r="K6" t="str">
            <v>Hod granátem na cíl podle PD</v>
          </cell>
        </row>
        <row r="7">
          <cell r="G7" t="str">
            <v>Datum přezkoušení</v>
          </cell>
          <cell r="H7" t="str">
            <v>Důvod neúčasti</v>
          </cell>
          <cell r="I7" t="str">
            <v>Výkon</v>
          </cell>
          <cell r="J7" t="str">
            <v>známka</v>
          </cell>
          <cell r="K7" t="str">
            <v>Výkon</v>
          </cell>
          <cell r="L7" t="str">
            <v>známka</v>
          </cell>
          <cell r="M7" t="str">
            <v>Výkon</v>
          </cell>
          <cell r="N7" t="str">
            <v>známka</v>
          </cell>
          <cell r="O7" t="str">
            <v>Výkon</v>
          </cell>
          <cell r="P7" t="str">
            <v>známka</v>
          </cell>
        </row>
        <row r="8">
          <cell r="A8" t="str">
            <v xml:space="preserve">  </v>
          </cell>
          <cell r="F8" t="e">
            <v>#N/A</v>
          </cell>
          <cell r="J8" t="e">
            <v>#N/A</v>
          </cell>
          <cell r="L8" t="e">
            <v>#N/A</v>
          </cell>
          <cell r="N8" t="e">
            <v>#N/A</v>
          </cell>
          <cell r="P8" t="e">
            <v>#N/A</v>
          </cell>
          <cell r="Q8" t="e">
            <v>#N/A</v>
          </cell>
          <cell r="R8" t="e">
            <v>#N/A</v>
          </cell>
          <cell r="S8" t="e">
            <v>#N/A</v>
          </cell>
          <cell r="T8" t="e">
            <v>#N/A</v>
          </cell>
          <cell r="U8" t="str">
            <v/>
          </cell>
          <cell r="V8" t="str">
            <v/>
          </cell>
          <cell r="W8" t="e">
            <v>#N/A</v>
          </cell>
        </row>
        <row r="9">
          <cell r="A9" t="str">
            <v xml:space="preserve">  </v>
          </cell>
          <cell r="F9" t="e">
            <v>#N/A</v>
          </cell>
          <cell r="J9" t="e">
            <v>#N/A</v>
          </cell>
          <cell r="L9" t="e">
            <v>#N/A</v>
          </cell>
          <cell r="N9" t="e">
            <v>#N/A</v>
          </cell>
          <cell r="P9" t="e">
            <v>#N/A</v>
          </cell>
          <cell r="Q9" t="e">
            <v>#N/A</v>
          </cell>
          <cell r="R9" t="e">
            <v>#N/A</v>
          </cell>
          <cell r="S9" t="e">
            <v>#N/A</v>
          </cell>
          <cell r="T9" t="e">
            <v>#N/A</v>
          </cell>
          <cell r="U9" t="str">
            <v/>
          </cell>
          <cell r="V9" t="str">
            <v/>
          </cell>
          <cell r="W9" t="e">
            <v>#N/A</v>
          </cell>
        </row>
        <row r="10">
          <cell r="A10" t="str">
            <v xml:space="preserve">  </v>
          </cell>
          <cell r="F10" t="e">
            <v>#N/A</v>
          </cell>
          <cell r="J10" t="e">
            <v>#N/A</v>
          </cell>
          <cell r="L10" t="e">
            <v>#N/A</v>
          </cell>
          <cell r="N10" t="e">
            <v>#N/A</v>
          </cell>
          <cell r="P10" t="e">
            <v>#N/A</v>
          </cell>
          <cell r="Q10" t="e">
            <v>#N/A</v>
          </cell>
          <cell r="R10" t="e">
            <v>#N/A</v>
          </cell>
          <cell r="S10" t="e">
            <v>#N/A</v>
          </cell>
          <cell r="T10" t="e">
            <v>#N/A</v>
          </cell>
          <cell r="U10" t="str">
            <v/>
          </cell>
          <cell r="V10" t="str">
            <v/>
          </cell>
          <cell r="W10" t="e">
            <v>#N/A</v>
          </cell>
        </row>
        <row r="11">
          <cell r="A11" t="str">
            <v xml:space="preserve">  </v>
          </cell>
          <cell r="F11" t="e">
            <v>#N/A</v>
          </cell>
          <cell r="J11" t="e">
            <v>#N/A</v>
          </cell>
          <cell r="L11" t="e">
            <v>#N/A</v>
          </cell>
          <cell r="N11" t="e">
            <v>#N/A</v>
          </cell>
          <cell r="P11" t="e">
            <v>#N/A</v>
          </cell>
          <cell r="Q11" t="e">
            <v>#N/A</v>
          </cell>
          <cell r="R11" t="e">
            <v>#N/A</v>
          </cell>
          <cell r="S11" t="e">
            <v>#N/A</v>
          </cell>
          <cell r="T11" t="e">
            <v>#N/A</v>
          </cell>
          <cell r="U11" t="str">
            <v/>
          </cell>
          <cell r="V11" t="str">
            <v/>
          </cell>
          <cell r="W11" t="e">
            <v>#N/A</v>
          </cell>
        </row>
        <row r="12">
          <cell r="A12" t="str">
            <v xml:space="preserve">  </v>
          </cell>
          <cell r="F12" t="e">
            <v>#N/A</v>
          </cell>
          <cell r="J12" t="e">
            <v>#N/A</v>
          </cell>
          <cell r="L12" t="e">
            <v>#N/A</v>
          </cell>
          <cell r="N12" t="e">
            <v>#N/A</v>
          </cell>
          <cell r="P12" t="e">
            <v>#N/A</v>
          </cell>
          <cell r="Q12" t="e">
            <v>#N/A</v>
          </cell>
          <cell r="R12" t="e">
            <v>#N/A</v>
          </cell>
          <cell r="S12" t="e">
            <v>#N/A</v>
          </cell>
          <cell r="T12" t="e">
            <v>#N/A</v>
          </cell>
          <cell r="U12" t="str">
            <v/>
          </cell>
          <cell r="V12" t="str">
            <v/>
          </cell>
          <cell r="W12" t="e">
            <v>#N/A</v>
          </cell>
        </row>
        <row r="13">
          <cell r="A13" t="str">
            <v xml:space="preserve">  </v>
          </cell>
          <cell r="F13" t="e">
            <v>#N/A</v>
          </cell>
          <cell r="J13" t="e">
            <v>#N/A</v>
          </cell>
          <cell r="L13" t="e">
            <v>#N/A</v>
          </cell>
          <cell r="N13" t="e">
            <v>#N/A</v>
          </cell>
          <cell r="P13" t="e">
            <v>#N/A</v>
          </cell>
          <cell r="Q13" t="e">
            <v>#N/A</v>
          </cell>
          <cell r="R13" t="e">
            <v>#N/A</v>
          </cell>
          <cell r="S13" t="e">
            <v>#N/A</v>
          </cell>
          <cell r="T13" t="e">
            <v>#N/A</v>
          </cell>
          <cell r="U13" t="str">
            <v/>
          </cell>
          <cell r="V13" t="str">
            <v/>
          </cell>
          <cell r="W13" t="e">
            <v>#N/A</v>
          </cell>
        </row>
        <row r="14">
          <cell r="A14" t="str">
            <v xml:space="preserve">  </v>
          </cell>
          <cell r="F14" t="e">
            <v>#N/A</v>
          </cell>
          <cell r="J14" t="e">
            <v>#N/A</v>
          </cell>
          <cell r="L14" t="e">
            <v>#N/A</v>
          </cell>
          <cell r="N14" t="e">
            <v>#N/A</v>
          </cell>
          <cell r="P14" t="e">
            <v>#N/A</v>
          </cell>
          <cell r="Q14" t="e">
            <v>#N/A</v>
          </cell>
          <cell r="R14" t="e">
            <v>#N/A</v>
          </cell>
          <cell r="S14" t="e">
            <v>#N/A</v>
          </cell>
          <cell r="T14" t="e">
            <v>#N/A</v>
          </cell>
          <cell r="U14" t="str">
            <v/>
          </cell>
          <cell r="V14" t="str">
            <v/>
          </cell>
          <cell r="W14" t="e">
            <v>#N/A</v>
          </cell>
        </row>
        <row r="15">
          <cell r="A15" t="str">
            <v xml:space="preserve">  </v>
          </cell>
          <cell r="F15" t="e">
            <v>#N/A</v>
          </cell>
          <cell r="J15" t="e">
            <v>#N/A</v>
          </cell>
          <cell r="L15" t="e">
            <v>#N/A</v>
          </cell>
          <cell r="N15" t="e">
            <v>#N/A</v>
          </cell>
          <cell r="P15" t="e">
            <v>#N/A</v>
          </cell>
          <cell r="Q15" t="e">
            <v>#N/A</v>
          </cell>
          <cell r="R15" t="e">
            <v>#N/A</v>
          </cell>
          <cell r="S15" t="e">
            <v>#N/A</v>
          </cell>
          <cell r="T15" t="e">
            <v>#N/A</v>
          </cell>
          <cell r="U15" t="str">
            <v/>
          </cell>
          <cell r="V15" t="str">
            <v/>
          </cell>
          <cell r="W15" t="e">
            <v>#N/A</v>
          </cell>
        </row>
        <row r="16">
          <cell r="A16" t="str">
            <v xml:space="preserve">  </v>
          </cell>
          <cell r="F16" t="e">
            <v>#N/A</v>
          </cell>
          <cell r="J16" t="e">
            <v>#N/A</v>
          </cell>
          <cell r="L16" t="e">
            <v>#N/A</v>
          </cell>
          <cell r="N16" t="e">
            <v>#N/A</v>
          </cell>
          <cell r="P16" t="e">
            <v>#N/A</v>
          </cell>
          <cell r="Q16" t="e">
            <v>#N/A</v>
          </cell>
          <cell r="R16" t="e">
            <v>#N/A</v>
          </cell>
          <cell r="S16" t="e">
            <v>#N/A</v>
          </cell>
          <cell r="T16" t="e">
            <v>#N/A</v>
          </cell>
          <cell r="U16" t="str">
            <v/>
          </cell>
          <cell r="V16" t="str">
            <v/>
          </cell>
          <cell r="W16" t="e">
            <v>#N/A</v>
          </cell>
        </row>
        <row r="17">
          <cell r="A17" t="str">
            <v xml:space="preserve">  </v>
          </cell>
          <cell r="F17" t="e">
            <v>#N/A</v>
          </cell>
          <cell r="J17" t="e">
            <v>#N/A</v>
          </cell>
          <cell r="L17" t="e">
            <v>#N/A</v>
          </cell>
          <cell r="N17" t="e">
            <v>#N/A</v>
          </cell>
          <cell r="P17" t="e">
            <v>#N/A</v>
          </cell>
          <cell r="Q17" t="e">
            <v>#N/A</v>
          </cell>
          <cell r="R17" t="e">
            <v>#N/A</v>
          </cell>
          <cell r="S17" t="e">
            <v>#N/A</v>
          </cell>
          <cell r="T17" t="e">
            <v>#N/A</v>
          </cell>
          <cell r="U17" t="str">
            <v/>
          </cell>
          <cell r="V17" t="str">
            <v/>
          </cell>
          <cell r="W17" t="e">
            <v>#N/A</v>
          </cell>
        </row>
        <row r="18">
          <cell r="A18" t="str">
            <v xml:space="preserve">  </v>
          </cell>
          <cell r="F18" t="e">
            <v>#N/A</v>
          </cell>
          <cell r="J18" t="e">
            <v>#N/A</v>
          </cell>
          <cell r="L18" t="e">
            <v>#N/A</v>
          </cell>
          <cell r="N18" t="e">
            <v>#N/A</v>
          </cell>
          <cell r="P18" t="e">
            <v>#N/A</v>
          </cell>
          <cell r="Q18" t="e">
            <v>#N/A</v>
          </cell>
          <cell r="R18" t="e">
            <v>#N/A</v>
          </cell>
          <cell r="S18" t="e">
            <v>#N/A</v>
          </cell>
          <cell r="T18" t="e">
            <v>#N/A</v>
          </cell>
          <cell r="U18" t="str">
            <v/>
          </cell>
          <cell r="V18" t="str">
            <v/>
          </cell>
          <cell r="W18" t="e">
            <v>#N/A</v>
          </cell>
        </row>
        <row r="19">
          <cell r="A19" t="str">
            <v xml:space="preserve">  </v>
          </cell>
          <cell r="F19" t="e">
            <v>#N/A</v>
          </cell>
          <cell r="J19" t="e">
            <v>#N/A</v>
          </cell>
          <cell r="L19" t="e">
            <v>#N/A</v>
          </cell>
          <cell r="N19" t="e">
            <v>#N/A</v>
          </cell>
          <cell r="P19" t="e">
            <v>#N/A</v>
          </cell>
          <cell r="Q19" t="e">
            <v>#N/A</v>
          </cell>
          <cell r="R19" t="e">
            <v>#N/A</v>
          </cell>
          <cell r="S19" t="e">
            <v>#N/A</v>
          </cell>
          <cell r="T19" t="e">
            <v>#N/A</v>
          </cell>
          <cell r="U19" t="str">
            <v/>
          </cell>
          <cell r="V19" t="str">
            <v/>
          </cell>
          <cell r="W19" t="e">
            <v>#N/A</v>
          </cell>
        </row>
        <row r="20">
          <cell r="A20" t="str">
            <v xml:space="preserve">  </v>
          </cell>
          <cell r="F20" t="e">
            <v>#N/A</v>
          </cell>
          <cell r="J20" t="e">
            <v>#N/A</v>
          </cell>
          <cell r="L20" t="e">
            <v>#N/A</v>
          </cell>
          <cell r="N20" t="e">
            <v>#N/A</v>
          </cell>
          <cell r="P20" t="e">
            <v>#N/A</v>
          </cell>
          <cell r="Q20" t="e">
            <v>#N/A</v>
          </cell>
          <cell r="R20" t="e">
            <v>#N/A</v>
          </cell>
          <cell r="S20" t="e">
            <v>#N/A</v>
          </cell>
          <cell r="T20" t="e">
            <v>#N/A</v>
          </cell>
          <cell r="U20" t="str">
            <v/>
          </cell>
          <cell r="V20" t="str">
            <v/>
          </cell>
          <cell r="W20" t="e">
            <v>#N/A</v>
          </cell>
        </row>
        <row r="21">
          <cell r="A21" t="str">
            <v xml:space="preserve">  </v>
          </cell>
          <cell r="F21" t="e">
            <v>#N/A</v>
          </cell>
          <cell r="J21" t="e">
            <v>#N/A</v>
          </cell>
          <cell r="L21" t="e">
            <v>#N/A</v>
          </cell>
          <cell r="N21" t="e">
            <v>#N/A</v>
          </cell>
          <cell r="P21" t="e">
            <v>#N/A</v>
          </cell>
          <cell r="Q21" t="e">
            <v>#N/A</v>
          </cell>
          <cell r="R21" t="e">
            <v>#N/A</v>
          </cell>
          <cell r="S21" t="e">
            <v>#N/A</v>
          </cell>
          <cell r="T21" t="e">
            <v>#N/A</v>
          </cell>
          <cell r="U21" t="str">
            <v/>
          </cell>
          <cell r="V21" t="str">
            <v/>
          </cell>
          <cell r="W21" t="e">
            <v>#N/A</v>
          </cell>
        </row>
        <row r="22">
          <cell r="A22" t="str">
            <v xml:space="preserve">  </v>
          </cell>
          <cell r="F22" t="e">
            <v>#N/A</v>
          </cell>
          <cell r="J22" t="e">
            <v>#N/A</v>
          </cell>
          <cell r="L22" t="e">
            <v>#N/A</v>
          </cell>
          <cell r="N22" t="e">
            <v>#N/A</v>
          </cell>
          <cell r="P22" t="e">
            <v>#N/A</v>
          </cell>
          <cell r="Q22" t="e">
            <v>#N/A</v>
          </cell>
          <cell r="R22" t="e">
            <v>#N/A</v>
          </cell>
          <cell r="S22" t="e">
            <v>#N/A</v>
          </cell>
          <cell r="T22" t="e">
            <v>#N/A</v>
          </cell>
          <cell r="U22" t="str">
            <v/>
          </cell>
          <cell r="V22" t="str">
            <v/>
          </cell>
          <cell r="W22" t="e">
            <v>#N/A</v>
          </cell>
        </row>
        <row r="23">
          <cell r="A23" t="str">
            <v xml:space="preserve">  </v>
          </cell>
          <cell r="F23" t="e">
            <v>#N/A</v>
          </cell>
          <cell r="J23" t="e">
            <v>#N/A</v>
          </cell>
          <cell r="L23" t="e">
            <v>#N/A</v>
          </cell>
          <cell r="N23" t="e">
            <v>#N/A</v>
          </cell>
          <cell r="P23" t="e">
            <v>#N/A</v>
          </cell>
          <cell r="Q23" t="e">
            <v>#N/A</v>
          </cell>
          <cell r="R23" t="e">
            <v>#N/A</v>
          </cell>
          <cell r="S23" t="e">
            <v>#N/A</v>
          </cell>
          <cell r="T23" t="e">
            <v>#N/A</v>
          </cell>
          <cell r="U23" t="str">
            <v/>
          </cell>
          <cell r="V23" t="str">
            <v/>
          </cell>
          <cell r="W23" t="e">
            <v>#N/A</v>
          </cell>
        </row>
        <row r="24">
          <cell r="A24" t="str">
            <v xml:space="preserve">  </v>
          </cell>
          <cell r="F24" t="e">
            <v>#N/A</v>
          </cell>
          <cell r="J24" t="e">
            <v>#N/A</v>
          </cell>
          <cell r="L24" t="e">
            <v>#N/A</v>
          </cell>
          <cell r="N24" t="e">
            <v>#N/A</v>
          </cell>
          <cell r="P24" t="e">
            <v>#N/A</v>
          </cell>
          <cell r="Q24" t="e">
            <v>#N/A</v>
          </cell>
          <cell r="R24" t="e">
            <v>#N/A</v>
          </cell>
          <cell r="S24" t="e">
            <v>#N/A</v>
          </cell>
          <cell r="T24" t="e">
            <v>#N/A</v>
          </cell>
          <cell r="U24" t="str">
            <v/>
          </cell>
          <cell r="V24" t="str">
            <v/>
          </cell>
          <cell r="W24" t="e">
            <v>#N/A</v>
          </cell>
        </row>
        <row r="25">
          <cell r="A25" t="str">
            <v xml:space="preserve">  </v>
          </cell>
          <cell r="F25" t="e">
            <v>#N/A</v>
          </cell>
          <cell r="J25" t="e">
            <v>#N/A</v>
          </cell>
          <cell r="L25" t="e">
            <v>#N/A</v>
          </cell>
          <cell r="N25" t="e">
            <v>#N/A</v>
          </cell>
          <cell r="P25" t="e">
            <v>#N/A</v>
          </cell>
          <cell r="Q25" t="e">
            <v>#N/A</v>
          </cell>
          <cell r="R25" t="e">
            <v>#N/A</v>
          </cell>
          <cell r="S25" t="e">
            <v>#N/A</v>
          </cell>
          <cell r="T25" t="e">
            <v>#N/A</v>
          </cell>
          <cell r="U25" t="str">
            <v/>
          </cell>
          <cell r="V25" t="str">
            <v/>
          </cell>
          <cell r="W25" t="e">
            <v>#N/A</v>
          </cell>
        </row>
        <row r="26">
          <cell r="A26" t="str">
            <v xml:space="preserve">  </v>
          </cell>
          <cell r="F26" t="e">
            <v>#N/A</v>
          </cell>
          <cell r="J26" t="e">
            <v>#N/A</v>
          </cell>
          <cell r="L26" t="e">
            <v>#N/A</v>
          </cell>
          <cell r="N26" t="e">
            <v>#N/A</v>
          </cell>
          <cell r="P26" t="e">
            <v>#N/A</v>
          </cell>
          <cell r="Q26" t="e">
            <v>#N/A</v>
          </cell>
          <cell r="R26" t="e">
            <v>#N/A</v>
          </cell>
          <cell r="S26" t="e">
            <v>#N/A</v>
          </cell>
          <cell r="T26" t="e">
            <v>#N/A</v>
          </cell>
          <cell r="U26" t="str">
            <v/>
          </cell>
          <cell r="V26" t="str">
            <v/>
          </cell>
          <cell r="W26" t="e">
            <v>#N/A</v>
          </cell>
        </row>
        <row r="27">
          <cell r="A27" t="str">
            <v xml:space="preserve">  </v>
          </cell>
          <cell r="F27" t="e">
            <v>#N/A</v>
          </cell>
          <cell r="J27" t="e">
            <v>#N/A</v>
          </cell>
          <cell r="L27" t="e">
            <v>#N/A</v>
          </cell>
          <cell r="N27" t="e">
            <v>#N/A</v>
          </cell>
          <cell r="P27" t="e">
            <v>#N/A</v>
          </cell>
          <cell r="Q27" t="e">
            <v>#N/A</v>
          </cell>
          <cell r="R27" t="e">
            <v>#N/A</v>
          </cell>
          <cell r="S27" t="e">
            <v>#N/A</v>
          </cell>
          <cell r="T27" t="e">
            <v>#N/A</v>
          </cell>
          <cell r="U27" t="str">
            <v/>
          </cell>
          <cell r="V27" t="str">
            <v/>
          </cell>
          <cell r="W27" t="e">
            <v>#N/A</v>
          </cell>
        </row>
        <row r="28">
          <cell r="A28" t="str">
            <v xml:space="preserve">  </v>
          </cell>
          <cell r="F28" t="e">
            <v>#N/A</v>
          </cell>
          <cell r="J28" t="e">
            <v>#N/A</v>
          </cell>
          <cell r="L28" t="e">
            <v>#N/A</v>
          </cell>
          <cell r="N28" t="e">
            <v>#N/A</v>
          </cell>
          <cell r="P28" t="e">
            <v>#N/A</v>
          </cell>
          <cell r="Q28" t="e">
            <v>#N/A</v>
          </cell>
          <cell r="R28" t="e">
            <v>#N/A</v>
          </cell>
          <cell r="S28" t="e">
            <v>#N/A</v>
          </cell>
          <cell r="T28" t="e">
            <v>#N/A</v>
          </cell>
          <cell r="U28" t="str">
            <v/>
          </cell>
          <cell r="V28" t="str">
            <v/>
          </cell>
          <cell r="W28" t="e">
            <v>#N/A</v>
          </cell>
        </row>
        <row r="29">
          <cell r="A29" t="str">
            <v xml:space="preserve">  </v>
          </cell>
          <cell r="F29" t="e">
            <v>#N/A</v>
          </cell>
          <cell r="J29" t="e">
            <v>#N/A</v>
          </cell>
          <cell r="L29" t="e">
            <v>#N/A</v>
          </cell>
          <cell r="N29" t="e">
            <v>#N/A</v>
          </cell>
          <cell r="P29" t="e">
            <v>#N/A</v>
          </cell>
          <cell r="Q29" t="e">
            <v>#N/A</v>
          </cell>
          <cell r="R29" t="e">
            <v>#N/A</v>
          </cell>
          <cell r="S29" t="e">
            <v>#N/A</v>
          </cell>
          <cell r="T29" t="e">
            <v>#N/A</v>
          </cell>
          <cell r="U29" t="str">
            <v/>
          </cell>
          <cell r="V29" t="str">
            <v/>
          </cell>
          <cell r="W29" t="e">
            <v>#N/A</v>
          </cell>
        </row>
        <row r="30">
          <cell r="A30" t="str">
            <v xml:space="preserve">  </v>
          </cell>
          <cell r="F30" t="e">
            <v>#N/A</v>
          </cell>
          <cell r="J30" t="e">
            <v>#N/A</v>
          </cell>
          <cell r="L30" t="e">
            <v>#N/A</v>
          </cell>
          <cell r="N30" t="e">
            <v>#N/A</v>
          </cell>
          <cell r="P30" t="e">
            <v>#N/A</v>
          </cell>
          <cell r="Q30" t="e">
            <v>#N/A</v>
          </cell>
          <cell r="R30" t="e">
            <v>#N/A</v>
          </cell>
          <cell r="S30" t="e">
            <v>#N/A</v>
          </cell>
          <cell r="T30" t="e">
            <v>#N/A</v>
          </cell>
          <cell r="U30" t="str">
            <v/>
          </cell>
          <cell r="V30" t="str">
            <v/>
          </cell>
          <cell r="W30" t="e">
            <v>#N/A</v>
          </cell>
        </row>
        <row r="31">
          <cell r="A31" t="str">
            <v xml:space="preserve">  </v>
          </cell>
          <cell r="F31" t="e">
            <v>#N/A</v>
          </cell>
          <cell r="J31" t="e">
            <v>#N/A</v>
          </cell>
          <cell r="L31" t="e">
            <v>#N/A</v>
          </cell>
          <cell r="N31" t="e">
            <v>#N/A</v>
          </cell>
          <cell r="P31" t="e">
            <v>#N/A</v>
          </cell>
          <cell r="Q31" t="e">
            <v>#N/A</v>
          </cell>
          <cell r="R31" t="e">
            <v>#N/A</v>
          </cell>
          <cell r="S31" t="e">
            <v>#N/A</v>
          </cell>
          <cell r="T31" t="e">
            <v>#N/A</v>
          </cell>
          <cell r="U31" t="str">
            <v/>
          </cell>
          <cell r="V31" t="str">
            <v/>
          </cell>
          <cell r="W31" t="e">
            <v>#N/A</v>
          </cell>
        </row>
        <row r="32">
          <cell r="A32" t="str">
            <v xml:space="preserve">  </v>
          </cell>
          <cell r="F32" t="e">
            <v>#N/A</v>
          </cell>
          <cell r="J32" t="e">
            <v>#N/A</v>
          </cell>
          <cell r="L32" t="e">
            <v>#N/A</v>
          </cell>
          <cell r="N32" t="e">
            <v>#N/A</v>
          </cell>
          <cell r="P32" t="e">
            <v>#N/A</v>
          </cell>
          <cell r="Q32" t="e">
            <v>#N/A</v>
          </cell>
          <cell r="R32" t="e">
            <v>#N/A</v>
          </cell>
          <cell r="S32" t="e">
            <v>#N/A</v>
          </cell>
          <cell r="T32" t="e">
            <v>#N/A</v>
          </cell>
          <cell r="U32" t="str">
            <v/>
          </cell>
          <cell r="V32" t="str">
            <v/>
          </cell>
          <cell r="W32" t="e">
            <v>#N/A</v>
          </cell>
        </row>
        <row r="33">
          <cell r="A33" t="str">
            <v xml:space="preserve">  </v>
          </cell>
          <cell r="F33" t="e">
            <v>#N/A</v>
          </cell>
          <cell r="J33" t="e">
            <v>#N/A</v>
          </cell>
          <cell r="L33" t="e">
            <v>#N/A</v>
          </cell>
          <cell r="N33" t="e">
            <v>#N/A</v>
          </cell>
          <cell r="P33" t="e">
            <v>#N/A</v>
          </cell>
          <cell r="Q33" t="e">
            <v>#N/A</v>
          </cell>
          <cell r="R33" t="e">
            <v>#N/A</v>
          </cell>
          <cell r="S33" t="e">
            <v>#N/A</v>
          </cell>
          <cell r="T33" t="e">
            <v>#N/A</v>
          </cell>
          <cell r="U33" t="str">
            <v/>
          </cell>
          <cell r="V33" t="str">
            <v/>
          </cell>
          <cell r="W33" t="e">
            <v>#N/A</v>
          </cell>
        </row>
        <row r="34">
          <cell r="A34" t="str">
            <v xml:space="preserve">  </v>
          </cell>
          <cell r="F34" t="e">
            <v>#N/A</v>
          </cell>
          <cell r="J34" t="e">
            <v>#N/A</v>
          </cell>
          <cell r="L34" t="e">
            <v>#N/A</v>
          </cell>
          <cell r="N34" t="e">
            <v>#N/A</v>
          </cell>
          <cell r="P34" t="e">
            <v>#N/A</v>
          </cell>
          <cell r="Q34" t="e">
            <v>#N/A</v>
          </cell>
          <cell r="R34" t="e">
            <v>#N/A</v>
          </cell>
          <cell r="S34" t="e">
            <v>#N/A</v>
          </cell>
          <cell r="T34" t="e">
            <v>#N/A</v>
          </cell>
          <cell r="U34" t="str">
            <v/>
          </cell>
          <cell r="V34" t="str">
            <v/>
          </cell>
          <cell r="W34" t="e">
            <v>#N/A</v>
          </cell>
        </row>
        <row r="35">
          <cell r="A35" t="str">
            <v xml:space="preserve">  </v>
          </cell>
          <cell r="F35" t="e">
            <v>#N/A</v>
          </cell>
          <cell r="J35" t="e">
            <v>#N/A</v>
          </cell>
          <cell r="L35" t="e">
            <v>#N/A</v>
          </cell>
          <cell r="N35" t="e">
            <v>#N/A</v>
          </cell>
          <cell r="P35" t="e">
            <v>#N/A</v>
          </cell>
          <cell r="Q35" t="e">
            <v>#N/A</v>
          </cell>
          <cell r="R35" t="e">
            <v>#N/A</v>
          </cell>
          <cell r="S35" t="e">
            <v>#N/A</v>
          </cell>
          <cell r="T35" t="e">
            <v>#N/A</v>
          </cell>
          <cell r="U35" t="str">
            <v/>
          </cell>
          <cell r="V35" t="str">
            <v/>
          </cell>
          <cell r="W35" t="e">
            <v>#N/A</v>
          </cell>
        </row>
        <row r="36">
          <cell r="A36" t="str">
            <v xml:space="preserve">  </v>
          </cell>
          <cell r="F36" t="e">
            <v>#N/A</v>
          </cell>
          <cell r="J36" t="e">
            <v>#N/A</v>
          </cell>
          <cell r="L36" t="e">
            <v>#N/A</v>
          </cell>
          <cell r="N36" t="e">
            <v>#N/A</v>
          </cell>
          <cell r="P36" t="e">
            <v>#N/A</v>
          </cell>
          <cell r="Q36" t="e">
            <v>#N/A</v>
          </cell>
          <cell r="R36" t="e">
            <v>#N/A</v>
          </cell>
          <cell r="S36" t="e">
            <v>#N/A</v>
          </cell>
          <cell r="T36" t="e">
            <v>#N/A</v>
          </cell>
          <cell r="U36" t="str">
            <v/>
          </cell>
          <cell r="V36" t="str">
            <v/>
          </cell>
          <cell r="W36" t="e">
            <v>#N/A</v>
          </cell>
        </row>
        <row r="37">
          <cell r="A37" t="str">
            <v xml:space="preserve">  </v>
          </cell>
          <cell r="F37" t="e">
            <v>#N/A</v>
          </cell>
          <cell r="J37" t="e">
            <v>#N/A</v>
          </cell>
          <cell r="L37" t="e">
            <v>#N/A</v>
          </cell>
          <cell r="N37" t="e">
            <v>#N/A</v>
          </cell>
          <cell r="P37" t="e">
            <v>#N/A</v>
          </cell>
          <cell r="Q37" t="e">
            <v>#N/A</v>
          </cell>
          <cell r="R37" t="e">
            <v>#N/A</v>
          </cell>
          <cell r="S37" t="e">
            <v>#N/A</v>
          </cell>
          <cell r="T37" t="e">
            <v>#N/A</v>
          </cell>
          <cell r="U37" t="str">
            <v/>
          </cell>
          <cell r="V37" t="str">
            <v/>
          </cell>
          <cell r="W37" t="e">
            <v>#N/A</v>
          </cell>
        </row>
        <row r="38">
          <cell r="A38" t="str">
            <v xml:space="preserve">  </v>
          </cell>
          <cell r="F38" t="e">
            <v>#N/A</v>
          </cell>
          <cell r="J38" t="e">
            <v>#N/A</v>
          </cell>
          <cell r="L38" t="e">
            <v>#N/A</v>
          </cell>
          <cell r="N38" t="e">
            <v>#N/A</v>
          </cell>
          <cell r="P38" t="e">
            <v>#N/A</v>
          </cell>
          <cell r="Q38" t="e">
            <v>#N/A</v>
          </cell>
          <cell r="R38" t="e">
            <v>#N/A</v>
          </cell>
          <cell r="S38" t="e">
            <v>#N/A</v>
          </cell>
          <cell r="T38" t="e">
            <v>#N/A</v>
          </cell>
          <cell r="U38" t="str">
            <v/>
          </cell>
          <cell r="V38" t="str">
            <v/>
          </cell>
          <cell r="W38" t="e">
            <v>#N/A</v>
          </cell>
        </row>
        <row r="39">
          <cell r="A39" t="str">
            <v xml:space="preserve">  </v>
          </cell>
          <cell r="F39" t="e">
            <v>#N/A</v>
          </cell>
          <cell r="J39" t="e">
            <v>#N/A</v>
          </cell>
          <cell r="L39" t="e">
            <v>#N/A</v>
          </cell>
          <cell r="N39" t="e">
            <v>#N/A</v>
          </cell>
          <cell r="P39" t="e">
            <v>#N/A</v>
          </cell>
          <cell r="Q39" t="e">
            <v>#N/A</v>
          </cell>
          <cell r="R39" t="e">
            <v>#N/A</v>
          </cell>
          <cell r="S39" t="e">
            <v>#N/A</v>
          </cell>
          <cell r="T39" t="e">
            <v>#N/A</v>
          </cell>
          <cell r="U39" t="str">
            <v/>
          </cell>
          <cell r="V39" t="str">
            <v/>
          </cell>
          <cell r="W39" t="e">
            <v>#N/A</v>
          </cell>
        </row>
        <row r="40">
          <cell r="A40" t="str">
            <v xml:space="preserve">  </v>
          </cell>
          <cell r="F40" t="e">
            <v>#N/A</v>
          </cell>
          <cell r="J40" t="e">
            <v>#N/A</v>
          </cell>
          <cell r="L40" t="e">
            <v>#N/A</v>
          </cell>
          <cell r="N40" t="e">
            <v>#N/A</v>
          </cell>
          <cell r="P40" t="e">
            <v>#N/A</v>
          </cell>
          <cell r="Q40" t="e">
            <v>#N/A</v>
          </cell>
          <cell r="R40" t="e">
            <v>#N/A</v>
          </cell>
          <cell r="S40" t="e">
            <v>#N/A</v>
          </cell>
          <cell r="T40" t="e">
            <v>#N/A</v>
          </cell>
          <cell r="U40" t="str">
            <v/>
          </cell>
          <cell r="V40" t="str">
            <v/>
          </cell>
          <cell r="W40" t="e">
            <v>#N/A</v>
          </cell>
        </row>
        <row r="41">
          <cell r="A41" t="str">
            <v xml:space="preserve">  </v>
          </cell>
          <cell r="F41" t="e">
            <v>#N/A</v>
          </cell>
          <cell r="J41" t="e">
            <v>#N/A</v>
          </cell>
          <cell r="L41" t="e">
            <v>#N/A</v>
          </cell>
          <cell r="N41" t="e">
            <v>#N/A</v>
          </cell>
          <cell r="P41" t="e">
            <v>#N/A</v>
          </cell>
          <cell r="Q41" t="e">
            <v>#N/A</v>
          </cell>
          <cell r="R41" t="e">
            <v>#N/A</v>
          </cell>
          <cell r="S41" t="e">
            <v>#N/A</v>
          </cell>
          <cell r="T41" t="e">
            <v>#N/A</v>
          </cell>
          <cell r="U41" t="str">
            <v/>
          </cell>
          <cell r="V41" t="str">
            <v/>
          </cell>
          <cell r="W41" t="e">
            <v>#N/A</v>
          </cell>
        </row>
        <row r="42">
          <cell r="A42" t="str">
            <v xml:space="preserve">  </v>
          </cell>
          <cell r="F42" t="e">
            <v>#N/A</v>
          </cell>
          <cell r="J42" t="e">
            <v>#N/A</v>
          </cell>
          <cell r="L42" t="e">
            <v>#N/A</v>
          </cell>
          <cell r="N42" t="e">
            <v>#N/A</v>
          </cell>
          <cell r="P42" t="e">
            <v>#N/A</v>
          </cell>
          <cell r="Q42" t="e">
            <v>#N/A</v>
          </cell>
          <cell r="R42" t="e">
            <v>#N/A</v>
          </cell>
          <cell r="S42" t="e">
            <v>#N/A</v>
          </cell>
          <cell r="T42" t="e">
            <v>#N/A</v>
          </cell>
          <cell r="U42" t="str">
            <v/>
          </cell>
          <cell r="V42" t="str">
            <v/>
          </cell>
          <cell r="W42" t="e">
            <v>#N/A</v>
          </cell>
        </row>
        <row r="43">
          <cell r="A43" t="str">
            <v xml:space="preserve">  </v>
          </cell>
          <cell r="F43" t="e">
            <v>#N/A</v>
          </cell>
          <cell r="J43" t="e">
            <v>#N/A</v>
          </cell>
          <cell r="L43" t="e">
            <v>#N/A</v>
          </cell>
          <cell r="N43" t="e">
            <v>#N/A</v>
          </cell>
          <cell r="P43" t="e">
            <v>#N/A</v>
          </cell>
          <cell r="Q43" t="e">
            <v>#N/A</v>
          </cell>
          <cell r="R43" t="e">
            <v>#N/A</v>
          </cell>
          <cell r="S43" t="e">
            <v>#N/A</v>
          </cell>
          <cell r="T43" t="e">
            <v>#N/A</v>
          </cell>
          <cell r="U43" t="str">
            <v/>
          </cell>
          <cell r="V43" t="str">
            <v/>
          </cell>
          <cell r="W43" t="e">
            <v>#N/A</v>
          </cell>
        </row>
        <row r="44">
          <cell r="A44" t="str">
            <v xml:space="preserve">  </v>
          </cell>
          <cell r="F44" t="e">
            <v>#N/A</v>
          </cell>
          <cell r="J44" t="e">
            <v>#N/A</v>
          </cell>
          <cell r="L44" t="e">
            <v>#N/A</v>
          </cell>
          <cell r="N44" t="e">
            <v>#N/A</v>
          </cell>
          <cell r="P44" t="e">
            <v>#N/A</v>
          </cell>
          <cell r="Q44" t="e">
            <v>#N/A</v>
          </cell>
          <cell r="R44" t="e">
            <v>#N/A</v>
          </cell>
          <cell r="S44" t="e">
            <v>#N/A</v>
          </cell>
          <cell r="T44" t="e">
            <v>#N/A</v>
          </cell>
          <cell r="U44" t="str">
            <v/>
          </cell>
          <cell r="V44" t="str">
            <v/>
          </cell>
          <cell r="W44" t="e">
            <v>#N/A</v>
          </cell>
        </row>
        <row r="45">
          <cell r="A45" t="str">
            <v xml:space="preserve">  </v>
          </cell>
          <cell r="F45" t="e">
            <v>#N/A</v>
          </cell>
          <cell r="J45" t="e">
            <v>#N/A</v>
          </cell>
          <cell r="L45" t="e">
            <v>#N/A</v>
          </cell>
          <cell r="N45" t="e">
            <v>#N/A</v>
          </cell>
          <cell r="P45" t="e">
            <v>#N/A</v>
          </cell>
          <cell r="Q45" t="e">
            <v>#N/A</v>
          </cell>
          <cell r="R45" t="e">
            <v>#N/A</v>
          </cell>
          <cell r="S45" t="e">
            <v>#N/A</v>
          </cell>
          <cell r="T45" t="e">
            <v>#N/A</v>
          </cell>
          <cell r="U45" t="str">
            <v/>
          </cell>
          <cell r="V45" t="str">
            <v/>
          </cell>
          <cell r="W45" t="e">
            <v>#N/A</v>
          </cell>
        </row>
        <row r="46">
          <cell r="A46" t="str">
            <v xml:space="preserve">  </v>
          </cell>
          <cell r="F46" t="e">
            <v>#N/A</v>
          </cell>
          <cell r="J46" t="e">
            <v>#N/A</v>
          </cell>
          <cell r="L46" t="e">
            <v>#N/A</v>
          </cell>
          <cell r="N46" t="e">
            <v>#N/A</v>
          </cell>
          <cell r="P46" t="e">
            <v>#N/A</v>
          </cell>
          <cell r="Q46" t="e">
            <v>#N/A</v>
          </cell>
          <cell r="R46" t="e">
            <v>#N/A</v>
          </cell>
          <cell r="S46" t="e">
            <v>#N/A</v>
          </cell>
          <cell r="T46" t="e">
            <v>#N/A</v>
          </cell>
          <cell r="U46" t="str">
            <v/>
          </cell>
          <cell r="V46" t="str">
            <v/>
          </cell>
          <cell r="W46" t="e">
            <v>#N/A</v>
          </cell>
        </row>
        <row r="47">
          <cell r="A47" t="str">
            <v xml:space="preserve">  </v>
          </cell>
          <cell r="F47" t="e">
            <v>#N/A</v>
          </cell>
          <cell r="J47" t="e">
            <v>#N/A</v>
          </cell>
          <cell r="L47" t="e">
            <v>#N/A</v>
          </cell>
          <cell r="N47" t="e">
            <v>#N/A</v>
          </cell>
          <cell r="P47" t="e">
            <v>#N/A</v>
          </cell>
          <cell r="Q47" t="e">
            <v>#N/A</v>
          </cell>
          <cell r="R47" t="e">
            <v>#N/A</v>
          </cell>
          <cell r="S47" t="e">
            <v>#N/A</v>
          </cell>
          <cell r="T47" t="e">
            <v>#N/A</v>
          </cell>
          <cell r="U47" t="str">
            <v/>
          </cell>
          <cell r="V47" t="str">
            <v/>
          </cell>
          <cell r="W47" t="e">
            <v>#N/A</v>
          </cell>
        </row>
        <row r="48">
          <cell r="A48" t="str">
            <v xml:space="preserve">  </v>
          </cell>
          <cell r="F48" t="e">
            <v>#N/A</v>
          </cell>
          <cell r="J48" t="e">
            <v>#N/A</v>
          </cell>
          <cell r="L48" t="e">
            <v>#N/A</v>
          </cell>
          <cell r="N48" t="e">
            <v>#N/A</v>
          </cell>
          <cell r="P48" t="e">
            <v>#N/A</v>
          </cell>
          <cell r="Q48" t="e">
            <v>#N/A</v>
          </cell>
          <cell r="R48" t="e">
            <v>#N/A</v>
          </cell>
          <cell r="S48" t="e">
            <v>#N/A</v>
          </cell>
          <cell r="T48" t="e">
            <v>#N/A</v>
          </cell>
          <cell r="U48" t="str">
            <v/>
          </cell>
          <cell r="V48" t="str">
            <v/>
          </cell>
          <cell r="W48" t="e">
            <v>#N/A</v>
          </cell>
        </row>
        <row r="49">
          <cell r="A49" t="str">
            <v xml:space="preserve">  </v>
          </cell>
          <cell r="F49" t="e">
            <v>#N/A</v>
          </cell>
          <cell r="J49" t="e">
            <v>#N/A</v>
          </cell>
          <cell r="L49" t="e">
            <v>#N/A</v>
          </cell>
          <cell r="N49" t="e">
            <v>#N/A</v>
          </cell>
          <cell r="P49" t="e">
            <v>#N/A</v>
          </cell>
          <cell r="Q49" t="e">
            <v>#N/A</v>
          </cell>
          <cell r="R49" t="e">
            <v>#N/A</v>
          </cell>
          <cell r="S49" t="e">
            <v>#N/A</v>
          </cell>
          <cell r="T49" t="e">
            <v>#N/A</v>
          </cell>
          <cell r="U49" t="str">
            <v/>
          </cell>
          <cell r="V49" t="str">
            <v/>
          </cell>
          <cell r="W49" t="e">
            <v>#N/A</v>
          </cell>
        </row>
        <row r="50">
          <cell r="A50" t="str">
            <v xml:space="preserve">  </v>
          </cell>
          <cell r="F50" t="e">
            <v>#N/A</v>
          </cell>
          <cell r="J50" t="e">
            <v>#N/A</v>
          </cell>
          <cell r="L50" t="e">
            <v>#N/A</v>
          </cell>
          <cell r="N50" t="e">
            <v>#N/A</v>
          </cell>
          <cell r="P50" t="e">
            <v>#N/A</v>
          </cell>
          <cell r="Q50" t="e">
            <v>#N/A</v>
          </cell>
          <cell r="R50" t="e">
            <v>#N/A</v>
          </cell>
          <cell r="S50" t="e">
            <v>#N/A</v>
          </cell>
          <cell r="T50" t="e">
            <v>#N/A</v>
          </cell>
          <cell r="U50" t="str">
            <v/>
          </cell>
          <cell r="V50" t="str">
            <v/>
          </cell>
          <cell r="W50" t="e">
            <v>#N/A</v>
          </cell>
        </row>
        <row r="51">
          <cell r="A51" t="str">
            <v xml:space="preserve">  </v>
          </cell>
          <cell r="F51" t="e">
            <v>#N/A</v>
          </cell>
          <cell r="J51" t="e">
            <v>#N/A</v>
          </cell>
          <cell r="L51" t="e">
            <v>#N/A</v>
          </cell>
          <cell r="N51" t="e">
            <v>#N/A</v>
          </cell>
          <cell r="P51" t="e">
            <v>#N/A</v>
          </cell>
          <cell r="Q51" t="e">
            <v>#N/A</v>
          </cell>
          <cell r="R51" t="e">
            <v>#N/A</v>
          </cell>
          <cell r="S51" t="e">
            <v>#N/A</v>
          </cell>
          <cell r="T51" t="e">
            <v>#N/A</v>
          </cell>
          <cell r="U51" t="str">
            <v/>
          </cell>
          <cell r="V51" t="str">
            <v/>
          </cell>
          <cell r="W51" t="e">
            <v>#N/A</v>
          </cell>
        </row>
        <row r="52">
          <cell r="A52" t="str">
            <v xml:space="preserve">  </v>
          </cell>
          <cell r="F52" t="e">
            <v>#N/A</v>
          </cell>
          <cell r="J52" t="e">
            <v>#N/A</v>
          </cell>
          <cell r="L52" t="e">
            <v>#N/A</v>
          </cell>
          <cell r="N52" t="e">
            <v>#N/A</v>
          </cell>
          <cell r="P52" t="e">
            <v>#N/A</v>
          </cell>
          <cell r="Q52" t="e">
            <v>#N/A</v>
          </cell>
          <cell r="R52" t="e">
            <v>#N/A</v>
          </cell>
          <cell r="S52" t="e">
            <v>#N/A</v>
          </cell>
          <cell r="T52" t="e">
            <v>#N/A</v>
          </cell>
          <cell r="U52" t="str">
            <v/>
          </cell>
          <cell r="V52" t="str">
            <v/>
          </cell>
          <cell r="W52" t="e">
            <v>#N/A</v>
          </cell>
        </row>
        <row r="53">
          <cell r="A53" t="str">
            <v xml:space="preserve">  </v>
          </cell>
          <cell r="F53" t="e">
            <v>#N/A</v>
          </cell>
          <cell r="J53" t="e">
            <v>#N/A</v>
          </cell>
          <cell r="L53" t="e">
            <v>#N/A</v>
          </cell>
          <cell r="N53" t="e">
            <v>#N/A</v>
          </cell>
          <cell r="P53" t="e">
            <v>#N/A</v>
          </cell>
          <cell r="Q53" t="e">
            <v>#N/A</v>
          </cell>
          <cell r="R53" t="e">
            <v>#N/A</v>
          </cell>
          <cell r="S53" t="e">
            <v>#N/A</v>
          </cell>
          <cell r="T53" t="e">
            <v>#N/A</v>
          </cell>
          <cell r="U53" t="str">
            <v/>
          </cell>
          <cell r="V53" t="str">
            <v/>
          </cell>
          <cell r="W53" t="e">
            <v>#N/A</v>
          </cell>
        </row>
        <row r="54">
          <cell r="A54" t="str">
            <v xml:space="preserve">  </v>
          </cell>
          <cell r="F54" t="e">
            <v>#N/A</v>
          </cell>
          <cell r="J54" t="e">
            <v>#N/A</v>
          </cell>
          <cell r="L54" t="e">
            <v>#N/A</v>
          </cell>
          <cell r="N54" t="e">
            <v>#N/A</v>
          </cell>
          <cell r="P54" t="e">
            <v>#N/A</v>
          </cell>
          <cell r="Q54" t="e">
            <v>#N/A</v>
          </cell>
          <cell r="R54" t="e">
            <v>#N/A</v>
          </cell>
          <cell r="S54" t="e">
            <v>#N/A</v>
          </cell>
          <cell r="T54" t="e">
            <v>#N/A</v>
          </cell>
          <cell r="U54" t="str">
            <v/>
          </cell>
          <cell r="V54" t="str">
            <v/>
          </cell>
          <cell r="W54" t="e">
            <v>#N/A</v>
          </cell>
        </row>
        <row r="55">
          <cell r="A55" t="str">
            <v xml:space="preserve">  </v>
          </cell>
          <cell r="F55" t="e">
            <v>#N/A</v>
          </cell>
          <cell r="J55" t="e">
            <v>#N/A</v>
          </cell>
          <cell r="L55" t="e">
            <v>#N/A</v>
          </cell>
          <cell r="N55" t="e">
            <v>#N/A</v>
          </cell>
          <cell r="P55" t="e">
            <v>#N/A</v>
          </cell>
          <cell r="Q55" t="e">
            <v>#N/A</v>
          </cell>
          <cell r="R55" t="e">
            <v>#N/A</v>
          </cell>
          <cell r="S55" t="e">
            <v>#N/A</v>
          </cell>
          <cell r="T55" t="e">
            <v>#N/A</v>
          </cell>
          <cell r="U55" t="str">
            <v/>
          </cell>
          <cell r="V55" t="str">
            <v/>
          </cell>
          <cell r="W55" t="e">
            <v>#N/A</v>
          </cell>
        </row>
        <row r="56">
          <cell r="A56" t="str">
            <v xml:space="preserve">  </v>
          </cell>
          <cell r="F56" t="e">
            <v>#N/A</v>
          </cell>
          <cell r="J56" t="e">
            <v>#N/A</v>
          </cell>
          <cell r="L56" t="e">
            <v>#N/A</v>
          </cell>
          <cell r="N56" t="e">
            <v>#N/A</v>
          </cell>
          <cell r="P56" t="e">
            <v>#N/A</v>
          </cell>
          <cell r="Q56" t="e">
            <v>#N/A</v>
          </cell>
          <cell r="R56" t="e">
            <v>#N/A</v>
          </cell>
          <cell r="S56" t="e">
            <v>#N/A</v>
          </cell>
          <cell r="T56" t="e">
            <v>#N/A</v>
          </cell>
          <cell r="U56" t="str">
            <v/>
          </cell>
          <cell r="V56" t="str">
            <v/>
          </cell>
          <cell r="W56" t="e">
            <v>#N/A</v>
          </cell>
        </row>
        <row r="57">
          <cell r="A57" t="str">
            <v xml:space="preserve">  </v>
          </cell>
          <cell r="F57" t="e">
            <v>#N/A</v>
          </cell>
          <cell r="J57" t="e">
            <v>#N/A</v>
          </cell>
          <cell r="L57" t="e">
            <v>#N/A</v>
          </cell>
          <cell r="N57" t="e">
            <v>#N/A</v>
          </cell>
          <cell r="P57" t="e">
            <v>#N/A</v>
          </cell>
          <cell r="Q57" t="e">
            <v>#N/A</v>
          </cell>
          <cell r="R57" t="e">
            <v>#N/A</v>
          </cell>
          <cell r="S57" t="e">
            <v>#N/A</v>
          </cell>
          <cell r="T57" t="e">
            <v>#N/A</v>
          </cell>
          <cell r="U57" t="str">
            <v/>
          </cell>
          <cell r="V57" t="str">
            <v/>
          </cell>
          <cell r="W57" t="e">
            <v>#N/A</v>
          </cell>
        </row>
        <row r="58">
          <cell r="A58" t="str">
            <v xml:space="preserve">  </v>
          </cell>
          <cell r="F58" t="e">
            <v>#N/A</v>
          </cell>
          <cell r="J58" t="e">
            <v>#N/A</v>
          </cell>
          <cell r="L58" t="e">
            <v>#N/A</v>
          </cell>
          <cell r="N58" t="e">
            <v>#N/A</v>
          </cell>
          <cell r="P58" t="e">
            <v>#N/A</v>
          </cell>
          <cell r="Q58" t="e">
            <v>#N/A</v>
          </cell>
          <cell r="R58" t="e">
            <v>#N/A</v>
          </cell>
          <cell r="S58" t="e">
            <v>#N/A</v>
          </cell>
          <cell r="T58" t="e">
            <v>#N/A</v>
          </cell>
          <cell r="U58" t="str">
            <v/>
          </cell>
          <cell r="V58" t="str">
            <v/>
          </cell>
          <cell r="W58" t="e">
            <v>#N/A</v>
          </cell>
        </row>
        <row r="59">
          <cell r="A59" t="str">
            <v xml:space="preserve">  </v>
          </cell>
          <cell r="F59" t="e">
            <v>#N/A</v>
          </cell>
          <cell r="J59" t="e">
            <v>#N/A</v>
          </cell>
          <cell r="L59" t="e">
            <v>#N/A</v>
          </cell>
          <cell r="N59" t="e">
            <v>#N/A</v>
          </cell>
          <cell r="P59" t="e">
            <v>#N/A</v>
          </cell>
          <cell r="Q59" t="e">
            <v>#N/A</v>
          </cell>
          <cell r="R59" t="e">
            <v>#N/A</v>
          </cell>
          <cell r="S59" t="e">
            <v>#N/A</v>
          </cell>
          <cell r="T59" t="e">
            <v>#N/A</v>
          </cell>
          <cell r="U59" t="str">
            <v/>
          </cell>
          <cell r="V59" t="str">
            <v/>
          </cell>
          <cell r="W59" t="e">
            <v>#N/A</v>
          </cell>
        </row>
        <row r="60">
          <cell r="A60" t="str">
            <v xml:space="preserve">  </v>
          </cell>
          <cell r="F60" t="e">
            <v>#N/A</v>
          </cell>
          <cell r="J60" t="e">
            <v>#N/A</v>
          </cell>
          <cell r="L60" t="e">
            <v>#N/A</v>
          </cell>
          <cell r="N60" t="e">
            <v>#N/A</v>
          </cell>
          <cell r="P60" t="e">
            <v>#N/A</v>
          </cell>
          <cell r="Q60" t="e">
            <v>#N/A</v>
          </cell>
          <cell r="R60" t="e">
            <v>#N/A</v>
          </cell>
          <cell r="S60" t="e">
            <v>#N/A</v>
          </cell>
          <cell r="T60" t="e">
            <v>#N/A</v>
          </cell>
          <cell r="U60" t="str">
            <v/>
          </cell>
          <cell r="V60" t="str">
            <v/>
          </cell>
          <cell r="W60" t="e">
            <v>#N/A</v>
          </cell>
        </row>
        <row r="61">
          <cell r="A61" t="str">
            <v xml:space="preserve">  </v>
          </cell>
          <cell r="F61" t="e">
            <v>#N/A</v>
          </cell>
          <cell r="J61" t="e">
            <v>#N/A</v>
          </cell>
          <cell r="L61" t="e">
            <v>#N/A</v>
          </cell>
          <cell r="N61" t="e">
            <v>#N/A</v>
          </cell>
          <cell r="P61" t="e">
            <v>#N/A</v>
          </cell>
          <cell r="Q61" t="e">
            <v>#N/A</v>
          </cell>
          <cell r="R61" t="e">
            <v>#N/A</v>
          </cell>
          <cell r="S61" t="e">
            <v>#N/A</v>
          </cell>
          <cell r="T61" t="e">
            <v>#N/A</v>
          </cell>
          <cell r="U61" t="str">
            <v/>
          </cell>
          <cell r="V61" t="str">
            <v/>
          </cell>
          <cell r="W61" t="e">
            <v>#N/A</v>
          </cell>
        </row>
        <row r="62">
          <cell r="A62" t="str">
            <v xml:space="preserve">  </v>
          </cell>
          <cell r="F62" t="e">
            <v>#N/A</v>
          </cell>
          <cell r="J62" t="e">
            <v>#N/A</v>
          </cell>
          <cell r="L62" t="e">
            <v>#N/A</v>
          </cell>
          <cell r="N62" t="e">
            <v>#N/A</v>
          </cell>
          <cell r="P62" t="e">
            <v>#N/A</v>
          </cell>
          <cell r="Q62" t="e">
            <v>#N/A</v>
          </cell>
          <cell r="R62" t="e">
            <v>#N/A</v>
          </cell>
          <cell r="S62" t="e">
            <v>#N/A</v>
          </cell>
          <cell r="T62" t="e">
            <v>#N/A</v>
          </cell>
          <cell r="U62" t="str">
            <v/>
          </cell>
          <cell r="V62" t="str">
            <v/>
          </cell>
          <cell r="W62" t="e">
            <v>#N/A</v>
          </cell>
        </row>
        <row r="63">
          <cell r="A63" t="str">
            <v xml:space="preserve">  </v>
          </cell>
          <cell r="F63" t="e">
            <v>#N/A</v>
          </cell>
          <cell r="J63" t="e">
            <v>#N/A</v>
          </cell>
          <cell r="L63" t="e">
            <v>#N/A</v>
          </cell>
          <cell r="N63" t="e">
            <v>#N/A</v>
          </cell>
          <cell r="P63" t="e">
            <v>#N/A</v>
          </cell>
          <cell r="Q63" t="e">
            <v>#N/A</v>
          </cell>
          <cell r="R63" t="e">
            <v>#N/A</v>
          </cell>
          <cell r="S63" t="e">
            <v>#N/A</v>
          </cell>
          <cell r="T63" t="e">
            <v>#N/A</v>
          </cell>
          <cell r="U63" t="str">
            <v/>
          </cell>
          <cell r="V63" t="str">
            <v/>
          </cell>
          <cell r="W63" t="e">
            <v>#N/A</v>
          </cell>
        </row>
        <row r="64">
          <cell r="A64" t="str">
            <v xml:space="preserve">  </v>
          </cell>
          <cell r="F64" t="e">
            <v>#N/A</v>
          </cell>
          <cell r="J64" t="e">
            <v>#N/A</v>
          </cell>
          <cell r="L64" t="e">
            <v>#N/A</v>
          </cell>
          <cell r="N64" t="e">
            <v>#N/A</v>
          </cell>
          <cell r="P64" t="e">
            <v>#N/A</v>
          </cell>
          <cell r="Q64" t="e">
            <v>#N/A</v>
          </cell>
          <cell r="R64" t="e">
            <v>#N/A</v>
          </cell>
          <cell r="S64" t="e">
            <v>#N/A</v>
          </cell>
          <cell r="T64" t="e">
            <v>#N/A</v>
          </cell>
          <cell r="U64" t="str">
            <v/>
          </cell>
          <cell r="V64" t="str">
            <v/>
          </cell>
          <cell r="W64" t="e">
            <v>#N/A</v>
          </cell>
        </row>
        <row r="65">
          <cell r="A65" t="str">
            <v xml:space="preserve">  </v>
          </cell>
          <cell r="F65" t="e">
            <v>#N/A</v>
          </cell>
          <cell r="J65" t="e">
            <v>#N/A</v>
          </cell>
          <cell r="L65" t="e">
            <v>#N/A</v>
          </cell>
          <cell r="N65" t="e">
            <v>#N/A</v>
          </cell>
          <cell r="P65" t="e">
            <v>#N/A</v>
          </cell>
          <cell r="Q65" t="e">
            <v>#N/A</v>
          </cell>
          <cell r="R65" t="e">
            <v>#N/A</v>
          </cell>
          <cell r="S65" t="e">
            <v>#N/A</v>
          </cell>
          <cell r="T65" t="e">
            <v>#N/A</v>
          </cell>
          <cell r="U65" t="str">
            <v/>
          </cell>
          <cell r="V65" t="str">
            <v/>
          </cell>
          <cell r="W65" t="e">
            <v>#N/A</v>
          </cell>
        </row>
        <row r="66">
          <cell r="A66" t="str">
            <v xml:space="preserve">  </v>
          </cell>
          <cell r="F66" t="e">
            <v>#N/A</v>
          </cell>
          <cell r="J66" t="e">
            <v>#N/A</v>
          </cell>
          <cell r="L66" t="e">
            <v>#N/A</v>
          </cell>
          <cell r="N66" t="e">
            <v>#N/A</v>
          </cell>
          <cell r="P66" t="e">
            <v>#N/A</v>
          </cell>
          <cell r="Q66" t="e">
            <v>#N/A</v>
          </cell>
          <cell r="R66" t="e">
            <v>#N/A</v>
          </cell>
          <cell r="S66" t="e">
            <v>#N/A</v>
          </cell>
          <cell r="T66" t="e">
            <v>#N/A</v>
          </cell>
          <cell r="U66" t="str">
            <v/>
          </cell>
          <cell r="V66" t="str">
            <v/>
          </cell>
          <cell r="W66" t="e">
            <v>#N/A</v>
          </cell>
        </row>
        <row r="67">
          <cell r="A67" t="str">
            <v xml:space="preserve">  </v>
          </cell>
          <cell r="F67" t="e">
            <v>#N/A</v>
          </cell>
          <cell r="J67" t="e">
            <v>#N/A</v>
          </cell>
          <cell r="L67" t="e">
            <v>#N/A</v>
          </cell>
          <cell r="N67" t="e">
            <v>#N/A</v>
          </cell>
          <cell r="P67" t="e">
            <v>#N/A</v>
          </cell>
          <cell r="Q67" t="e">
            <v>#N/A</v>
          </cell>
          <cell r="R67" t="e">
            <v>#N/A</v>
          </cell>
          <cell r="S67" t="e">
            <v>#N/A</v>
          </cell>
          <cell r="T67" t="e">
            <v>#N/A</v>
          </cell>
          <cell r="U67" t="str">
            <v/>
          </cell>
          <cell r="V67" t="str">
            <v/>
          </cell>
          <cell r="W67" t="e">
            <v>#N/A</v>
          </cell>
        </row>
        <row r="68">
          <cell r="A68" t="str">
            <v xml:space="preserve">  </v>
          </cell>
          <cell r="F68" t="e">
            <v>#N/A</v>
          </cell>
          <cell r="J68" t="e">
            <v>#N/A</v>
          </cell>
          <cell r="L68" t="e">
            <v>#N/A</v>
          </cell>
          <cell r="N68" t="e">
            <v>#N/A</v>
          </cell>
          <cell r="P68" t="e">
            <v>#N/A</v>
          </cell>
          <cell r="Q68" t="e">
            <v>#N/A</v>
          </cell>
          <cell r="R68" t="e">
            <v>#N/A</v>
          </cell>
          <cell r="S68" t="e">
            <v>#N/A</v>
          </cell>
          <cell r="T68" t="e">
            <v>#N/A</v>
          </cell>
          <cell r="U68" t="str">
            <v/>
          </cell>
          <cell r="V68" t="str">
            <v/>
          </cell>
          <cell r="W68" t="e">
            <v>#N/A</v>
          </cell>
        </row>
        <row r="69">
          <cell r="A69" t="str">
            <v xml:space="preserve">  </v>
          </cell>
          <cell r="F69" t="e">
            <v>#N/A</v>
          </cell>
          <cell r="J69" t="e">
            <v>#N/A</v>
          </cell>
          <cell r="L69" t="e">
            <v>#N/A</v>
          </cell>
          <cell r="N69" t="e">
            <v>#N/A</v>
          </cell>
          <cell r="P69" t="e">
            <v>#N/A</v>
          </cell>
          <cell r="Q69" t="e">
            <v>#N/A</v>
          </cell>
          <cell r="R69" t="e">
            <v>#N/A</v>
          </cell>
          <cell r="S69" t="e">
            <v>#N/A</v>
          </cell>
          <cell r="T69" t="e">
            <v>#N/A</v>
          </cell>
          <cell r="U69" t="str">
            <v/>
          </cell>
          <cell r="V69" t="str">
            <v/>
          </cell>
          <cell r="W69" t="e">
            <v>#N/A</v>
          </cell>
        </row>
        <row r="70">
          <cell r="A70" t="str">
            <v xml:space="preserve">  </v>
          </cell>
          <cell r="F70" t="e">
            <v>#N/A</v>
          </cell>
          <cell r="J70" t="e">
            <v>#N/A</v>
          </cell>
          <cell r="L70" t="e">
            <v>#N/A</v>
          </cell>
          <cell r="N70" t="e">
            <v>#N/A</v>
          </cell>
          <cell r="P70" t="e">
            <v>#N/A</v>
          </cell>
          <cell r="Q70" t="e">
            <v>#N/A</v>
          </cell>
          <cell r="R70" t="e">
            <v>#N/A</v>
          </cell>
          <cell r="S70" t="e">
            <v>#N/A</v>
          </cell>
          <cell r="T70" t="e">
            <v>#N/A</v>
          </cell>
          <cell r="U70" t="str">
            <v/>
          </cell>
          <cell r="V70" t="str">
            <v/>
          </cell>
          <cell r="W70" t="e">
            <v>#N/A</v>
          </cell>
        </row>
        <row r="71">
          <cell r="A71" t="str">
            <v xml:space="preserve">  </v>
          </cell>
          <cell r="F71" t="e">
            <v>#N/A</v>
          </cell>
          <cell r="J71" t="e">
            <v>#N/A</v>
          </cell>
          <cell r="L71" t="e">
            <v>#N/A</v>
          </cell>
          <cell r="N71" t="e">
            <v>#N/A</v>
          </cell>
          <cell r="P71" t="e">
            <v>#N/A</v>
          </cell>
          <cell r="Q71" t="e">
            <v>#N/A</v>
          </cell>
          <cell r="R71" t="e">
            <v>#N/A</v>
          </cell>
          <cell r="S71" t="e">
            <v>#N/A</v>
          </cell>
          <cell r="T71" t="e">
            <v>#N/A</v>
          </cell>
          <cell r="U71" t="str">
            <v/>
          </cell>
          <cell r="V71" t="str">
            <v/>
          </cell>
          <cell r="W71" t="e">
            <v>#N/A</v>
          </cell>
        </row>
        <row r="72">
          <cell r="A72" t="str">
            <v xml:space="preserve">  </v>
          </cell>
          <cell r="F72" t="e">
            <v>#N/A</v>
          </cell>
          <cell r="J72" t="e">
            <v>#N/A</v>
          </cell>
          <cell r="L72" t="e">
            <v>#N/A</v>
          </cell>
          <cell r="N72" t="e">
            <v>#N/A</v>
          </cell>
          <cell r="P72" t="e">
            <v>#N/A</v>
          </cell>
          <cell r="Q72" t="e">
            <v>#N/A</v>
          </cell>
          <cell r="R72" t="e">
            <v>#N/A</v>
          </cell>
          <cell r="S72" t="e">
            <v>#N/A</v>
          </cell>
          <cell r="T72" t="e">
            <v>#N/A</v>
          </cell>
          <cell r="U72" t="str">
            <v/>
          </cell>
          <cell r="V72" t="str">
            <v/>
          </cell>
          <cell r="W72" t="e">
            <v>#N/A</v>
          </cell>
        </row>
        <row r="73">
          <cell r="A73" t="str">
            <v xml:space="preserve">  </v>
          </cell>
          <cell r="F73" t="e">
            <v>#N/A</v>
          </cell>
          <cell r="J73" t="e">
            <v>#N/A</v>
          </cell>
          <cell r="L73" t="e">
            <v>#N/A</v>
          </cell>
          <cell r="N73" t="e">
            <v>#N/A</v>
          </cell>
          <cell r="P73" t="e">
            <v>#N/A</v>
          </cell>
          <cell r="Q73" t="e">
            <v>#N/A</v>
          </cell>
          <cell r="R73" t="e">
            <v>#N/A</v>
          </cell>
          <cell r="S73" t="e">
            <v>#N/A</v>
          </cell>
          <cell r="T73" t="e">
            <v>#N/A</v>
          </cell>
          <cell r="U73" t="str">
            <v/>
          </cell>
          <cell r="V73" t="str">
            <v/>
          </cell>
          <cell r="W73" t="e">
            <v>#N/A</v>
          </cell>
        </row>
        <row r="74">
          <cell r="A74" t="str">
            <v xml:space="preserve">  </v>
          </cell>
          <cell r="F74" t="e">
            <v>#N/A</v>
          </cell>
          <cell r="J74" t="e">
            <v>#N/A</v>
          </cell>
          <cell r="L74" t="e">
            <v>#N/A</v>
          </cell>
          <cell r="N74" t="e">
            <v>#N/A</v>
          </cell>
          <cell r="P74" t="e">
            <v>#N/A</v>
          </cell>
          <cell r="Q74" t="e">
            <v>#N/A</v>
          </cell>
          <cell r="R74" t="e">
            <v>#N/A</v>
          </cell>
          <cell r="S74" t="e">
            <v>#N/A</v>
          </cell>
          <cell r="T74" t="e">
            <v>#N/A</v>
          </cell>
          <cell r="U74" t="str">
            <v/>
          </cell>
          <cell r="V74" t="str">
            <v/>
          </cell>
          <cell r="W74" t="e">
            <v>#N/A</v>
          </cell>
        </row>
        <row r="75">
          <cell r="A75" t="str">
            <v xml:space="preserve">  </v>
          </cell>
          <cell r="F75" t="e">
            <v>#N/A</v>
          </cell>
          <cell r="J75" t="e">
            <v>#N/A</v>
          </cell>
          <cell r="L75" t="e">
            <v>#N/A</v>
          </cell>
          <cell r="N75" t="e">
            <v>#N/A</v>
          </cell>
          <cell r="P75" t="e">
            <v>#N/A</v>
          </cell>
          <cell r="Q75" t="e">
            <v>#N/A</v>
          </cell>
          <cell r="R75" t="e">
            <v>#N/A</v>
          </cell>
          <cell r="S75" t="e">
            <v>#N/A</v>
          </cell>
          <cell r="T75" t="e">
            <v>#N/A</v>
          </cell>
          <cell r="U75" t="str">
            <v/>
          </cell>
          <cell r="V75" t="str">
            <v/>
          </cell>
          <cell r="W75" t="e">
            <v>#N/A</v>
          </cell>
        </row>
        <row r="76">
          <cell r="A76" t="str">
            <v xml:space="preserve">  </v>
          </cell>
          <cell r="F76" t="e">
            <v>#N/A</v>
          </cell>
          <cell r="J76" t="e">
            <v>#N/A</v>
          </cell>
          <cell r="L76" t="e">
            <v>#N/A</v>
          </cell>
          <cell r="N76" t="e">
            <v>#N/A</v>
          </cell>
          <cell r="P76" t="e">
            <v>#N/A</v>
          </cell>
          <cell r="Q76" t="e">
            <v>#N/A</v>
          </cell>
          <cell r="R76" t="e">
            <v>#N/A</v>
          </cell>
          <cell r="S76" t="e">
            <v>#N/A</v>
          </cell>
          <cell r="T76" t="e">
            <v>#N/A</v>
          </cell>
          <cell r="U76" t="str">
            <v/>
          </cell>
          <cell r="V76" t="str">
            <v/>
          </cell>
          <cell r="W76" t="e">
            <v>#N/A</v>
          </cell>
        </row>
        <row r="77">
          <cell r="A77" t="str">
            <v xml:space="preserve">  </v>
          </cell>
          <cell r="F77" t="e">
            <v>#N/A</v>
          </cell>
          <cell r="J77" t="e">
            <v>#N/A</v>
          </cell>
          <cell r="L77" t="e">
            <v>#N/A</v>
          </cell>
          <cell r="N77" t="e">
            <v>#N/A</v>
          </cell>
          <cell r="P77" t="e">
            <v>#N/A</v>
          </cell>
          <cell r="Q77" t="e">
            <v>#N/A</v>
          </cell>
          <cell r="R77" t="e">
            <v>#N/A</v>
          </cell>
          <cell r="S77" t="e">
            <v>#N/A</v>
          </cell>
          <cell r="T77" t="e">
            <v>#N/A</v>
          </cell>
          <cell r="U77" t="str">
            <v/>
          </cell>
          <cell r="V77" t="str">
            <v/>
          </cell>
          <cell r="W77" t="e">
            <v>#N/A</v>
          </cell>
        </row>
        <row r="78">
          <cell r="A78" t="str">
            <v xml:space="preserve">  </v>
          </cell>
          <cell r="F78" t="e">
            <v>#N/A</v>
          </cell>
          <cell r="J78" t="e">
            <v>#N/A</v>
          </cell>
          <cell r="L78" t="e">
            <v>#N/A</v>
          </cell>
          <cell r="N78" t="e">
            <v>#N/A</v>
          </cell>
          <cell r="P78" t="e">
            <v>#N/A</v>
          </cell>
          <cell r="Q78" t="e">
            <v>#N/A</v>
          </cell>
          <cell r="R78" t="e">
            <v>#N/A</v>
          </cell>
          <cell r="S78" t="e">
            <v>#N/A</v>
          </cell>
          <cell r="T78" t="e">
            <v>#N/A</v>
          </cell>
          <cell r="U78" t="str">
            <v/>
          </cell>
          <cell r="V78" t="str">
            <v/>
          </cell>
          <cell r="W78" t="e">
            <v>#N/A</v>
          </cell>
        </row>
        <row r="79">
          <cell r="A79" t="str">
            <v xml:space="preserve">  </v>
          </cell>
          <cell r="F79" t="e">
            <v>#N/A</v>
          </cell>
          <cell r="J79" t="e">
            <v>#N/A</v>
          </cell>
          <cell r="L79" t="e">
            <v>#N/A</v>
          </cell>
          <cell r="N79" t="e">
            <v>#N/A</v>
          </cell>
          <cell r="P79" t="e">
            <v>#N/A</v>
          </cell>
          <cell r="Q79" t="e">
            <v>#N/A</v>
          </cell>
          <cell r="R79" t="e">
            <v>#N/A</v>
          </cell>
          <cell r="S79" t="e">
            <v>#N/A</v>
          </cell>
          <cell r="T79" t="e">
            <v>#N/A</v>
          </cell>
          <cell r="U79" t="str">
            <v/>
          </cell>
          <cell r="V79" t="str">
            <v/>
          </cell>
          <cell r="W79" t="e">
            <v>#N/A</v>
          </cell>
        </row>
        <row r="80">
          <cell r="A80" t="str">
            <v xml:space="preserve">  </v>
          </cell>
          <cell r="F80" t="e">
            <v>#N/A</v>
          </cell>
          <cell r="J80" t="e">
            <v>#N/A</v>
          </cell>
          <cell r="L80" t="e">
            <v>#N/A</v>
          </cell>
          <cell r="N80" t="e">
            <v>#N/A</v>
          </cell>
          <cell r="P80" t="e">
            <v>#N/A</v>
          </cell>
          <cell r="Q80" t="e">
            <v>#N/A</v>
          </cell>
          <cell r="R80" t="e">
            <v>#N/A</v>
          </cell>
          <cell r="S80" t="e">
            <v>#N/A</v>
          </cell>
          <cell r="T80" t="e">
            <v>#N/A</v>
          </cell>
          <cell r="U80" t="str">
            <v/>
          </cell>
          <cell r="V80" t="str">
            <v/>
          </cell>
          <cell r="W80" t="e">
            <v>#N/A</v>
          </cell>
        </row>
        <row r="81">
          <cell r="A81" t="str">
            <v xml:space="preserve">  </v>
          </cell>
          <cell r="F81" t="e">
            <v>#N/A</v>
          </cell>
          <cell r="J81" t="e">
            <v>#N/A</v>
          </cell>
          <cell r="L81" t="e">
            <v>#N/A</v>
          </cell>
          <cell r="N81" t="e">
            <v>#N/A</v>
          </cell>
          <cell r="P81" t="e">
            <v>#N/A</v>
          </cell>
          <cell r="Q81" t="e">
            <v>#N/A</v>
          </cell>
          <cell r="R81" t="e">
            <v>#N/A</v>
          </cell>
          <cell r="S81" t="e">
            <v>#N/A</v>
          </cell>
          <cell r="T81" t="e">
            <v>#N/A</v>
          </cell>
          <cell r="U81" t="str">
            <v/>
          </cell>
          <cell r="V81" t="str">
            <v/>
          </cell>
          <cell r="W81" t="e">
            <v>#N/A</v>
          </cell>
        </row>
        <row r="82">
          <cell r="A82" t="str">
            <v xml:space="preserve">  </v>
          </cell>
          <cell r="F82" t="e">
            <v>#N/A</v>
          </cell>
          <cell r="J82" t="e">
            <v>#N/A</v>
          </cell>
          <cell r="L82" t="e">
            <v>#N/A</v>
          </cell>
          <cell r="N82" t="e">
            <v>#N/A</v>
          </cell>
          <cell r="P82" t="e">
            <v>#N/A</v>
          </cell>
          <cell r="Q82" t="e">
            <v>#N/A</v>
          </cell>
          <cell r="R82" t="e">
            <v>#N/A</v>
          </cell>
          <cell r="S82" t="e">
            <v>#N/A</v>
          </cell>
          <cell r="T82" t="e">
            <v>#N/A</v>
          </cell>
          <cell r="U82" t="str">
            <v/>
          </cell>
          <cell r="V82" t="str">
            <v/>
          </cell>
          <cell r="W82" t="e">
            <v>#N/A</v>
          </cell>
        </row>
        <row r="83">
          <cell r="A83" t="str">
            <v xml:space="preserve">  </v>
          </cell>
          <cell r="F83" t="e">
            <v>#N/A</v>
          </cell>
          <cell r="J83" t="e">
            <v>#N/A</v>
          </cell>
          <cell r="L83" t="e">
            <v>#N/A</v>
          </cell>
          <cell r="N83" t="e">
            <v>#N/A</v>
          </cell>
          <cell r="P83" t="e">
            <v>#N/A</v>
          </cell>
          <cell r="Q83" t="e">
            <v>#N/A</v>
          </cell>
          <cell r="R83" t="e">
            <v>#N/A</v>
          </cell>
          <cell r="S83" t="e">
            <v>#N/A</v>
          </cell>
          <cell r="T83" t="e">
            <v>#N/A</v>
          </cell>
          <cell r="U83" t="str">
            <v/>
          </cell>
          <cell r="V83" t="str">
            <v/>
          </cell>
          <cell r="W83" t="e">
            <v>#N/A</v>
          </cell>
        </row>
        <row r="84">
          <cell r="A84" t="str">
            <v xml:space="preserve">  </v>
          </cell>
          <cell r="F84" t="e">
            <v>#N/A</v>
          </cell>
          <cell r="J84" t="e">
            <v>#N/A</v>
          </cell>
          <cell r="L84" t="e">
            <v>#N/A</v>
          </cell>
          <cell r="N84" t="e">
            <v>#N/A</v>
          </cell>
          <cell r="P84" t="e">
            <v>#N/A</v>
          </cell>
          <cell r="Q84" t="e">
            <v>#N/A</v>
          </cell>
          <cell r="R84" t="e">
            <v>#N/A</v>
          </cell>
          <cell r="S84" t="e">
            <v>#N/A</v>
          </cell>
          <cell r="T84" t="e">
            <v>#N/A</v>
          </cell>
          <cell r="U84" t="str">
            <v/>
          </cell>
          <cell r="V84" t="str">
            <v/>
          </cell>
          <cell r="W84" t="e">
            <v>#N/A</v>
          </cell>
        </row>
        <row r="85">
          <cell r="A85" t="str">
            <v xml:space="preserve">  </v>
          </cell>
          <cell r="F85" t="e">
            <v>#N/A</v>
          </cell>
          <cell r="J85" t="e">
            <v>#N/A</v>
          </cell>
          <cell r="L85" t="e">
            <v>#N/A</v>
          </cell>
          <cell r="N85" t="e">
            <v>#N/A</v>
          </cell>
          <cell r="P85" t="e">
            <v>#N/A</v>
          </cell>
          <cell r="Q85" t="e">
            <v>#N/A</v>
          </cell>
          <cell r="R85" t="e">
            <v>#N/A</v>
          </cell>
          <cell r="S85" t="e">
            <v>#N/A</v>
          </cell>
          <cell r="T85" t="e">
            <v>#N/A</v>
          </cell>
          <cell r="U85" t="str">
            <v/>
          </cell>
          <cell r="V85" t="str">
            <v/>
          </cell>
          <cell r="W85" t="e">
            <v>#N/A</v>
          </cell>
        </row>
        <row r="86">
          <cell r="A86" t="str">
            <v xml:space="preserve">  </v>
          </cell>
          <cell r="F86" t="e">
            <v>#N/A</v>
          </cell>
          <cell r="J86" t="e">
            <v>#N/A</v>
          </cell>
          <cell r="L86" t="e">
            <v>#N/A</v>
          </cell>
          <cell r="N86" t="e">
            <v>#N/A</v>
          </cell>
          <cell r="P86" t="e">
            <v>#N/A</v>
          </cell>
          <cell r="Q86" t="e">
            <v>#N/A</v>
          </cell>
          <cell r="R86" t="e">
            <v>#N/A</v>
          </cell>
          <cell r="S86" t="e">
            <v>#N/A</v>
          </cell>
          <cell r="T86" t="e">
            <v>#N/A</v>
          </cell>
          <cell r="U86" t="str">
            <v/>
          </cell>
          <cell r="V86" t="str">
            <v/>
          </cell>
          <cell r="W86" t="e">
            <v>#N/A</v>
          </cell>
        </row>
        <row r="87">
          <cell r="A87" t="str">
            <v xml:space="preserve">  </v>
          </cell>
          <cell r="F87" t="e">
            <v>#N/A</v>
          </cell>
          <cell r="J87" t="e">
            <v>#N/A</v>
          </cell>
          <cell r="L87" t="e">
            <v>#N/A</v>
          </cell>
          <cell r="N87" t="e">
            <v>#N/A</v>
          </cell>
          <cell r="P87" t="e">
            <v>#N/A</v>
          </cell>
          <cell r="Q87" t="e">
            <v>#N/A</v>
          </cell>
          <cell r="R87" t="e">
            <v>#N/A</v>
          </cell>
          <cell r="S87" t="e">
            <v>#N/A</v>
          </cell>
          <cell r="T87" t="e">
            <v>#N/A</v>
          </cell>
          <cell r="U87" t="str">
            <v/>
          </cell>
          <cell r="V87" t="str">
            <v/>
          </cell>
          <cell r="W87" t="e">
            <v>#N/A</v>
          </cell>
        </row>
        <row r="88">
          <cell r="A88" t="str">
            <v xml:space="preserve">  </v>
          </cell>
          <cell r="F88" t="e">
            <v>#N/A</v>
          </cell>
          <cell r="J88" t="e">
            <v>#N/A</v>
          </cell>
          <cell r="L88" t="e">
            <v>#N/A</v>
          </cell>
          <cell r="N88" t="e">
            <v>#N/A</v>
          </cell>
          <cell r="P88" t="e">
            <v>#N/A</v>
          </cell>
          <cell r="Q88" t="e">
            <v>#N/A</v>
          </cell>
          <cell r="R88" t="e">
            <v>#N/A</v>
          </cell>
          <cell r="S88" t="e">
            <v>#N/A</v>
          </cell>
          <cell r="T88" t="e">
            <v>#N/A</v>
          </cell>
          <cell r="U88" t="str">
            <v/>
          </cell>
          <cell r="V88" t="str">
            <v/>
          </cell>
          <cell r="W88" t="e">
            <v>#N/A</v>
          </cell>
        </row>
        <row r="89">
          <cell r="A89" t="str">
            <v xml:space="preserve">  </v>
          </cell>
          <cell r="F89" t="e">
            <v>#N/A</v>
          </cell>
          <cell r="J89" t="e">
            <v>#N/A</v>
          </cell>
          <cell r="L89" t="e">
            <v>#N/A</v>
          </cell>
          <cell r="N89" t="e">
            <v>#N/A</v>
          </cell>
          <cell r="P89" t="e">
            <v>#N/A</v>
          </cell>
          <cell r="Q89" t="e">
            <v>#N/A</v>
          </cell>
          <cell r="R89" t="e">
            <v>#N/A</v>
          </cell>
          <cell r="S89" t="e">
            <v>#N/A</v>
          </cell>
          <cell r="T89" t="e">
            <v>#N/A</v>
          </cell>
          <cell r="U89" t="str">
            <v/>
          </cell>
          <cell r="V89" t="str">
            <v/>
          </cell>
          <cell r="W89" t="e">
            <v>#N/A</v>
          </cell>
        </row>
        <row r="90">
          <cell r="A90" t="str">
            <v xml:space="preserve">  </v>
          </cell>
          <cell r="F90" t="e">
            <v>#N/A</v>
          </cell>
          <cell r="J90" t="e">
            <v>#N/A</v>
          </cell>
          <cell r="L90" t="e">
            <v>#N/A</v>
          </cell>
          <cell r="N90" t="e">
            <v>#N/A</v>
          </cell>
          <cell r="P90" t="e">
            <v>#N/A</v>
          </cell>
          <cell r="Q90" t="e">
            <v>#N/A</v>
          </cell>
          <cell r="R90" t="e">
            <v>#N/A</v>
          </cell>
          <cell r="S90" t="e">
            <v>#N/A</v>
          </cell>
          <cell r="T90" t="e">
            <v>#N/A</v>
          </cell>
          <cell r="U90" t="str">
            <v/>
          </cell>
          <cell r="V90" t="str">
            <v/>
          </cell>
          <cell r="W90" t="e">
            <v>#N/A</v>
          </cell>
        </row>
        <row r="91">
          <cell r="A91" t="str">
            <v xml:space="preserve">  </v>
          </cell>
          <cell r="F91" t="e">
            <v>#N/A</v>
          </cell>
          <cell r="J91" t="e">
            <v>#N/A</v>
          </cell>
          <cell r="L91" t="e">
            <v>#N/A</v>
          </cell>
          <cell r="N91" t="e">
            <v>#N/A</v>
          </cell>
          <cell r="P91" t="e">
            <v>#N/A</v>
          </cell>
          <cell r="Q91" t="e">
            <v>#N/A</v>
          </cell>
          <cell r="R91" t="e">
            <v>#N/A</v>
          </cell>
          <cell r="S91" t="e">
            <v>#N/A</v>
          </cell>
          <cell r="T91" t="e">
            <v>#N/A</v>
          </cell>
          <cell r="U91" t="str">
            <v/>
          </cell>
          <cell r="V91" t="str">
            <v/>
          </cell>
          <cell r="W91" t="e">
            <v>#N/A</v>
          </cell>
        </row>
        <row r="92">
          <cell r="A92" t="str">
            <v xml:space="preserve">  </v>
          </cell>
          <cell r="F92" t="e">
            <v>#N/A</v>
          </cell>
          <cell r="J92" t="e">
            <v>#N/A</v>
          </cell>
          <cell r="L92" t="e">
            <v>#N/A</v>
          </cell>
          <cell r="N92" t="e">
            <v>#N/A</v>
          </cell>
          <cell r="P92" t="e">
            <v>#N/A</v>
          </cell>
          <cell r="Q92" t="e">
            <v>#N/A</v>
          </cell>
          <cell r="R92" t="e">
            <v>#N/A</v>
          </cell>
          <cell r="S92" t="e">
            <v>#N/A</v>
          </cell>
          <cell r="T92" t="e">
            <v>#N/A</v>
          </cell>
          <cell r="U92" t="str">
            <v/>
          </cell>
          <cell r="V92" t="str">
            <v/>
          </cell>
          <cell r="W92" t="e">
            <v>#N/A</v>
          </cell>
        </row>
        <row r="93">
          <cell r="A93" t="str">
            <v xml:space="preserve">  </v>
          </cell>
          <cell r="F93" t="e">
            <v>#N/A</v>
          </cell>
          <cell r="J93" t="e">
            <v>#N/A</v>
          </cell>
          <cell r="L93" t="e">
            <v>#N/A</v>
          </cell>
          <cell r="N93" t="e">
            <v>#N/A</v>
          </cell>
          <cell r="P93" t="e">
            <v>#N/A</v>
          </cell>
          <cell r="Q93" t="e">
            <v>#N/A</v>
          </cell>
          <cell r="R93" t="e">
            <v>#N/A</v>
          </cell>
          <cell r="S93" t="e">
            <v>#N/A</v>
          </cell>
          <cell r="T93" t="e">
            <v>#N/A</v>
          </cell>
          <cell r="U93" t="str">
            <v/>
          </cell>
          <cell r="V93" t="str">
            <v/>
          </cell>
          <cell r="W93" t="e">
            <v>#N/A</v>
          </cell>
        </row>
        <row r="94">
          <cell r="A94" t="str">
            <v xml:space="preserve">  </v>
          </cell>
          <cell r="F94" t="e">
            <v>#N/A</v>
          </cell>
          <cell r="J94" t="e">
            <v>#N/A</v>
          </cell>
          <cell r="L94" t="e">
            <v>#N/A</v>
          </cell>
          <cell r="N94" t="e">
            <v>#N/A</v>
          </cell>
          <cell r="P94" t="e">
            <v>#N/A</v>
          </cell>
          <cell r="Q94" t="e">
            <v>#N/A</v>
          </cell>
          <cell r="R94" t="e">
            <v>#N/A</v>
          </cell>
          <cell r="S94" t="e">
            <v>#N/A</v>
          </cell>
          <cell r="T94" t="e">
            <v>#N/A</v>
          </cell>
          <cell r="U94" t="str">
            <v/>
          </cell>
          <cell r="V94" t="str">
            <v/>
          </cell>
          <cell r="W94" t="e">
            <v>#N/A</v>
          </cell>
        </row>
        <row r="95">
          <cell r="A95" t="str">
            <v xml:space="preserve">  </v>
          </cell>
          <cell r="F95" t="e">
            <v>#N/A</v>
          </cell>
          <cell r="J95" t="e">
            <v>#N/A</v>
          </cell>
          <cell r="L95" t="e">
            <v>#N/A</v>
          </cell>
          <cell r="N95" t="e">
            <v>#N/A</v>
          </cell>
          <cell r="P95" t="e">
            <v>#N/A</v>
          </cell>
          <cell r="Q95" t="e">
            <v>#N/A</v>
          </cell>
          <cell r="R95" t="e">
            <v>#N/A</v>
          </cell>
          <cell r="S95" t="e">
            <v>#N/A</v>
          </cell>
          <cell r="T95" t="e">
            <v>#N/A</v>
          </cell>
          <cell r="U95" t="str">
            <v/>
          </cell>
          <cell r="V95" t="str">
            <v/>
          </cell>
          <cell r="W95" t="e">
            <v>#N/A</v>
          </cell>
        </row>
        <row r="96">
          <cell r="A96" t="str">
            <v xml:space="preserve">  </v>
          </cell>
          <cell r="F96" t="e">
            <v>#N/A</v>
          </cell>
          <cell r="J96" t="e">
            <v>#N/A</v>
          </cell>
          <cell r="L96" t="e">
            <v>#N/A</v>
          </cell>
          <cell r="N96" t="e">
            <v>#N/A</v>
          </cell>
          <cell r="P96" t="e">
            <v>#N/A</v>
          </cell>
          <cell r="Q96" t="e">
            <v>#N/A</v>
          </cell>
          <cell r="R96" t="e">
            <v>#N/A</v>
          </cell>
          <cell r="S96" t="e">
            <v>#N/A</v>
          </cell>
          <cell r="T96" t="e">
            <v>#N/A</v>
          </cell>
          <cell r="U96" t="str">
            <v/>
          </cell>
          <cell r="V96" t="str">
            <v/>
          </cell>
          <cell r="W96" t="e">
            <v>#N/A</v>
          </cell>
        </row>
        <row r="97">
          <cell r="A97" t="str">
            <v xml:space="preserve">  </v>
          </cell>
          <cell r="F97" t="e">
            <v>#N/A</v>
          </cell>
          <cell r="J97" t="e">
            <v>#N/A</v>
          </cell>
          <cell r="L97" t="e">
            <v>#N/A</v>
          </cell>
          <cell r="N97" t="e">
            <v>#N/A</v>
          </cell>
          <cell r="P97" t="e">
            <v>#N/A</v>
          </cell>
          <cell r="Q97" t="e">
            <v>#N/A</v>
          </cell>
          <cell r="R97" t="e">
            <v>#N/A</v>
          </cell>
          <cell r="S97" t="e">
            <v>#N/A</v>
          </cell>
          <cell r="T97" t="e">
            <v>#N/A</v>
          </cell>
          <cell r="U97" t="str">
            <v/>
          </cell>
          <cell r="V97" t="str">
            <v/>
          </cell>
          <cell r="W97" t="e">
            <v>#N/A</v>
          </cell>
        </row>
        <row r="98">
          <cell r="A98" t="str">
            <v xml:space="preserve">  </v>
          </cell>
          <cell r="F98" t="e">
            <v>#N/A</v>
          </cell>
          <cell r="J98" t="e">
            <v>#N/A</v>
          </cell>
          <cell r="L98" t="e">
            <v>#N/A</v>
          </cell>
          <cell r="N98" t="e">
            <v>#N/A</v>
          </cell>
          <cell r="P98" t="e">
            <v>#N/A</v>
          </cell>
          <cell r="Q98" t="e">
            <v>#N/A</v>
          </cell>
          <cell r="R98" t="e">
            <v>#N/A</v>
          </cell>
          <cell r="S98" t="e">
            <v>#N/A</v>
          </cell>
          <cell r="T98" t="e">
            <v>#N/A</v>
          </cell>
          <cell r="U98" t="str">
            <v/>
          </cell>
          <cell r="V98" t="str">
            <v/>
          </cell>
          <cell r="W98" t="e">
            <v>#N/A</v>
          </cell>
        </row>
        <row r="99">
          <cell r="A99" t="str">
            <v xml:space="preserve">  </v>
          </cell>
          <cell r="F99" t="e">
            <v>#N/A</v>
          </cell>
          <cell r="J99" t="e">
            <v>#N/A</v>
          </cell>
          <cell r="L99" t="e">
            <v>#N/A</v>
          </cell>
          <cell r="N99" t="e">
            <v>#N/A</v>
          </cell>
          <cell r="P99" t="e">
            <v>#N/A</v>
          </cell>
          <cell r="Q99" t="e">
            <v>#N/A</v>
          </cell>
          <cell r="R99" t="e">
            <v>#N/A</v>
          </cell>
          <cell r="S99" t="e">
            <v>#N/A</v>
          </cell>
          <cell r="T99" t="e">
            <v>#N/A</v>
          </cell>
          <cell r="U99" t="str">
            <v/>
          </cell>
          <cell r="V99" t="str">
            <v/>
          </cell>
          <cell r="W99" t="e">
            <v>#N/A</v>
          </cell>
        </row>
        <row r="100">
          <cell r="A100" t="str">
            <v xml:space="preserve">  </v>
          </cell>
          <cell r="F100" t="e">
            <v>#N/A</v>
          </cell>
          <cell r="J100" t="e">
            <v>#N/A</v>
          </cell>
          <cell r="L100" t="e">
            <v>#N/A</v>
          </cell>
          <cell r="N100" t="e">
            <v>#N/A</v>
          </cell>
          <cell r="P100" t="e">
            <v>#N/A</v>
          </cell>
          <cell r="Q100" t="e">
            <v>#N/A</v>
          </cell>
          <cell r="R100" t="e">
            <v>#N/A</v>
          </cell>
          <cell r="S100" t="e">
            <v>#N/A</v>
          </cell>
          <cell r="T100" t="e">
            <v>#N/A</v>
          </cell>
          <cell r="U100" t="str">
            <v/>
          </cell>
          <cell r="V100" t="str">
            <v/>
          </cell>
          <cell r="W100" t="e">
            <v>#N/A</v>
          </cell>
        </row>
        <row r="101">
          <cell r="A101" t="str">
            <v xml:space="preserve">  </v>
          </cell>
          <cell r="F101" t="e">
            <v>#N/A</v>
          </cell>
          <cell r="J101" t="e">
            <v>#N/A</v>
          </cell>
          <cell r="L101" t="e">
            <v>#N/A</v>
          </cell>
          <cell r="N101" t="e">
            <v>#N/A</v>
          </cell>
          <cell r="P101" t="e">
            <v>#N/A</v>
          </cell>
          <cell r="Q101" t="e">
            <v>#N/A</v>
          </cell>
          <cell r="R101" t="e">
            <v>#N/A</v>
          </cell>
          <cell r="S101" t="e">
            <v>#N/A</v>
          </cell>
          <cell r="T101" t="e">
            <v>#N/A</v>
          </cell>
          <cell r="U101" t="str">
            <v/>
          </cell>
          <cell r="V101" t="str">
            <v/>
          </cell>
          <cell r="W101" t="e">
            <v>#N/A</v>
          </cell>
        </row>
        <row r="102">
          <cell r="A102" t="str">
            <v xml:space="preserve">  </v>
          </cell>
          <cell r="F102" t="e">
            <v>#N/A</v>
          </cell>
          <cell r="J102" t="e">
            <v>#N/A</v>
          </cell>
          <cell r="L102" t="e">
            <v>#N/A</v>
          </cell>
          <cell r="N102" t="e">
            <v>#N/A</v>
          </cell>
          <cell r="P102" t="e">
            <v>#N/A</v>
          </cell>
          <cell r="Q102" t="e">
            <v>#N/A</v>
          </cell>
          <cell r="R102" t="e">
            <v>#N/A</v>
          </cell>
          <cell r="S102" t="e">
            <v>#N/A</v>
          </cell>
          <cell r="T102" t="e">
            <v>#N/A</v>
          </cell>
          <cell r="U102" t="str">
            <v/>
          </cell>
          <cell r="V102" t="str">
            <v/>
          </cell>
          <cell r="W102" t="e">
            <v>#N/A</v>
          </cell>
        </row>
        <row r="103">
          <cell r="A103" t="str">
            <v xml:space="preserve">  </v>
          </cell>
          <cell r="F103" t="e">
            <v>#N/A</v>
          </cell>
          <cell r="J103" t="e">
            <v>#N/A</v>
          </cell>
          <cell r="L103" t="e">
            <v>#N/A</v>
          </cell>
          <cell r="N103" t="e">
            <v>#N/A</v>
          </cell>
          <cell r="P103" t="e">
            <v>#N/A</v>
          </cell>
          <cell r="Q103" t="e">
            <v>#N/A</v>
          </cell>
          <cell r="R103" t="e">
            <v>#N/A</v>
          </cell>
          <cell r="S103" t="e">
            <v>#N/A</v>
          </cell>
          <cell r="T103" t="e">
            <v>#N/A</v>
          </cell>
          <cell r="U103" t="str">
            <v/>
          </cell>
          <cell r="V103" t="str">
            <v/>
          </cell>
          <cell r="W103" t="e">
            <v>#N/A</v>
          </cell>
        </row>
        <row r="104">
          <cell r="A104" t="str">
            <v xml:space="preserve">  </v>
          </cell>
          <cell r="F104" t="e">
            <v>#N/A</v>
          </cell>
          <cell r="J104" t="e">
            <v>#N/A</v>
          </cell>
          <cell r="L104" t="e">
            <v>#N/A</v>
          </cell>
          <cell r="N104" t="e">
            <v>#N/A</v>
          </cell>
          <cell r="P104" t="e">
            <v>#N/A</v>
          </cell>
          <cell r="Q104" t="e">
            <v>#N/A</v>
          </cell>
          <cell r="R104" t="e">
            <v>#N/A</v>
          </cell>
          <cell r="S104" t="e">
            <v>#N/A</v>
          </cell>
          <cell r="T104" t="e">
            <v>#N/A</v>
          </cell>
          <cell r="U104" t="str">
            <v/>
          </cell>
          <cell r="V104" t="str">
            <v/>
          </cell>
          <cell r="W104" t="e">
            <v>#N/A</v>
          </cell>
        </row>
        <row r="105">
          <cell r="A105" t="str">
            <v xml:space="preserve">  </v>
          </cell>
          <cell r="F105" t="e">
            <v>#N/A</v>
          </cell>
          <cell r="J105" t="e">
            <v>#N/A</v>
          </cell>
          <cell r="L105" t="e">
            <v>#N/A</v>
          </cell>
          <cell r="N105" t="e">
            <v>#N/A</v>
          </cell>
          <cell r="P105" t="e">
            <v>#N/A</v>
          </cell>
          <cell r="Q105" t="e">
            <v>#N/A</v>
          </cell>
          <cell r="R105" t="e">
            <v>#N/A</v>
          </cell>
          <cell r="S105" t="e">
            <v>#N/A</v>
          </cell>
          <cell r="T105" t="e">
            <v>#N/A</v>
          </cell>
          <cell r="U105" t="str">
            <v/>
          </cell>
          <cell r="V105" t="str">
            <v/>
          </cell>
          <cell r="W105" t="e">
            <v>#N/A</v>
          </cell>
        </row>
        <row r="106">
          <cell r="A106" t="str">
            <v xml:space="preserve">  </v>
          </cell>
          <cell r="F106" t="e">
            <v>#N/A</v>
          </cell>
          <cell r="J106" t="e">
            <v>#N/A</v>
          </cell>
          <cell r="L106" t="e">
            <v>#N/A</v>
          </cell>
          <cell r="N106" t="e">
            <v>#N/A</v>
          </cell>
          <cell r="P106" t="e">
            <v>#N/A</v>
          </cell>
          <cell r="Q106" t="e">
            <v>#N/A</v>
          </cell>
          <cell r="R106" t="e">
            <v>#N/A</v>
          </cell>
          <cell r="S106" t="e">
            <v>#N/A</v>
          </cell>
          <cell r="T106" t="e">
            <v>#N/A</v>
          </cell>
          <cell r="U106" t="str">
            <v/>
          </cell>
          <cell r="V106" t="str">
            <v/>
          </cell>
          <cell r="W106" t="e">
            <v>#N/A</v>
          </cell>
        </row>
        <row r="107">
          <cell r="A107" t="str">
            <v xml:space="preserve">  </v>
          </cell>
          <cell r="F107" t="e">
            <v>#N/A</v>
          </cell>
          <cell r="J107" t="e">
            <v>#N/A</v>
          </cell>
          <cell r="L107" t="e">
            <v>#N/A</v>
          </cell>
          <cell r="N107" t="e">
            <v>#N/A</v>
          </cell>
          <cell r="P107" t="e">
            <v>#N/A</v>
          </cell>
          <cell r="Q107" t="e">
            <v>#N/A</v>
          </cell>
          <cell r="R107" t="e">
            <v>#N/A</v>
          </cell>
          <cell r="S107" t="e">
            <v>#N/A</v>
          </cell>
          <cell r="T107" t="e">
            <v>#N/A</v>
          </cell>
          <cell r="U107" t="str">
            <v/>
          </cell>
          <cell r="V107" t="str">
            <v/>
          </cell>
          <cell r="W107" t="e">
            <v>#N/A</v>
          </cell>
        </row>
        <row r="108">
          <cell r="A108" t="str">
            <v xml:space="preserve">  </v>
          </cell>
          <cell r="F108" t="e">
            <v>#N/A</v>
          </cell>
          <cell r="J108" t="e">
            <v>#N/A</v>
          </cell>
          <cell r="L108" t="e">
            <v>#N/A</v>
          </cell>
          <cell r="N108" t="e">
            <v>#N/A</v>
          </cell>
          <cell r="P108" t="e">
            <v>#N/A</v>
          </cell>
          <cell r="Q108" t="e">
            <v>#N/A</v>
          </cell>
          <cell r="R108" t="e">
            <v>#N/A</v>
          </cell>
          <cell r="S108" t="e">
            <v>#N/A</v>
          </cell>
          <cell r="T108" t="e">
            <v>#N/A</v>
          </cell>
          <cell r="U108" t="str">
            <v/>
          </cell>
          <cell r="V108" t="str">
            <v/>
          </cell>
          <cell r="W108" t="e">
            <v>#N/A</v>
          </cell>
        </row>
        <row r="109">
          <cell r="A109" t="str">
            <v xml:space="preserve">  </v>
          </cell>
          <cell r="F109" t="e">
            <v>#N/A</v>
          </cell>
          <cell r="J109" t="e">
            <v>#N/A</v>
          </cell>
          <cell r="L109" t="e">
            <v>#N/A</v>
          </cell>
          <cell r="N109" t="e">
            <v>#N/A</v>
          </cell>
          <cell r="P109" t="e">
            <v>#N/A</v>
          </cell>
          <cell r="Q109" t="e">
            <v>#N/A</v>
          </cell>
          <cell r="R109" t="e">
            <v>#N/A</v>
          </cell>
          <cell r="S109" t="e">
            <v>#N/A</v>
          </cell>
          <cell r="T109" t="e">
            <v>#N/A</v>
          </cell>
          <cell r="U109" t="str">
            <v/>
          </cell>
          <cell r="V109" t="str">
            <v/>
          </cell>
          <cell r="W109" t="e">
            <v>#N/A</v>
          </cell>
        </row>
        <row r="110">
          <cell r="A110" t="str">
            <v xml:space="preserve">  </v>
          </cell>
          <cell r="F110" t="e">
            <v>#N/A</v>
          </cell>
          <cell r="J110" t="e">
            <v>#N/A</v>
          </cell>
          <cell r="L110" t="e">
            <v>#N/A</v>
          </cell>
          <cell r="N110" t="e">
            <v>#N/A</v>
          </cell>
          <cell r="P110" t="e">
            <v>#N/A</v>
          </cell>
          <cell r="Q110" t="e">
            <v>#N/A</v>
          </cell>
          <cell r="R110" t="e">
            <v>#N/A</v>
          </cell>
          <cell r="S110" t="e">
            <v>#N/A</v>
          </cell>
          <cell r="T110" t="e">
            <v>#N/A</v>
          </cell>
          <cell r="U110" t="str">
            <v/>
          </cell>
          <cell r="V110" t="str">
            <v/>
          </cell>
          <cell r="W110" t="e">
            <v>#N/A</v>
          </cell>
        </row>
        <row r="111">
          <cell r="A111" t="str">
            <v xml:space="preserve">  </v>
          </cell>
          <cell r="F111" t="e">
            <v>#N/A</v>
          </cell>
          <cell r="J111" t="e">
            <v>#N/A</v>
          </cell>
          <cell r="L111" t="e">
            <v>#N/A</v>
          </cell>
          <cell r="N111" t="e">
            <v>#N/A</v>
          </cell>
          <cell r="P111" t="e">
            <v>#N/A</v>
          </cell>
          <cell r="Q111" t="e">
            <v>#N/A</v>
          </cell>
          <cell r="R111" t="e">
            <v>#N/A</v>
          </cell>
          <cell r="S111" t="e">
            <v>#N/A</v>
          </cell>
          <cell r="T111" t="e">
            <v>#N/A</v>
          </cell>
          <cell r="U111" t="str">
            <v/>
          </cell>
          <cell r="V111" t="str">
            <v/>
          </cell>
          <cell r="W111" t="e">
            <v>#N/A</v>
          </cell>
        </row>
        <row r="112">
          <cell r="A112" t="str">
            <v xml:space="preserve">  </v>
          </cell>
          <cell r="F112" t="e">
            <v>#N/A</v>
          </cell>
          <cell r="J112" t="e">
            <v>#N/A</v>
          </cell>
          <cell r="L112" t="e">
            <v>#N/A</v>
          </cell>
          <cell r="N112" t="e">
            <v>#N/A</v>
          </cell>
          <cell r="P112" t="e">
            <v>#N/A</v>
          </cell>
          <cell r="Q112" t="e">
            <v>#N/A</v>
          </cell>
          <cell r="R112" t="e">
            <v>#N/A</v>
          </cell>
          <cell r="S112" t="e">
            <v>#N/A</v>
          </cell>
          <cell r="T112" t="e">
            <v>#N/A</v>
          </cell>
          <cell r="U112" t="str">
            <v/>
          </cell>
          <cell r="V112" t="str">
            <v/>
          </cell>
          <cell r="W112" t="e">
            <v>#N/A</v>
          </cell>
        </row>
        <row r="113">
          <cell r="A113" t="str">
            <v xml:space="preserve">  </v>
          </cell>
          <cell r="F113" t="e">
            <v>#N/A</v>
          </cell>
          <cell r="J113" t="e">
            <v>#N/A</v>
          </cell>
          <cell r="L113" t="e">
            <v>#N/A</v>
          </cell>
          <cell r="N113" t="e">
            <v>#N/A</v>
          </cell>
          <cell r="P113" t="e">
            <v>#N/A</v>
          </cell>
          <cell r="Q113" t="e">
            <v>#N/A</v>
          </cell>
          <cell r="R113" t="e">
            <v>#N/A</v>
          </cell>
          <cell r="S113" t="e">
            <v>#N/A</v>
          </cell>
          <cell r="T113" t="e">
            <v>#N/A</v>
          </cell>
          <cell r="U113" t="str">
            <v/>
          </cell>
          <cell r="V113" t="str">
            <v/>
          </cell>
          <cell r="W113" t="e">
            <v>#N/A</v>
          </cell>
        </row>
        <row r="114">
          <cell r="A114" t="str">
            <v xml:space="preserve">  </v>
          </cell>
          <cell r="F114" t="e">
            <v>#N/A</v>
          </cell>
          <cell r="J114" t="e">
            <v>#N/A</v>
          </cell>
          <cell r="L114" t="e">
            <v>#N/A</v>
          </cell>
          <cell r="N114" t="e">
            <v>#N/A</v>
          </cell>
          <cell r="P114" t="e">
            <v>#N/A</v>
          </cell>
          <cell r="Q114" t="e">
            <v>#N/A</v>
          </cell>
          <cell r="R114" t="e">
            <v>#N/A</v>
          </cell>
          <cell r="S114" t="e">
            <v>#N/A</v>
          </cell>
          <cell r="T114" t="e">
            <v>#N/A</v>
          </cell>
          <cell r="U114" t="str">
            <v/>
          </cell>
          <cell r="V114" t="str">
            <v/>
          </cell>
          <cell r="W114" t="e">
            <v>#N/A</v>
          </cell>
        </row>
        <row r="115">
          <cell r="A115" t="str">
            <v xml:space="preserve">  </v>
          </cell>
          <cell r="F115" t="e">
            <v>#N/A</v>
          </cell>
          <cell r="J115" t="e">
            <v>#N/A</v>
          </cell>
          <cell r="L115" t="e">
            <v>#N/A</v>
          </cell>
          <cell r="N115" t="e">
            <v>#N/A</v>
          </cell>
          <cell r="P115" t="e">
            <v>#N/A</v>
          </cell>
          <cell r="Q115" t="e">
            <v>#N/A</v>
          </cell>
          <cell r="R115" t="e">
            <v>#N/A</v>
          </cell>
          <cell r="S115" t="e">
            <v>#N/A</v>
          </cell>
          <cell r="T115" t="e">
            <v>#N/A</v>
          </cell>
          <cell r="U115" t="str">
            <v/>
          </cell>
          <cell r="V115" t="str">
            <v/>
          </cell>
          <cell r="W115" t="e">
            <v>#N/A</v>
          </cell>
        </row>
        <row r="116">
          <cell r="A116" t="str">
            <v xml:space="preserve">  </v>
          </cell>
          <cell r="F116" t="e">
            <v>#N/A</v>
          </cell>
          <cell r="J116" t="e">
            <v>#N/A</v>
          </cell>
          <cell r="L116" t="e">
            <v>#N/A</v>
          </cell>
          <cell r="N116" t="e">
            <v>#N/A</v>
          </cell>
          <cell r="P116" t="e">
            <v>#N/A</v>
          </cell>
          <cell r="Q116" t="e">
            <v>#N/A</v>
          </cell>
          <cell r="R116" t="e">
            <v>#N/A</v>
          </cell>
          <cell r="S116" t="e">
            <v>#N/A</v>
          </cell>
          <cell r="T116" t="e">
            <v>#N/A</v>
          </cell>
          <cell r="U116" t="str">
            <v/>
          </cell>
          <cell r="V116" t="str">
            <v/>
          </cell>
          <cell r="W116" t="e">
            <v>#N/A</v>
          </cell>
        </row>
        <row r="117">
          <cell r="A117" t="str">
            <v xml:space="preserve">  </v>
          </cell>
          <cell r="F117" t="e">
            <v>#N/A</v>
          </cell>
          <cell r="J117" t="e">
            <v>#N/A</v>
          </cell>
          <cell r="L117" t="e">
            <v>#N/A</v>
          </cell>
          <cell r="N117" t="e">
            <v>#N/A</v>
          </cell>
          <cell r="P117" t="e">
            <v>#N/A</v>
          </cell>
          <cell r="Q117" t="e">
            <v>#N/A</v>
          </cell>
          <cell r="R117" t="e">
            <v>#N/A</v>
          </cell>
          <cell r="S117" t="e">
            <v>#N/A</v>
          </cell>
          <cell r="T117" t="e">
            <v>#N/A</v>
          </cell>
          <cell r="U117" t="str">
            <v/>
          </cell>
          <cell r="V117" t="str">
            <v/>
          </cell>
          <cell r="W117" t="e">
            <v>#N/A</v>
          </cell>
        </row>
        <row r="118">
          <cell r="A118" t="str">
            <v xml:space="preserve">  </v>
          </cell>
          <cell r="F118" t="e">
            <v>#N/A</v>
          </cell>
          <cell r="J118" t="e">
            <v>#N/A</v>
          </cell>
          <cell r="L118" t="e">
            <v>#N/A</v>
          </cell>
          <cell r="N118" t="e">
            <v>#N/A</v>
          </cell>
          <cell r="P118" t="e">
            <v>#N/A</v>
          </cell>
          <cell r="Q118" t="e">
            <v>#N/A</v>
          </cell>
          <cell r="R118" t="e">
            <v>#N/A</v>
          </cell>
          <cell r="S118" t="e">
            <v>#N/A</v>
          </cell>
          <cell r="T118" t="e">
            <v>#N/A</v>
          </cell>
          <cell r="U118" t="str">
            <v/>
          </cell>
          <cell r="V118" t="str">
            <v/>
          </cell>
          <cell r="W118" t="e">
            <v>#N/A</v>
          </cell>
        </row>
        <row r="119">
          <cell r="A119" t="str">
            <v xml:space="preserve">  </v>
          </cell>
          <cell r="F119" t="e">
            <v>#N/A</v>
          </cell>
          <cell r="J119" t="e">
            <v>#N/A</v>
          </cell>
          <cell r="L119" t="e">
            <v>#N/A</v>
          </cell>
          <cell r="N119" t="e">
            <v>#N/A</v>
          </cell>
          <cell r="P119" t="e">
            <v>#N/A</v>
          </cell>
          <cell r="Q119" t="e">
            <v>#N/A</v>
          </cell>
          <cell r="R119" t="e">
            <v>#N/A</v>
          </cell>
          <cell r="S119" t="e">
            <v>#N/A</v>
          </cell>
          <cell r="T119" t="e">
            <v>#N/A</v>
          </cell>
          <cell r="U119" t="str">
            <v/>
          </cell>
          <cell r="V119" t="str">
            <v/>
          </cell>
          <cell r="W119" t="e">
            <v>#N/A</v>
          </cell>
        </row>
        <row r="120">
          <cell r="A120" t="str">
            <v xml:space="preserve">  </v>
          </cell>
          <cell r="F120" t="e">
            <v>#N/A</v>
          </cell>
          <cell r="J120" t="e">
            <v>#N/A</v>
          </cell>
          <cell r="L120" t="e">
            <v>#N/A</v>
          </cell>
          <cell r="N120" t="e">
            <v>#N/A</v>
          </cell>
          <cell r="P120" t="e">
            <v>#N/A</v>
          </cell>
          <cell r="Q120" t="e">
            <v>#N/A</v>
          </cell>
          <cell r="R120" t="e">
            <v>#N/A</v>
          </cell>
          <cell r="S120" t="e">
            <v>#N/A</v>
          </cell>
          <cell r="T120" t="e">
            <v>#N/A</v>
          </cell>
          <cell r="U120" t="str">
            <v/>
          </cell>
          <cell r="V120" t="str">
            <v/>
          </cell>
          <cell r="W120" t="e">
            <v>#N/A</v>
          </cell>
        </row>
        <row r="121">
          <cell r="A121" t="str">
            <v xml:space="preserve">  </v>
          </cell>
          <cell r="F121" t="e">
            <v>#N/A</v>
          </cell>
          <cell r="J121" t="e">
            <v>#N/A</v>
          </cell>
          <cell r="L121" t="e">
            <v>#N/A</v>
          </cell>
          <cell r="N121" t="e">
            <v>#N/A</v>
          </cell>
          <cell r="P121" t="e">
            <v>#N/A</v>
          </cell>
          <cell r="Q121" t="e">
            <v>#N/A</v>
          </cell>
          <cell r="R121" t="e">
            <v>#N/A</v>
          </cell>
          <cell r="S121" t="e">
            <v>#N/A</v>
          </cell>
          <cell r="T121" t="e">
            <v>#N/A</v>
          </cell>
          <cell r="U121" t="str">
            <v/>
          </cell>
          <cell r="V121" t="str">
            <v/>
          </cell>
          <cell r="W121" t="e">
            <v>#N/A</v>
          </cell>
        </row>
        <row r="122">
          <cell r="A122" t="str">
            <v xml:space="preserve">  </v>
          </cell>
          <cell r="F122" t="e">
            <v>#N/A</v>
          </cell>
          <cell r="J122" t="e">
            <v>#N/A</v>
          </cell>
          <cell r="L122" t="e">
            <v>#N/A</v>
          </cell>
          <cell r="N122" t="e">
            <v>#N/A</v>
          </cell>
          <cell r="P122" t="e">
            <v>#N/A</v>
          </cell>
          <cell r="Q122" t="e">
            <v>#N/A</v>
          </cell>
          <cell r="R122" t="e">
            <v>#N/A</v>
          </cell>
          <cell r="S122" t="e">
            <v>#N/A</v>
          </cell>
          <cell r="T122" t="e">
            <v>#N/A</v>
          </cell>
          <cell r="U122" t="str">
            <v/>
          </cell>
          <cell r="V122" t="str">
            <v/>
          </cell>
          <cell r="W122" t="e">
            <v>#N/A</v>
          </cell>
        </row>
        <row r="123">
          <cell r="A123" t="str">
            <v xml:space="preserve">  </v>
          </cell>
          <cell r="F123" t="e">
            <v>#N/A</v>
          </cell>
          <cell r="J123" t="e">
            <v>#N/A</v>
          </cell>
          <cell r="L123" t="e">
            <v>#N/A</v>
          </cell>
          <cell r="N123" t="e">
            <v>#N/A</v>
          </cell>
          <cell r="P123" t="e">
            <v>#N/A</v>
          </cell>
          <cell r="Q123" t="e">
            <v>#N/A</v>
          </cell>
          <cell r="R123" t="e">
            <v>#N/A</v>
          </cell>
          <cell r="S123" t="e">
            <v>#N/A</v>
          </cell>
          <cell r="T123" t="e">
            <v>#N/A</v>
          </cell>
          <cell r="U123" t="str">
            <v/>
          </cell>
          <cell r="V123" t="str">
            <v/>
          </cell>
          <cell r="W123" t="e">
            <v>#N/A</v>
          </cell>
        </row>
        <row r="124">
          <cell r="A124" t="str">
            <v xml:space="preserve">  </v>
          </cell>
          <cell r="F124" t="e">
            <v>#N/A</v>
          </cell>
          <cell r="J124" t="e">
            <v>#N/A</v>
          </cell>
          <cell r="L124" t="e">
            <v>#N/A</v>
          </cell>
          <cell r="N124" t="e">
            <v>#N/A</v>
          </cell>
          <cell r="P124" t="e">
            <v>#N/A</v>
          </cell>
          <cell r="Q124" t="e">
            <v>#N/A</v>
          </cell>
          <cell r="R124" t="e">
            <v>#N/A</v>
          </cell>
          <cell r="S124" t="e">
            <v>#N/A</v>
          </cell>
          <cell r="T124" t="e">
            <v>#N/A</v>
          </cell>
          <cell r="U124" t="str">
            <v/>
          </cell>
          <cell r="V124" t="str">
            <v/>
          </cell>
          <cell r="W124" t="e">
            <v>#N/A</v>
          </cell>
        </row>
        <row r="125">
          <cell r="A125" t="str">
            <v xml:space="preserve">  </v>
          </cell>
          <cell r="F125" t="e">
            <v>#N/A</v>
          </cell>
          <cell r="J125" t="e">
            <v>#N/A</v>
          </cell>
          <cell r="L125" t="e">
            <v>#N/A</v>
          </cell>
          <cell r="N125" t="e">
            <v>#N/A</v>
          </cell>
          <cell r="P125" t="e">
            <v>#N/A</v>
          </cell>
          <cell r="Q125" t="e">
            <v>#N/A</v>
          </cell>
          <cell r="R125" t="e">
            <v>#N/A</v>
          </cell>
          <cell r="S125" t="e">
            <v>#N/A</v>
          </cell>
          <cell r="T125" t="e">
            <v>#N/A</v>
          </cell>
          <cell r="U125" t="str">
            <v/>
          </cell>
          <cell r="V125" t="str">
            <v/>
          </cell>
          <cell r="W125" t="e">
            <v>#N/A</v>
          </cell>
        </row>
        <row r="126">
          <cell r="A126" t="str">
            <v xml:space="preserve">  </v>
          </cell>
          <cell r="F126" t="e">
            <v>#N/A</v>
          </cell>
          <cell r="J126" t="e">
            <v>#N/A</v>
          </cell>
          <cell r="L126" t="e">
            <v>#N/A</v>
          </cell>
          <cell r="N126" t="e">
            <v>#N/A</v>
          </cell>
          <cell r="P126" t="e">
            <v>#N/A</v>
          </cell>
          <cell r="Q126" t="e">
            <v>#N/A</v>
          </cell>
          <cell r="R126" t="e">
            <v>#N/A</v>
          </cell>
          <cell r="S126" t="e">
            <v>#N/A</v>
          </cell>
          <cell r="T126" t="e">
            <v>#N/A</v>
          </cell>
          <cell r="U126" t="str">
            <v/>
          </cell>
          <cell r="V126" t="str">
            <v/>
          </cell>
          <cell r="W126" t="e">
            <v>#N/A</v>
          </cell>
        </row>
        <row r="127">
          <cell r="A127" t="str">
            <v xml:space="preserve">  </v>
          </cell>
          <cell r="F127" t="e">
            <v>#N/A</v>
          </cell>
          <cell r="J127" t="e">
            <v>#N/A</v>
          </cell>
          <cell r="L127" t="e">
            <v>#N/A</v>
          </cell>
          <cell r="N127" t="e">
            <v>#N/A</v>
          </cell>
          <cell r="P127" t="e">
            <v>#N/A</v>
          </cell>
          <cell r="Q127" t="e">
            <v>#N/A</v>
          </cell>
          <cell r="R127" t="e">
            <v>#N/A</v>
          </cell>
          <cell r="S127" t="e">
            <v>#N/A</v>
          </cell>
          <cell r="T127" t="e">
            <v>#N/A</v>
          </cell>
          <cell r="U127" t="str">
            <v/>
          </cell>
          <cell r="V127" t="str">
            <v/>
          </cell>
          <cell r="W127" t="e">
            <v>#N/A</v>
          </cell>
        </row>
        <row r="128">
          <cell r="A128" t="str">
            <v xml:space="preserve">  </v>
          </cell>
          <cell r="F128" t="e">
            <v>#N/A</v>
          </cell>
          <cell r="J128" t="e">
            <v>#N/A</v>
          </cell>
          <cell r="L128" t="e">
            <v>#N/A</v>
          </cell>
          <cell r="N128" t="e">
            <v>#N/A</v>
          </cell>
          <cell r="P128" t="e">
            <v>#N/A</v>
          </cell>
          <cell r="Q128" t="e">
            <v>#N/A</v>
          </cell>
          <cell r="R128" t="e">
            <v>#N/A</v>
          </cell>
          <cell r="S128" t="e">
            <v>#N/A</v>
          </cell>
          <cell r="T128" t="e">
            <v>#N/A</v>
          </cell>
          <cell r="U128" t="str">
            <v/>
          </cell>
          <cell r="V128" t="str">
            <v/>
          </cell>
          <cell r="W128" t="e">
            <v>#N/A</v>
          </cell>
        </row>
        <row r="129">
          <cell r="A129" t="str">
            <v xml:space="preserve">  </v>
          </cell>
          <cell r="F129" t="e">
            <v>#N/A</v>
          </cell>
          <cell r="J129" t="e">
            <v>#N/A</v>
          </cell>
          <cell r="L129" t="e">
            <v>#N/A</v>
          </cell>
          <cell r="N129" t="e">
            <v>#N/A</v>
          </cell>
          <cell r="P129" t="e">
            <v>#N/A</v>
          </cell>
          <cell r="Q129" t="e">
            <v>#N/A</v>
          </cell>
          <cell r="R129" t="e">
            <v>#N/A</v>
          </cell>
          <cell r="S129" t="e">
            <v>#N/A</v>
          </cell>
          <cell r="T129" t="e">
            <v>#N/A</v>
          </cell>
          <cell r="U129" t="str">
            <v/>
          </cell>
          <cell r="V129" t="str">
            <v/>
          </cell>
          <cell r="W129" t="e">
            <v>#N/A</v>
          </cell>
        </row>
        <row r="130">
          <cell r="A130" t="str">
            <v xml:space="preserve">  </v>
          </cell>
          <cell r="F130" t="e">
            <v>#N/A</v>
          </cell>
          <cell r="J130" t="e">
            <v>#N/A</v>
          </cell>
          <cell r="L130" t="e">
            <v>#N/A</v>
          </cell>
          <cell r="N130" t="e">
            <v>#N/A</v>
          </cell>
          <cell r="P130" t="e">
            <v>#N/A</v>
          </cell>
          <cell r="Q130" t="e">
            <v>#N/A</v>
          </cell>
          <cell r="R130" t="e">
            <v>#N/A</v>
          </cell>
          <cell r="S130" t="e">
            <v>#N/A</v>
          </cell>
          <cell r="T130" t="e">
            <v>#N/A</v>
          </cell>
          <cell r="U130" t="str">
            <v/>
          </cell>
          <cell r="V130" t="str">
            <v/>
          </cell>
          <cell r="W130" t="e">
            <v>#N/A</v>
          </cell>
        </row>
        <row r="131">
          <cell r="A131" t="str">
            <v xml:space="preserve">  </v>
          </cell>
          <cell r="F131" t="e">
            <v>#N/A</v>
          </cell>
          <cell r="J131" t="e">
            <v>#N/A</v>
          </cell>
          <cell r="L131" t="e">
            <v>#N/A</v>
          </cell>
          <cell r="N131" t="e">
            <v>#N/A</v>
          </cell>
          <cell r="P131" t="e">
            <v>#N/A</v>
          </cell>
          <cell r="Q131" t="e">
            <v>#N/A</v>
          </cell>
          <cell r="R131" t="e">
            <v>#N/A</v>
          </cell>
          <cell r="S131" t="e">
            <v>#N/A</v>
          </cell>
          <cell r="T131" t="e">
            <v>#N/A</v>
          </cell>
          <cell r="U131" t="str">
            <v/>
          </cell>
          <cell r="V131" t="str">
            <v/>
          </cell>
          <cell r="W131" t="e">
            <v>#N/A</v>
          </cell>
        </row>
        <row r="132">
          <cell r="A132" t="str">
            <v xml:space="preserve">  </v>
          </cell>
          <cell r="F132" t="e">
            <v>#N/A</v>
          </cell>
          <cell r="J132" t="e">
            <v>#N/A</v>
          </cell>
          <cell r="L132" t="e">
            <v>#N/A</v>
          </cell>
          <cell r="N132" t="e">
            <v>#N/A</v>
          </cell>
          <cell r="P132" t="e">
            <v>#N/A</v>
          </cell>
          <cell r="Q132" t="e">
            <v>#N/A</v>
          </cell>
          <cell r="R132" t="e">
            <v>#N/A</v>
          </cell>
          <cell r="S132" t="e">
            <v>#N/A</v>
          </cell>
          <cell r="T132" t="e">
            <v>#N/A</v>
          </cell>
          <cell r="U132" t="str">
            <v/>
          </cell>
          <cell r="V132" t="str">
            <v/>
          </cell>
          <cell r="W132" t="e">
            <v>#N/A</v>
          </cell>
        </row>
        <row r="133">
          <cell r="A133" t="str">
            <v xml:space="preserve">  </v>
          </cell>
          <cell r="F133" t="e">
            <v>#N/A</v>
          </cell>
          <cell r="J133" t="e">
            <v>#N/A</v>
          </cell>
          <cell r="L133" t="e">
            <v>#N/A</v>
          </cell>
          <cell r="N133" t="e">
            <v>#N/A</v>
          </cell>
          <cell r="P133" t="e">
            <v>#N/A</v>
          </cell>
          <cell r="Q133" t="e">
            <v>#N/A</v>
          </cell>
          <cell r="R133" t="e">
            <v>#N/A</v>
          </cell>
          <cell r="S133" t="e">
            <v>#N/A</v>
          </cell>
          <cell r="T133" t="e">
            <v>#N/A</v>
          </cell>
          <cell r="U133" t="str">
            <v/>
          </cell>
          <cell r="V133" t="str">
            <v/>
          </cell>
          <cell r="W133" t="e">
            <v>#N/A</v>
          </cell>
        </row>
        <row r="134">
          <cell r="A134" t="str">
            <v xml:space="preserve">  </v>
          </cell>
          <cell r="F134" t="e">
            <v>#N/A</v>
          </cell>
          <cell r="J134" t="e">
            <v>#N/A</v>
          </cell>
          <cell r="L134" t="e">
            <v>#N/A</v>
          </cell>
          <cell r="N134" t="e">
            <v>#N/A</v>
          </cell>
          <cell r="P134" t="e">
            <v>#N/A</v>
          </cell>
          <cell r="Q134" t="e">
            <v>#N/A</v>
          </cell>
          <cell r="R134" t="e">
            <v>#N/A</v>
          </cell>
          <cell r="S134" t="e">
            <v>#N/A</v>
          </cell>
          <cell r="T134" t="e">
            <v>#N/A</v>
          </cell>
          <cell r="U134" t="str">
            <v/>
          </cell>
          <cell r="V134" t="str">
            <v/>
          </cell>
          <cell r="W134" t="e">
            <v>#N/A</v>
          </cell>
        </row>
        <row r="135">
          <cell r="A135" t="str">
            <v xml:space="preserve">  </v>
          </cell>
          <cell r="F135" t="e">
            <v>#N/A</v>
          </cell>
          <cell r="J135" t="e">
            <v>#N/A</v>
          </cell>
          <cell r="L135" t="e">
            <v>#N/A</v>
          </cell>
          <cell r="N135" t="e">
            <v>#N/A</v>
          </cell>
          <cell r="P135" t="e">
            <v>#N/A</v>
          </cell>
          <cell r="Q135" t="e">
            <v>#N/A</v>
          </cell>
          <cell r="R135" t="e">
            <v>#N/A</v>
          </cell>
          <cell r="S135" t="e">
            <v>#N/A</v>
          </cell>
          <cell r="T135" t="e">
            <v>#N/A</v>
          </cell>
          <cell r="U135" t="str">
            <v/>
          </cell>
          <cell r="V135" t="str">
            <v/>
          </cell>
          <cell r="W135" t="e">
            <v>#N/A</v>
          </cell>
        </row>
        <row r="136">
          <cell r="A136" t="str">
            <v xml:space="preserve">  </v>
          </cell>
          <cell r="F136" t="e">
            <v>#N/A</v>
          </cell>
          <cell r="J136" t="e">
            <v>#N/A</v>
          </cell>
          <cell r="L136" t="e">
            <v>#N/A</v>
          </cell>
          <cell r="N136" t="e">
            <v>#N/A</v>
          </cell>
          <cell r="P136" t="e">
            <v>#N/A</v>
          </cell>
          <cell r="Q136" t="e">
            <v>#N/A</v>
          </cell>
          <cell r="R136" t="e">
            <v>#N/A</v>
          </cell>
          <cell r="S136" t="e">
            <v>#N/A</v>
          </cell>
          <cell r="T136" t="e">
            <v>#N/A</v>
          </cell>
          <cell r="U136" t="str">
            <v/>
          </cell>
          <cell r="V136" t="str">
            <v/>
          </cell>
          <cell r="W136" t="e">
            <v>#N/A</v>
          </cell>
        </row>
        <row r="137">
          <cell r="A137" t="str">
            <v xml:space="preserve">  </v>
          </cell>
          <cell r="F137" t="e">
            <v>#N/A</v>
          </cell>
          <cell r="J137" t="e">
            <v>#N/A</v>
          </cell>
          <cell r="L137" t="e">
            <v>#N/A</v>
          </cell>
          <cell r="N137" t="e">
            <v>#N/A</v>
          </cell>
          <cell r="P137" t="e">
            <v>#N/A</v>
          </cell>
          <cell r="Q137" t="e">
            <v>#N/A</v>
          </cell>
          <cell r="R137" t="e">
            <v>#N/A</v>
          </cell>
          <cell r="S137" t="e">
            <v>#N/A</v>
          </cell>
          <cell r="T137" t="e">
            <v>#N/A</v>
          </cell>
          <cell r="U137" t="str">
            <v/>
          </cell>
          <cell r="V137" t="str">
            <v/>
          </cell>
          <cell r="W137" t="e">
            <v>#N/A</v>
          </cell>
        </row>
        <row r="138">
          <cell r="A138" t="str">
            <v xml:space="preserve">  </v>
          </cell>
          <cell r="F138" t="e">
            <v>#N/A</v>
          </cell>
          <cell r="J138" t="e">
            <v>#N/A</v>
          </cell>
          <cell r="L138" t="e">
            <v>#N/A</v>
          </cell>
          <cell r="N138" t="e">
            <v>#N/A</v>
          </cell>
          <cell r="P138" t="e">
            <v>#N/A</v>
          </cell>
          <cell r="Q138" t="e">
            <v>#N/A</v>
          </cell>
          <cell r="R138" t="e">
            <v>#N/A</v>
          </cell>
          <cell r="S138" t="e">
            <v>#N/A</v>
          </cell>
          <cell r="T138" t="e">
            <v>#N/A</v>
          </cell>
          <cell r="U138" t="str">
            <v/>
          </cell>
          <cell r="V138" t="str">
            <v/>
          </cell>
          <cell r="W138" t="e">
            <v>#N/A</v>
          </cell>
        </row>
        <row r="139">
          <cell r="A139" t="str">
            <v xml:space="preserve">  </v>
          </cell>
          <cell r="F139" t="e">
            <v>#N/A</v>
          </cell>
          <cell r="J139" t="e">
            <v>#N/A</v>
          </cell>
          <cell r="L139" t="e">
            <v>#N/A</v>
          </cell>
          <cell r="N139" t="e">
            <v>#N/A</v>
          </cell>
          <cell r="P139" t="e">
            <v>#N/A</v>
          </cell>
          <cell r="Q139" t="e">
            <v>#N/A</v>
          </cell>
          <cell r="R139" t="e">
            <v>#N/A</v>
          </cell>
          <cell r="S139" t="e">
            <v>#N/A</v>
          </cell>
          <cell r="T139" t="e">
            <v>#N/A</v>
          </cell>
          <cell r="U139" t="str">
            <v/>
          </cell>
          <cell r="V139" t="str">
            <v/>
          </cell>
          <cell r="W139" t="e">
            <v>#N/A</v>
          </cell>
        </row>
        <row r="140">
          <cell r="A140" t="str">
            <v xml:space="preserve">  </v>
          </cell>
          <cell r="F140" t="e">
            <v>#N/A</v>
          </cell>
          <cell r="J140" t="e">
            <v>#N/A</v>
          </cell>
          <cell r="L140" t="e">
            <v>#N/A</v>
          </cell>
          <cell r="N140" t="e">
            <v>#N/A</v>
          </cell>
          <cell r="P140" t="e">
            <v>#N/A</v>
          </cell>
          <cell r="Q140" t="e">
            <v>#N/A</v>
          </cell>
          <cell r="R140" t="e">
            <v>#N/A</v>
          </cell>
          <cell r="S140" t="e">
            <v>#N/A</v>
          </cell>
          <cell r="T140" t="e">
            <v>#N/A</v>
          </cell>
          <cell r="U140" t="str">
            <v/>
          </cell>
          <cell r="V140" t="str">
            <v/>
          </cell>
          <cell r="W140" t="e">
            <v>#N/A</v>
          </cell>
        </row>
        <row r="141">
          <cell r="A141" t="str">
            <v xml:space="preserve">  </v>
          </cell>
          <cell r="F141" t="e">
            <v>#N/A</v>
          </cell>
          <cell r="J141" t="e">
            <v>#N/A</v>
          </cell>
          <cell r="L141" t="e">
            <v>#N/A</v>
          </cell>
          <cell r="N141" t="e">
            <v>#N/A</v>
          </cell>
          <cell r="P141" t="e">
            <v>#N/A</v>
          </cell>
          <cell r="Q141" t="e">
            <v>#N/A</v>
          </cell>
          <cell r="R141" t="e">
            <v>#N/A</v>
          </cell>
          <cell r="S141" t="e">
            <v>#N/A</v>
          </cell>
          <cell r="T141" t="e">
            <v>#N/A</v>
          </cell>
          <cell r="U141" t="str">
            <v/>
          </cell>
          <cell r="V141" t="str">
            <v/>
          </cell>
          <cell r="W141" t="e">
            <v>#N/A</v>
          </cell>
        </row>
        <row r="142">
          <cell r="A142" t="str">
            <v xml:space="preserve">  </v>
          </cell>
          <cell r="F142" t="e">
            <v>#N/A</v>
          </cell>
          <cell r="J142" t="e">
            <v>#N/A</v>
          </cell>
          <cell r="L142" t="e">
            <v>#N/A</v>
          </cell>
          <cell r="N142" t="e">
            <v>#N/A</v>
          </cell>
          <cell r="P142" t="e">
            <v>#N/A</v>
          </cell>
          <cell r="Q142" t="e">
            <v>#N/A</v>
          </cell>
          <cell r="R142" t="e">
            <v>#N/A</v>
          </cell>
          <cell r="S142" t="e">
            <v>#N/A</v>
          </cell>
          <cell r="T142" t="e">
            <v>#N/A</v>
          </cell>
          <cell r="U142" t="str">
            <v/>
          </cell>
          <cell r="V142" t="str">
            <v/>
          </cell>
          <cell r="W142" t="e">
            <v>#N/A</v>
          </cell>
        </row>
        <row r="143">
          <cell r="A143" t="str">
            <v xml:space="preserve">  </v>
          </cell>
          <cell r="F143" t="e">
            <v>#N/A</v>
          </cell>
          <cell r="J143" t="e">
            <v>#N/A</v>
          </cell>
          <cell r="L143" t="e">
            <v>#N/A</v>
          </cell>
          <cell r="N143" t="e">
            <v>#N/A</v>
          </cell>
          <cell r="P143" t="e">
            <v>#N/A</v>
          </cell>
          <cell r="Q143" t="e">
            <v>#N/A</v>
          </cell>
          <cell r="R143" t="e">
            <v>#N/A</v>
          </cell>
          <cell r="S143" t="e">
            <v>#N/A</v>
          </cell>
          <cell r="T143" t="e">
            <v>#N/A</v>
          </cell>
          <cell r="U143" t="str">
            <v/>
          </cell>
          <cell r="V143" t="str">
            <v/>
          </cell>
          <cell r="W143" t="e">
            <v>#N/A</v>
          </cell>
        </row>
        <row r="144">
          <cell r="A144" t="str">
            <v xml:space="preserve">  </v>
          </cell>
          <cell r="F144" t="e">
            <v>#N/A</v>
          </cell>
          <cell r="J144" t="e">
            <v>#N/A</v>
          </cell>
          <cell r="L144" t="e">
            <v>#N/A</v>
          </cell>
          <cell r="N144" t="e">
            <v>#N/A</v>
          </cell>
          <cell r="P144" t="e">
            <v>#N/A</v>
          </cell>
          <cell r="Q144" t="e">
            <v>#N/A</v>
          </cell>
          <cell r="R144" t="e">
            <v>#N/A</v>
          </cell>
          <cell r="S144" t="e">
            <v>#N/A</v>
          </cell>
          <cell r="T144" t="e">
            <v>#N/A</v>
          </cell>
          <cell r="U144" t="str">
            <v/>
          </cell>
          <cell r="V144" t="str">
            <v/>
          </cell>
          <cell r="W144" t="e">
            <v>#N/A</v>
          </cell>
        </row>
        <row r="145">
          <cell r="A145" t="str">
            <v xml:space="preserve">  </v>
          </cell>
          <cell r="F145" t="e">
            <v>#N/A</v>
          </cell>
          <cell r="J145" t="e">
            <v>#N/A</v>
          </cell>
          <cell r="L145" t="e">
            <v>#N/A</v>
          </cell>
          <cell r="N145" t="e">
            <v>#N/A</v>
          </cell>
          <cell r="P145" t="e">
            <v>#N/A</v>
          </cell>
          <cell r="Q145" t="e">
            <v>#N/A</v>
          </cell>
          <cell r="R145" t="e">
            <v>#N/A</v>
          </cell>
          <cell r="S145" t="e">
            <v>#N/A</v>
          </cell>
          <cell r="T145" t="e">
            <v>#N/A</v>
          </cell>
          <cell r="U145" t="str">
            <v/>
          </cell>
          <cell r="V145" t="str">
            <v/>
          </cell>
          <cell r="W145" t="e">
            <v>#N/A</v>
          </cell>
        </row>
        <row r="146">
          <cell r="A146" t="str">
            <v xml:space="preserve">  </v>
          </cell>
          <cell r="F146" t="e">
            <v>#N/A</v>
          </cell>
          <cell r="J146" t="e">
            <v>#N/A</v>
          </cell>
          <cell r="L146" t="e">
            <v>#N/A</v>
          </cell>
          <cell r="N146" t="e">
            <v>#N/A</v>
          </cell>
          <cell r="P146" t="e">
            <v>#N/A</v>
          </cell>
          <cell r="Q146" t="e">
            <v>#N/A</v>
          </cell>
          <cell r="R146" t="e">
            <v>#N/A</v>
          </cell>
          <cell r="S146" t="e">
            <v>#N/A</v>
          </cell>
          <cell r="T146" t="e">
            <v>#N/A</v>
          </cell>
          <cell r="U146" t="str">
            <v/>
          </cell>
          <cell r="V146" t="str">
            <v/>
          </cell>
          <cell r="W146" t="e">
            <v>#N/A</v>
          </cell>
        </row>
        <row r="147">
          <cell r="A147" t="str">
            <v xml:space="preserve">  </v>
          </cell>
          <cell r="F147" t="e">
            <v>#N/A</v>
          </cell>
          <cell r="J147" t="e">
            <v>#N/A</v>
          </cell>
          <cell r="L147" t="e">
            <v>#N/A</v>
          </cell>
          <cell r="N147" t="e">
            <v>#N/A</v>
          </cell>
          <cell r="P147" t="e">
            <v>#N/A</v>
          </cell>
          <cell r="Q147" t="e">
            <v>#N/A</v>
          </cell>
          <cell r="R147" t="e">
            <v>#N/A</v>
          </cell>
          <cell r="S147" t="e">
            <v>#N/A</v>
          </cell>
          <cell r="T147" t="e">
            <v>#N/A</v>
          </cell>
          <cell r="U147" t="str">
            <v/>
          </cell>
          <cell r="V147" t="str">
            <v/>
          </cell>
          <cell r="W147" t="e">
            <v>#N/A</v>
          </cell>
        </row>
        <row r="148">
          <cell r="A148" t="str">
            <v xml:space="preserve">  </v>
          </cell>
          <cell r="F148" t="e">
            <v>#N/A</v>
          </cell>
          <cell r="J148" t="e">
            <v>#N/A</v>
          </cell>
          <cell r="L148" t="e">
            <v>#N/A</v>
          </cell>
          <cell r="N148" t="e">
            <v>#N/A</v>
          </cell>
          <cell r="P148" t="e">
            <v>#N/A</v>
          </cell>
          <cell r="Q148" t="e">
            <v>#N/A</v>
          </cell>
          <cell r="R148" t="e">
            <v>#N/A</v>
          </cell>
          <cell r="S148" t="e">
            <v>#N/A</v>
          </cell>
          <cell r="T148" t="e">
            <v>#N/A</v>
          </cell>
          <cell r="U148" t="str">
            <v/>
          </cell>
          <cell r="V148" t="str">
            <v/>
          </cell>
          <cell r="W148" t="e">
            <v>#N/A</v>
          </cell>
        </row>
        <row r="149">
          <cell r="A149" t="str">
            <v xml:space="preserve">  </v>
          </cell>
          <cell r="F149" t="e">
            <v>#N/A</v>
          </cell>
          <cell r="J149" t="e">
            <v>#N/A</v>
          </cell>
          <cell r="L149" t="e">
            <v>#N/A</v>
          </cell>
          <cell r="N149" t="e">
            <v>#N/A</v>
          </cell>
          <cell r="P149" t="e">
            <v>#N/A</v>
          </cell>
          <cell r="Q149" t="e">
            <v>#N/A</v>
          </cell>
          <cell r="R149" t="e">
            <v>#N/A</v>
          </cell>
          <cell r="S149" t="e">
            <v>#N/A</v>
          </cell>
          <cell r="T149" t="e">
            <v>#N/A</v>
          </cell>
          <cell r="U149" t="str">
            <v/>
          </cell>
          <cell r="V149" t="str">
            <v/>
          </cell>
          <cell r="W149" t="e">
            <v>#N/A</v>
          </cell>
        </row>
        <row r="150">
          <cell r="A150" t="str">
            <v xml:space="preserve">  </v>
          </cell>
          <cell r="F150" t="e">
            <v>#N/A</v>
          </cell>
          <cell r="J150" t="e">
            <v>#N/A</v>
          </cell>
          <cell r="L150" t="e">
            <v>#N/A</v>
          </cell>
          <cell r="N150" t="e">
            <v>#N/A</v>
          </cell>
          <cell r="P150" t="e">
            <v>#N/A</v>
          </cell>
          <cell r="Q150" t="e">
            <v>#N/A</v>
          </cell>
          <cell r="R150" t="e">
            <v>#N/A</v>
          </cell>
          <cell r="S150" t="e">
            <v>#N/A</v>
          </cell>
          <cell r="T150" t="e">
            <v>#N/A</v>
          </cell>
          <cell r="U150" t="str">
            <v/>
          </cell>
          <cell r="V150" t="str">
            <v/>
          </cell>
          <cell r="W150" t="e">
            <v>#N/A</v>
          </cell>
        </row>
        <row r="151">
          <cell r="A151" t="str">
            <v xml:space="preserve">  </v>
          </cell>
          <cell r="F151" t="e">
            <v>#N/A</v>
          </cell>
          <cell r="J151" t="e">
            <v>#N/A</v>
          </cell>
          <cell r="L151" t="e">
            <v>#N/A</v>
          </cell>
          <cell r="N151" t="e">
            <v>#N/A</v>
          </cell>
          <cell r="P151" t="e">
            <v>#N/A</v>
          </cell>
          <cell r="Q151" t="e">
            <v>#N/A</v>
          </cell>
          <cell r="R151" t="e">
            <v>#N/A</v>
          </cell>
          <cell r="S151" t="e">
            <v>#N/A</v>
          </cell>
          <cell r="T151" t="e">
            <v>#N/A</v>
          </cell>
          <cell r="U151" t="str">
            <v/>
          </cell>
          <cell r="V151" t="str">
            <v/>
          </cell>
          <cell r="W151" t="e">
            <v>#N/A</v>
          </cell>
        </row>
        <row r="152">
          <cell r="A152" t="str">
            <v xml:space="preserve">  </v>
          </cell>
          <cell r="F152" t="e">
            <v>#N/A</v>
          </cell>
          <cell r="J152" t="e">
            <v>#N/A</v>
          </cell>
          <cell r="L152" t="e">
            <v>#N/A</v>
          </cell>
          <cell r="N152" t="e">
            <v>#N/A</v>
          </cell>
          <cell r="P152" t="e">
            <v>#N/A</v>
          </cell>
          <cell r="Q152" t="e">
            <v>#N/A</v>
          </cell>
          <cell r="R152" t="e">
            <v>#N/A</v>
          </cell>
          <cell r="S152" t="e">
            <v>#N/A</v>
          </cell>
          <cell r="T152" t="e">
            <v>#N/A</v>
          </cell>
          <cell r="U152" t="str">
            <v/>
          </cell>
          <cell r="V152" t="str">
            <v/>
          </cell>
          <cell r="W152" t="e">
            <v>#N/A</v>
          </cell>
        </row>
        <row r="153">
          <cell r="A153" t="str">
            <v xml:space="preserve">  </v>
          </cell>
          <cell r="F153" t="e">
            <v>#N/A</v>
          </cell>
          <cell r="J153" t="e">
            <v>#N/A</v>
          </cell>
          <cell r="L153" t="e">
            <v>#N/A</v>
          </cell>
          <cell r="N153" t="e">
            <v>#N/A</v>
          </cell>
          <cell r="P153" t="e">
            <v>#N/A</v>
          </cell>
          <cell r="Q153" t="e">
            <v>#N/A</v>
          </cell>
          <cell r="R153" t="e">
            <v>#N/A</v>
          </cell>
          <cell r="S153" t="e">
            <v>#N/A</v>
          </cell>
          <cell r="T153" t="e">
            <v>#N/A</v>
          </cell>
          <cell r="U153" t="str">
            <v/>
          </cell>
          <cell r="V153" t="str">
            <v/>
          </cell>
          <cell r="W153" t="e">
            <v>#N/A</v>
          </cell>
        </row>
        <row r="154">
          <cell r="A154" t="str">
            <v xml:space="preserve">  </v>
          </cell>
          <cell r="F154" t="e">
            <v>#N/A</v>
          </cell>
          <cell r="J154" t="e">
            <v>#N/A</v>
          </cell>
          <cell r="L154" t="e">
            <v>#N/A</v>
          </cell>
          <cell r="N154" t="e">
            <v>#N/A</v>
          </cell>
          <cell r="P154" t="e">
            <v>#N/A</v>
          </cell>
          <cell r="Q154" t="e">
            <v>#N/A</v>
          </cell>
          <cell r="R154" t="e">
            <v>#N/A</v>
          </cell>
          <cell r="S154" t="e">
            <v>#N/A</v>
          </cell>
          <cell r="T154" t="e">
            <v>#N/A</v>
          </cell>
          <cell r="U154" t="str">
            <v/>
          </cell>
          <cell r="V154" t="str">
            <v/>
          </cell>
          <cell r="W154" t="e">
            <v>#N/A</v>
          </cell>
        </row>
        <row r="155">
          <cell r="A155" t="str">
            <v xml:space="preserve">  </v>
          </cell>
          <cell r="F155" t="e">
            <v>#N/A</v>
          </cell>
          <cell r="J155" t="e">
            <v>#N/A</v>
          </cell>
          <cell r="L155" t="e">
            <v>#N/A</v>
          </cell>
          <cell r="N155" t="e">
            <v>#N/A</v>
          </cell>
          <cell r="P155" t="e">
            <v>#N/A</v>
          </cell>
          <cell r="Q155" t="e">
            <v>#N/A</v>
          </cell>
          <cell r="R155" t="e">
            <v>#N/A</v>
          </cell>
          <cell r="S155" t="e">
            <v>#N/A</v>
          </cell>
          <cell r="T155" t="e">
            <v>#N/A</v>
          </cell>
          <cell r="U155" t="str">
            <v/>
          </cell>
          <cell r="V155" t="str">
            <v/>
          </cell>
          <cell r="W155" t="e">
            <v>#N/A</v>
          </cell>
        </row>
        <row r="156">
          <cell r="A156" t="str">
            <v xml:space="preserve">  </v>
          </cell>
          <cell r="F156" t="e">
            <v>#N/A</v>
          </cell>
          <cell r="J156" t="e">
            <v>#N/A</v>
          </cell>
          <cell r="L156" t="e">
            <v>#N/A</v>
          </cell>
          <cell r="N156" t="e">
            <v>#N/A</v>
          </cell>
          <cell r="P156" t="e">
            <v>#N/A</v>
          </cell>
          <cell r="Q156" t="e">
            <v>#N/A</v>
          </cell>
          <cell r="R156" t="e">
            <v>#N/A</v>
          </cell>
          <cell r="S156" t="e">
            <v>#N/A</v>
          </cell>
          <cell r="T156" t="e">
            <v>#N/A</v>
          </cell>
          <cell r="U156" t="str">
            <v/>
          </cell>
          <cell r="V156" t="str">
            <v/>
          </cell>
          <cell r="W156" t="e">
            <v>#N/A</v>
          </cell>
        </row>
        <row r="157">
          <cell r="A157" t="str">
            <v xml:space="preserve">  </v>
          </cell>
          <cell r="F157" t="e">
            <v>#N/A</v>
          </cell>
          <cell r="J157" t="e">
            <v>#N/A</v>
          </cell>
          <cell r="L157" t="e">
            <v>#N/A</v>
          </cell>
          <cell r="N157" t="e">
            <v>#N/A</v>
          </cell>
          <cell r="P157" t="e">
            <v>#N/A</v>
          </cell>
          <cell r="Q157" t="e">
            <v>#N/A</v>
          </cell>
          <cell r="R157" t="e">
            <v>#N/A</v>
          </cell>
          <cell r="S157" t="e">
            <v>#N/A</v>
          </cell>
          <cell r="T157" t="e">
            <v>#N/A</v>
          </cell>
          <cell r="U157" t="str">
            <v/>
          </cell>
          <cell r="V157" t="str">
            <v/>
          </cell>
          <cell r="W157" t="e">
            <v>#N/A</v>
          </cell>
        </row>
        <row r="158">
          <cell r="A158" t="str">
            <v xml:space="preserve">  </v>
          </cell>
          <cell r="F158" t="e">
            <v>#N/A</v>
          </cell>
          <cell r="J158" t="e">
            <v>#N/A</v>
          </cell>
          <cell r="L158" t="e">
            <v>#N/A</v>
          </cell>
          <cell r="N158" t="e">
            <v>#N/A</v>
          </cell>
          <cell r="P158" t="e">
            <v>#N/A</v>
          </cell>
          <cell r="Q158" t="e">
            <v>#N/A</v>
          </cell>
          <cell r="R158" t="e">
            <v>#N/A</v>
          </cell>
          <cell r="S158" t="e">
            <v>#N/A</v>
          </cell>
          <cell r="T158" t="e">
            <v>#N/A</v>
          </cell>
          <cell r="U158" t="str">
            <v/>
          </cell>
          <cell r="V158" t="str">
            <v/>
          </cell>
          <cell r="W158" t="e">
            <v>#N/A</v>
          </cell>
        </row>
        <row r="159">
          <cell r="A159" t="str">
            <v xml:space="preserve">  </v>
          </cell>
          <cell r="F159" t="e">
            <v>#N/A</v>
          </cell>
          <cell r="J159" t="e">
            <v>#N/A</v>
          </cell>
          <cell r="L159" t="e">
            <v>#N/A</v>
          </cell>
          <cell r="N159" t="e">
            <v>#N/A</v>
          </cell>
          <cell r="P159" t="e">
            <v>#N/A</v>
          </cell>
          <cell r="Q159" t="e">
            <v>#N/A</v>
          </cell>
          <cell r="R159" t="e">
            <v>#N/A</v>
          </cell>
          <cell r="S159" t="e">
            <v>#N/A</v>
          </cell>
          <cell r="T159" t="e">
            <v>#N/A</v>
          </cell>
          <cell r="U159" t="str">
            <v/>
          </cell>
          <cell r="V159" t="str">
            <v/>
          </cell>
          <cell r="W159" t="e">
            <v>#N/A</v>
          </cell>
        </row>
        <row r="160">
          <cell r="A160" t="str">
            <v xml:space="preserve">  </v>
          </cell>
          <cell r="F160" t="e">
            <v>#N/A</v>
          </cell>
          <cell r="J160" t="e">
            <v>#N/A</v>
          </cell>
          <cell r="L160" t="e">
            <v>#N/A</v>
          </cell>
          <cell r="N160" t="e">
            <v>#N/A</v>
          </cell>
          <cell r="P160" t="e">
            <v>#N/A</v>
          </cell>
          <cell r="Q160" t="e">
            <v>#N/A</v>
          </cell>
          <cell r="R160" t="e">
            <v>#N/A</v>
          </cell>
          <cell r="S160" t="e">
            <v>#N/A</v>
          </cell>
          <cell r="T160" t="e">
            <v>#N/A</v>
          </cell>
          <cell r="U160" t="str">
            <v/>
          </cell>
          <cell r="V160" t="str">
            <v/>
          </cell>
          <cell r="W160" t="e">
            <v>#N/A</v>
          </cell>
        </row>
        <row r="161">
          <cell r="A161" t="str">
            <v xml:space="preserve">  </v>
          </cell>
          <cell r="F161" t="e">
            <v>#N/A</v>
          </cell>
          <cell r="J161" t="e">
            <v>#N/A</v>
          </cell>
          <cell r="L161" t="e">
            <v>#N/A</v>
          </cell>
          <cell r="N161" t="e">
            <v>#N/A</v>
          </cell>
          <cell r="P161" t="e">
            <v>#N/A</v>
          </cell>
          <cell r="Q161" t="e">
            <v>#N/A</v>
          </cell>
          <cell r="R161" t="e">
            <v>#N/A</v>
          </cell>
          <cell r="S161" t="e">
            <v>#N/A</v>
          </cell>
          <cell r="T161" t="e">
            <v>#N/A</v>
          </cell>
          <cell r="U161" t="str">
            <v/>
          </cell>
          <cell r="V161" t="str">
            <v/>
          </cell>
          <cell r="W161" t="e">
            <v>#N/A</v>
          </cell>
        </row>
        <row r="162">
          <cell r="A162" t="str">
            <v xml:space="preserve">  </v>
          </cell>
          <cell r="F162" t="e">
            <v>#N/A</v>
          </cell>
          <cell r="J162" t="e">
            <v>#N/A</v>
          </cell>
          <cell r="L162" t="e">
            <v>#N/A</v>
          </cell>
          <cell r="N162" t="e">
            <v>#N/A</v>
          </cell>
          <cell r="P162" t="e">
            <v>#N/A</v>
          </cell>
          <cell r="Q162" t="e">
            <v>#N/A</v>
          </cell>
          <cell r="R162" t="e">
            <v>#N/A</v>
          </cell>
          <cell r="S162" t="e">
            <v>#N/A</v>
          </cell>
          <cell r="T162" t="e">
            <v>#N/A</v>
          </cell>
          <cell r="U162" t="str">
            <v/>
          </cell>
          <cell r="V162" t="str">
            <v/>
          </cell>
          <cell r="W162" t="e">
            <v>#N/A</v>
          </cell>
        </row>
        <row r="163">
          <cell r="A163" t="str">
            <v xml:space="preserve">  </v>
          </cell>
          <cell r="F163" t="e">
            <v>#N/A</v>
          </cell>
          <cell r="J163" t="e">
            <v>#N/A</v>
          </cell>
          <cell r="L163" t="e">
            <v>#N/A</v>
          </cell>
          <cell r="N163" t="e">
            <v>#N/A</v>
          </cell>
          <cell r="P163" t="e">
            <v>#N/A</v>
          </cell>
          <cell r="Q163" t="e">
            <v>#N/A</v>
          </cell>
          <cell r="R163" t="e">
            <v>#N/A</v>
          </cell>
          <cell r="S163" t="e">
            <v>#N/A</v>
          </cell>
          <cell r="T163" t="e">
            <v>#N/A</v>
          </cell>
          <cell r="U163" t="str">
            <v/>
          </cell>
          <cell r="V163" t="str">
            <v/>
          </cell>
          <cell r="W163" t="e">
            <v>#N/A</v>
          </cell>
        </row>
        <row r="164">
          <cell r="A164" t="str">
            <v xml:space="preserve">  </v>
          </cell>
          <cell r="F164" t="e">
            <v>#N/A</v>
          </cell>
          <cell r="J164" t="e">
            <v>#N/A</v>
          </cell>
          <cell r="L164" t="e">
            <v>#N/A</v>
          </cell>
          <cell r="N164" t="e">
            <v>#N/A</v>
          </cell>
          <cell r="P164" t="e">
            <v>#N/A</v>
          </cell>
          <cell r="Q164" t="e">
            <v>#N/A</v>
          </cell>
          <cell r="R164" t="e">
            <v>#N/A</v>
          </cell>
          <cell r="S164" t="e">
            <v>#N/A</v>
          </cell>
          <cell r="T164" t="e">
            <v>#N/A</v>
          </cell>
          <cell r="U164" t="str">
            <v/>
          </cell>
          <cell r="V164" t="str">
            <v/>
          </cell>
          <cell r="W164" t="e">
            <v>#N/A</v>
          </cell>
        </row>
        <row r="165">
          <cell r="A165" t="str">
            <v xml:space="preserve">  </v>
          </cell>
          <cell r="F165" t="e">
            <v>#N/A</v>
          </cell>
          <cell r="J165" t="e">
            <v>#N/A</v>
          </cell>
          <cell r="L165" t="e">
            <v>#N/A</v>
          </cell>
          <cell r="N165" t="e">
            <v>#N/A</v>
          </cell>
          <cell r="P165" t="e">
            <v>#N/A</v>
          </cell>
          <cell r="Q165" t="e">
            <v>#N/A</v>
          </cell>
          <cell r="R165" t="e">
            <v>#N/A</v>
          </cell>
          <cell r="S165" t="e">
            <v>#N/A</v>
          </cell>
          <cell r="T165" t="e">
            <v>#N/A</v>
          </cell>
          <cell r="U165" t="str">
            <v/>
          </cell>
          <cell r="V165" t="str">
            <v/>
          </cell>
          <cell r="W165" t="e">
            <v>#N/A</v>
          </cell>
        </row>
        <row r="166">
          <cell r="A166" t="str">
            <v xml:space="preserve">  </v>
          </cell>
          <cell r="F166" t="e">
            <v>#N/A</v>
          </cell>
          <cell r="J166" t="e">
            <v>#N/A</v>
          </cell>
          <cell r="L166" t="e">
            <v>#N/A</v>
          </cell>
          <cell r="N166" t="e">
            <v>#N/A</v>
          </cell>
          <cell r="P166" t="e">
            <v>#N/A</v>
          </cell>
          <cell r="Q166" t="e">
            <v>#N/A</v>
          </cell>
          <cell r="R166" t="e">
            <v>#N/A</v>
          </cell>
          <cell r="S166" t="e">
            <v>#N/A</v>
          </cell>
          <cell r="T166" t="e">
            <v>#N/A</v>
          </cell>
          <cell r="U166" t="str">
            <v/>
          </cell>
          <cell r="V166" t="str">
            <v/>
          </cell>
          <cell r="W166" t="e">
            <v>#N/A</v>
          </cell>
        </row>
        <row r="167">
          <cell r="A167" t="str">
            <v xml:space="preserve">  </v>
          </cell>
          <cell r="F167" t="e">
            <v>#N/A</v>
          </cell>
          <cell r="J167" t="e">
            <v>#N/A</v>
          </cell>
          <cell r="L167" t="e">
            <v>#N/A</v>
          </cell>
          <cell r="N167" t="e">
            <v>#N/A</v>
          </cell>
          <cell r="P167" t="e">
            <v>#N/A</v>
          </cell>
          <cell r="Q167" t="e">
            <v>#N/A</v>
          </cell>
          <cell r="R167" t="e">
            <v>#N/A</v>
          </cell>
          <cell r="S167" t="e">
            <v>#N/A</v>
          </cell>
          <cell r="T167" t="e">
            <v>#N/A</v>
          </cell>
          <cell r="U167" t="str">
            <v/>
          </cell>
          <cell r="V167" t="str">
            <v/>
          </cell>
          <cell r="W167" t="e">
            <v>#N/A</v>
          </cell>
        </row>
        <row r="168">
          <cell r="A168" t="str">
            <v xml:space="preserve">  </v>
          </cell>
          <cell r="F168" t="e">
            <v>#N/A</v>
          </cell>
          <cell r="J168" t="e">
            <v>#N/A</v>
          </cell>
          <cell r="L168" t="e">
            <v>#N/A</v>
          </cell>
          <cell r="N168" t="e">
            <v>#N/A</v>
          </cell>
          <cell r="P168" t="e">
            <v>#N/A</v>
          </cell>
          <cell r="Q168" t="e">
            <v>#N/A</v>
          </cell>
          <cell r="R168" t="e">
            <v>#N/A</v>
          </cell>
          <cell r="S168" t="e">
            <v>#N/A</v>
          </cell>
          <cell r="T168" t="e">
            <v>#N/A</v>
          </cell>
          <cell r="U168" t="str">
            <v/>
          </cell>
          <cell r="V168" t="str">
            <v/>
          </cell>
          <cell r="W168" t="e">
            <v>#N/A</v>
          </cell>
        </row>
        <row r="169">
          <cell r="A169" t="str">
            <v xml:space="preserve">  </v>
          </cell>
          <cell r="F169" t="e">
            <v>#N/A</v>
          </cell>
          <cell r="J169" t="e">
            <v>#N/A</v>
          </cell>
          <cell r="L169" t="e">
            <v>#N/A</v>
          </cell>
          <cell r="N169" t="e">
            <v>#N/A</v>
          </cell>
          <cell r="P169" t="e">
            <v>#N/A</v>
          </cell>
          <cell r="Q169" t="e">
            <v>#N/A</v>
          </cell>
          <cell r="R169" t="e">
            <v>#N/A</v>
          </cell>
          <cell r="S169" t="e">
            <v>#N/A</v>
          </cell>
          <cell r="T169" t="e">
            <v>#N/A</v>
          </cell>
          <cell r="U169" t="str">
            <v/>
          </cell>
          <cell r="V169" t="str">
            <v/>
          </cell>
          <cell r="W169" t="e">
            <v>#N/A</v>
          </cell>
        </row>
        <row r="170">
          <cell r="A170" t="str">
            <v xml:space="preserve">  </v>
          </cell>
          <cell r="F170" t="e">
            <v>#N/A</v>
          </cell>
          <cell r="J170" t="e">
            <v>#N/A</v>
          </cell>
          <cell r="L170" t="e">
            <v>#N/A</v>
          </cell>
          <cell r="N170" t="e">
            <v>#N/A</v>
          </cell>
          <cell r="P170" t="e">
            <v>#N/A</v>
          </cell>
          <cell r="Q170" t="e">
            <v>#N/A</v>
          </cell>
          <cell r="R170" t="e">
            <v>#N/A</v>
          </cell>
          <cell r="S170" t="e">
            <v>#N/A</v>
          </cell>
          <cell r="T170" t="e">
            <v>#N/A</v>
          </cell>
          <cell r="U170" t="str">
            <v/>
          </cell>
          <cell r="V170" t="str">
            <v/>
          </cell>
          <cell r="W170" t="e">
            <v>#N/A</v>
          </cell>
        </row>
        <row r="171">
          <cell r="A171" t="str">
            <v xml:space="preserve">  </v>
          </cell>
          <cell r="F171" t="e">
            <v>#N/A</v>
          </cell>
          <cell r="J171" t="e">
            <v>#N/A</v>
          </cell>
          <cell r="L171" t="e">
            <v>#N/A</v>
          </cell>
          <cell r="N171" t="e">
            <v>#N/A</v>
          </cell>
          <cell r="P171" t="e">
            <v>#N/A</v>
          </cell>
          <cell r="Q171" t="e">
            <v>#N/A</v>
          </cell>
          <cell r="R171" t="e">
            <v>#N/A</v>
          </cell>
          <cell r="S171" t="e">
            <v>#N/A</v>
          </cell>
          <cell r="T171" t="e">
            <v>#N/A</v>
          </cell>
          <cell r="U171" t="str">
            <v/>
          </cell>
          <cell r="V171" t="str">
            <v/>
          </cell>
          <cell r="W171" t="e">
            <v>#N/A</v>
          </cell>
        </row>
        <row r="172">
          <cell r="A172" t="str">
            <v xml:space="preserve">  </v>
          </cell>
          <cell r="F172" t="e">
            <v>#N/A</v>
          </cell>
          <cell r="J172" t="e">
            <v>#N/A</v>
          </cell>
          <cell r="L172" t="e">
            <v>#N/A</v>
          </cell>
          <cell r="N172" t="e">
            <v>#N/A</v>
          </cell>
          <cell r="P172" t="e">
            <v>#N/A</v>
          </cell>
          <cell r="Q172" t="e">
            <v>#N/A</v>
          </cell>
          <cell r="R172" t="e">
            <v>#N/A</v>
          </cell>
          <cell r="S172" t="e">
            <v>#N/A</v>
          </cell>
          <cell r="T172" t="e">
            <v>#N/A</v>
          </cell>
          <cell r="U172" t="str">
            <v/>
          </cell>
          <cell r="V172" t="str">
            <v/>
          </cell>
          <cell r="W172" t="e">
            <v>#N/A</v>
          </cell>
        </row>
        <row r="173">
          <cell r="A173" t="str">
            <v xml:space="preserve">  </v>
          </cell>
          <cell r="F173" t="e">
            <v>#N/A</v>
          </cell>
          <cell r="J173" t="e">
            <v>#N/A</v>
          </cell>
          <cell r="L173" t="e">
            <v>#N/A</v>
          </cell>
          <cell r="N173" t="e">
            <v>#N/A</v>
          </cell>
          <cell r="P173" t="e">
            <v>#N/A</v>
          </cell>
          <cell r="Q173" t="e">
            <v>#N/A</v>
          </cell>
          <cell r="R173" t="e">
            <v>#N/A</v>
          </cell>
          <cell r="S173" t="e">
            <v>#N/A</v>
          </cell>
          <cell r="T173" t="e">
            <v>#N/A</v>
          </cell>
          <cell r="U173" t="str">
            <v/>
          </cell>
          <cell r="V173" t="str">
            <v/>
          </cell>
          <cell r="W173" t="e">
            <v>#N/A</v>
          </cell>
        </row>
        <row r="174">
          <cell r="A174" t="str">
            <v xml:space="preserve">  </v>
          </cell>
          <cell r="F174" t="e">
            <v>#N/A</v>
          </cell>
          <cell r="J174" t="e">
            <v>#N/A</v>
          </cell>
          <cell r="L174" t="e">
            <v>#N/A</v>
          </cell>
          <cell r="N174" t="e">
            <v>#N/A</v>
          </cell>
          <cell r="P174" t="e">
            <v>#N/A</v>
          </cell>
          <cell r="Q174" t="e">
            <v>#N/A</v>
          </cell>
          <cell r="R174" t="e">
            <v>#N/A</v>
          </cell>
          <cell r="S174" t="e">
            <v>#N/A</v>
          </cell>
          <cell r="T174" t="e">
            <v>#N/A</v>
          </cell>
          <cell r="U174" t="str">
            <v/>
          </cell>
          <cell r="V174" t="str">
            <v/>
          </cell>
          <cell r="W174" t="e">
            <v>#N/A</v>
          </cell>
        </row>
        <row r="175">
          <cell r="A175" t="str">
            <v xml:space="preserve">  </v>
          </cell>
          <cell r="F175" t="e">
            <v>#N/A</v>
          </cell>
          <cell r="J175" t="e">
            <v>#N/A</v>
          </cell>
          <cell r="L175" t="e">
            <v>#N/A</v>
          </cell>
          <cell r="N175" t="e">
            <v>#N/A</v>
          </cell>
          <cell r="P175" t="e">
            <v>#N/A</v>
          </cell>
          <cell r="Q175" t="e">
            <v>#N/A</v>
          </cell>
          <cell r="R175" t="e">
            <v>#N/A</v>
          </cell>
          <cell r="S175" t="e">
            <v>#N/A</v>
          </cell>
          <cell r="T175" t="e">
            <v>#N/A</v>
          </cell>
          <cell r="U175" t="str">
            <v/>
          </cell>
          <cell r="V175" t="str">
            <v/>
          </cell>
          <cell r="W175" t="e">
            <v>#N/A</v>
          </cell>
        </row>
        <row r="176">
          <cell r="A176" t="str">
            <v xml:space="preserve">  </v>
          </cell>
          <cell r="F176" t="e">
            <v>#N/A</v>
          </cell>
          <cell r="J176" t="e">
            <v>#N/A</v>
          </cell>
          <cell r="L176" t="e">
            <v>#N/A</v>
          </cell>
          <cell r="N176" t="e">
            <v>#N/A</v>
          </cell>
          <cell r="P176" t="e">
            <v>#N/A</v>
          </cell>
          <cell r="Q176" t="e">
            <v>#N/A</v>
          </cell>
          <cell r="R176" t="e">
            <v>#N/A</v>
          </cell>
          <cell r="S176" t="e">
            <v>#N/A</v>
          </cell>
          <cell r="T176" t="e">
            <v>#N/A</v>
          </cell>
          <cell r="U176" t="str">
            <v/>
          </cell>
          <cell r="V176" t="str">
            <v/>
          </cell>
          <cell r="W176" t="e">
            <v>#N/A</v>
          </cell>
        </row>
        <row r="177">
          <cell r="A177" t="str">
            <v xml:space="preserve">  </v>
          </cell>
          <cell r="F177" t="e">
            <v>#N/A</v>
          </cell>
          <cell r="J177" t="e">
            <v>#N/A</v>
          </cell>
          <cell r="L177" t="e">
            <v>#N/A</v>
          </cell>
          <cell r="N177" t="e">
            <v>#N/A</v>
          </cell>
          <cell r="P177" t="e">
            <v>#N/A</v>
          </cell>
          <cell r="Q177" t="e">
            <v>#N/A</v>
          </cell>
          <cell r="R177" t="e">
            <v>#N/A</v>
          </cell>
          <cell r="S177" t="e">
            <v>#N/A</v>
          </cell>
          <cell r="T177" t="e">
            <v>#N/A</v>
          </cell>
          <cell r="U177" t="str">
            <v/>
          </cell>
          <cell r="V177" t="str">
            <v/>
          </cell>
          <cell r="W177" t="e">
            <v>#N/A</v>
          </cell>
        </row>
        <row r="178">
          <cell r="A178" t="str">
            <v xml:space="preserve">  </v>
          </cell>
          <cell r="F178" t="e">
            <v>#N/A</v>
          </cell>
          <cell r="J178" t="e">
            <v>#N/A</v>
          </cell>
          <cell r="L178" t="e">
            <v>#N/A</v>
          </cell>
          <cell r="N178" t="e">
            <v>#N/A</v>
          </cell>
          <cell r="P178" t="e">
            <v>#N/A</v>
          </cell>
          <cell r="Q178" t="e">
            <v>#N/A</v>
          </cell>
          <cell r="R178" t="e">
            <v>#N/A</v>
          </cell>
          <cell r="S178" t="e">
            <v>#N/A</v>
          </cell>
          <cell r="T178" t="e">
            <v>#N/A</v>
          </cell>
          <cell r="U178" t="str">
            <v/>
          </cell>
          <cell r="V178" t="str">
            <v/>
          </cell>
          <cell r="W178" t="e">
            <v>#N/A</v>
          </cell>
        </row>
        <row r="179">
          <cell r="A179" t="str">
            <v xml:space="preserve">  </v>
          </cell>
          <cell r="F179" t="e">
            <v>#N/A</v>
          </cell>
          <cell r="J179" t="e">
            <v>#N/A</v>
          </cell>
          <cell r="L179" t="e">
            <v>#N/A</v>
          </cell>
          <cell r="N179" t="e">
            <v>#N/A</v>
          </cell>
          <cell r="P179" t="e">
            <v>#N/A</v>
          </cell>
          <cell r="Q179" t="e">
            <v>#N/A</v>
          </cell>
          <cell r="R179" t="e">
            <v>#N/A</v>
          </cell>
          <cell r="S179" t="e">
            <v>#N/A</v>
          </cell>
          <cell r="T179" t="e">
            <v>#N/A</v>
          </cell>
          <cell r="U179" t="str">
            <v/>
          </cell>
          <cell r="V179" t="str">
            <v/>
          </cell>
          <cell r="W179" t="e">
            <v>#N/A</v>
          </cell>
        </row>
        <row r="180">
          <cell r="A180" t="str">
            <v xml:space="preserve">  </v>
          </cell>
          <cell r="F180" t="e">
            <v>#N/A</v>
          </cell>
          <cell r="J180" t="e">
            <v>#N/A</v>
          </cell>
          <cell r="L180" t="e">
            <v>#N/A</v>
          </cell>
          <cell r="N180" t="e">
            <v>#N/A</v>
          </cell>
          <cell r="P180" t="e">
            <v>#N/A</v>
          </cell>
          <cell r="Q180" t="e">
            <v>#N/A</v>
          </cell>
          <cell r="R180" t="e">
            <v>#N/A</v>
          </cell>
          <cell r="S180" t="e">
            <v>#N/A</v>
          </cell>
          <cell r="T180" t="e">
            <v>#N/A</v>
          </cell>
          <cell r="U180" t="str">
            <v/>
          </cell>
          <cell r="V180" t="str">
            <v/>
          </cell>
          <cell r="W180" t="e">
            <v>#N/A</v>
          </cell>
        </row>
        <row r="181">
          <cell r="A181" t="str">
            <v xml:space="preserve">  </v>
          </cell>
          <cell r="F181" t="e">
            <v>#N/A</v>
          </cell>
          <cell r="J181" t="e">
            <v>#N/A</v>
          </cell>
          <cell r="L181" t="e">
            <v>#N/A</v>
          </cell>
          <cell r="N181" t="e">
            <v>#N/A</v>
          </cell>
          <cell r="P181" t="e">
            <v>#N/A</v>
          </cell>
          <cell r="Q181" t="e">
            <v>#N/A</v>
          </cell>
          <cell r="R181" t="e">
            <v>#N/A</v>
          </cell>
          <cell r="S181" t="e">
            <v>#N/A</v>
          </cell>
          <cell r="T181" t="e">
            <v>#N/A</v>
          </cell>
          <cell r="U181" t="str">
            <v/>
          </cell>
          <cell r="V181" t="str">
            <v/>
          </cell>
          <cell r="W181" t="e">
            <v>#N/A</v>
          </cell>
        </row>
        <row r="182">
          <cell r="A182" t="str">
            <v xml:space="preserve">  </v>
          </cell>
          <cell r="F182" t="e">
            <v>#N/A</v>
          </cell>
          <cell r="J182" t="e">
            <v>#N/A</v>
          </cell>
          <cell r="L182" t="e">
            <v>#N/A</v>
          </cell>
          <cell r="N182" t="e">
            <v>#N/A</v>
          </cell>
          <cell r="P182" t="e">
            <v>#N/A</v>
          </cell>
          <cell r="Q182" t="e">
            <v>#N/A</v>
          </cell>
          <cell r="R182" t="e">
            <v>#N/A</v>
          </cell>
          <cell r="S182" t="e">
            <v>#N/A</v>
          </cell>
          <cell r="T182" t="e">
            <v>#N/A</v>
          </cell>
          <cell r="U182" t="str">
            <v/>
          </cell>
          <cell r="V182" t="str">
            <v/>
          </cell>
          <cell r="W182" t="e">
            <v>#N/A</v>
          </cell>
        </row>
        <row r="183">
          <cell r="A183" t="str">
            <v xml:space="preserve">  </v>
          </cell>
          <cell r="F183" t="e">
            <v>#N/A</v>
          </cell>
          <cell r="J183" t="e">
            <v>#N/A</v>
          </cell>
          <cell r="L183" t="e">
            <v>#N/A</v>
          </cell>
          <cell r="N183" t="e">
            <v>#N/A</v>
          </cell>
          <cell r="P183" t="e">
            <v>#N/A</v>
          </cell>
          <cell r="Q183" t="e">
            <v>#N/A</v>
          </cell>
          <cell r="R183" t="e">
            <v>#N/A</v>
          </cell>
          <cell r="S183" t="e">
            <v>#N/A</v>
          </cell>
          <cell r="T183" t="e">
            <v>#N/A</v>
          </cell>
          <cell r="U183" t="str">
            <v/>
          </cell>
          <cell r="V183" t="str">
            <v/>
          </cell>
          <cell r="W183" t="e">
            <v>#N/A</v>
          </cell>
        </row>
        <row r="184">
          <cell r="A184" t="str">
            <v xml:space="preserve">  </v>
          </cell>
          <cell r="F184" t="e">
            <v>#N/A</v>
          </cell>
          <cell r="J184" t="e">
            <v>#N/A</v>
          </cell>
          <cell r="L184" t="e">
            <v>#N/A</v>
          </cell>
          <cell r="N184" t="e">
            <v>#N/A</v>
          </cell>
          <cell r="P184" t="e">
            <v>#N/A</v>
          </cell>
          <cell r="Q184" t="e">
            <v>#N/A</v>
          </cell>
          <cell r="R184" t="e">
            <v>#N/A</v>
          </cell>
          <cell r="S184" t="e">
            <v>#N/A</v>
          </cell>
          <cell r="T184" t="e">
            <v>#N/A</v>
          </cell>
          <cell r="U184" t="str">
            <v/>
          </cell>
          <cell r="V184" t="str">
            <v/>
          </cell>
          <cell r="W184" t="e">
            <v>#N/A</v>
          </cell>
        </row>
        <row r="185">
          <cell r="A185" t="str">
            <v xml:space="preserve">  </v>
          </cell>
          <cell r="F185" t="e">
            <v>#N/A</v>
          </cell>
          <cell r="J185" t="e">
            <v>#N/A</v>
          </cell>
          <cell r="L185" t="e">
            <v>#N/A</v>
          </cell>
          <cell r="N185" t="e">
            <v>#N/A</v>
          </cell>
          <cell r="P185" t="e">
            <v>#N/A</v>
          </cell>
          <cell r="Q185" t="e">
            <v>#N/A</v>
          </cell>
          <cell r="R185" t="e">
            <v>#N/A</v>
          </cell>
          <cell r="S185" t="e">
            <v>#N/A</v>
          </cell>
          <cell r="T185" t="e">
            <v>#N/A</v>
          </cell>
          <cell r="U185" t="str">
            <v/>
          </cell>
          <cell r="V185" t="str">
            <v/>
          </cell>
          <cell r="W185" t="e">
            <v>#N/A</v>
          </cell>
        </row>
        <row r="186">
          <cell r="A186" t="str">
            <v xml:space="preserve">  </v>
          </cell>
          <cell r="F186" t="e">
            <v>#N/A</v>
          </cell>
          <cell r="J186" t="e">
            <v>#N/A</v>
          </cell>
          <cell r="L186" t="e">
            <v>#N/A</v>
          </cell>
          <cell r="N186" t="e">
            <v>#N/A</v>
          </cell>
          <cell r="P186" t="e">
            <v>#N/A</v>
          </cell>
          <cell r="Q186" t="e">
            <v>#N/A</v>
          </cell>
          <cell r="R186" t="e">
            <v>#N/A</v>
          </cell>
          <cell r="S186" t="e">
            <v>#N/A</v>
          </cell>
          <cell r="T186" t="e">
            <v>#N/A</v>
          </cell>
          <cell r="U186" t="str">
            <v/>
          </cell>
          <cell r="V186" t="str">
            <v/>
          </cell>
          <cell r="W186" t="e">
            <v>#N/A</v>
          </cell>
        </row>
        <row r="187">
          <cell r="A187" t="str">
            <v xml:space="preserve">  </v>
          </cell>
          <cell r="F187" t="e">
            <v>#N/A</v>
          </cell>
          <cell r="J187" t="e">
            <v>#N/A</v>
          </cell>
          <cell r="L187" t="e">
            <v>#N/A</v>
          </cell>
          <cell r="N187" t="e">
            <v>#N/A</v>
          </cell>
          <cell r="P187" t="e">
            <v>#N/A</v>
          </cell>
          <cell r="Q187" t="e">
            <v>#N/A</v>
          </cell>
          <cell r="R187" t="e">
            <v>#N/A</v>
          </cell>
          <cell r="S187" t="e">
            <v>#N/A</v>
          </cell>
          <cell r="T187" t="e">
            <v>#N/A</v>
          </cell>
          <cell r="U187" t="str">
            <v/>
          </cell>
          <cell r="V187" t="str">
            <v/>
          </cell>
          <cell r="W187" t="e">
            <v>#N/A</v>
          </cell>
        </row>
        <row r="188">
          <cell r="A188" t="str">
            <v xml:space="preserve">  </v>
          </cell>
          <cell r="F188" t="e">
            <v>#N/A</v>
          </cell>
          <cell r="J188" t="e">
            <v>#N/A</v>
          </cell>
          <cell r="L188" t="e">
            <v>#N/A</v>
          </cell>
          <cell r="N188" t="e">
            <v>#N/A</v>
          </cell>
          <cell r="P188" t="e">
            <v>#N/A</v>
          </cell>
          <cell r="Q188" t="e">
            <v>#N/A</v>
          </cell>
          <cell r="R188" t="e">
            <v>#N/A</v>
          </cell>
          <cell r="S188" t="e">
            <v>#N/A</v>
          </cell>
          <cell r="T188" t="e">
            <v>#N/A</v>
          </cell>
          <cell r="U188" t="str">
            <v/>
          </cell>
          <cell r="V188" t="str">
            <v/>
          </cell>
          <cell r="W188" t="e">
            <v>#N/A</v>
          </cell>
        </row>
        <row r="189">
          <cell r="A189" t="str">
            <v xml:space="preserve">  </v>
          </cell>
          <cell r="F189" t="e">
            <v>#N/A</v>
          </cell>
          <cell r="J189" t="e">
            <v>#N/A</v>
          </cell>
          <cell r="L189" t="e">
            <v>#N/A</v>
          </cell>
          <cell r="N189" t="e">
            <v>#N/A</v>
          </cell>
          <cell r="P189" t="e">
            <v>#N/A</v>
          </cell>
          <cell r="Q189" t="e">
            <v>#N/A</v>
          </cell>
          <cell r="R189" t="e">
            <v>#N/A</v>
          </cell>
          <cell r="S189" t="e">
            <v>#N/A</v>
          </cell>
          <cell r="T189" t="e">
            <v>#N/A</v>
          </cell>
          <cell r="U189" t="str">
            <v/>
          </cell>
          <cell r="V189" t="str">
            <v/>
          </cell>
          <cell r="W189" t="e">
            <v>#N/A</v>
          </cell>
        </row>
        <row r="190">
          <cell r="A190" t="str">
            <v xml:space="preserve">  </v>
          </cell>
          <cell r="F190" t="e">
            <v>#N/A</v>
          </cell>
          <cell r="J190" t="e">
            <v>#N/A</v>
          </cell>
          <cell r="L190" t="e">
            <v>#N/A</v>
          </cell>
          <cell r="N190" t="e">
            <v>#N/A</v>
          </cell>
          <cell r="P190" t="e">
            <v>#N/A</v>
          </cell>
          <cell r="Q190" t="e">
            <v>#N/A</v>
          </cell>
          <cell r="R190" t="e">
            <v>#N/A</v>
          </cell>
          <cell r="S190" t="e">
            <v>#N/A</v>
          </cell>
          <cell r="T190" t="e">
            <v>#N/A</v>
          </cell>
          <cell r="U190" t="str">
            <v/>
          </cell>
          <cell r="V190" t="str">
            <v/>
          </cell>
          <cell r="W190" t="e">
            <v>#N/A</v>
          </cell>
        </row>
        <row r="191">
          <cell r="A191" t="str">
            <v xml:space="preserve">  </v>
          </cell>
          <cell r="F191" t="e">
            <v>#N/A</v>
          </cell>
          <cell r="J191" t="e">
            <v>#N/A</v>
          </cell>
          <cell r="L191" t="e">
            <v>#N/A</v>
          </cell>
          <cell r="N191" t="e">
            <v>#N/A</v>
          </cell>
          <cell r="P191" t="e">
            <v>#N/A</v>
          </cell>
          <cell r="Q191" t="e">
            <v>#N/A</v>
          </cell>
          <cell r="R191" t="e">
            <v>#N/A</v>
          </cell>
          <cell r="S191" t="e">
            <v>#N/A</v>
          </cell>
          <cell r="T191" t="e">
            <v>#N/A</v>
          </cell>
          <cell r="U191" t="str">
            <v/>
          </cell>
          <cell r="V191" t="str">
            <v/>
          </cell>
          <cell r="W191" t="e">
            <v>#N/A</v>
          </cell>
        </row>
        <row r="192">
          <cell r="A192" t="str">
            <v xml:space="preserve">  </v>
          </cell>
          <cell r="F192" t="e">
            <v>#N/A</v>
          </cell>
          <cell r="J192" t="e">
            <v>#N/A</v>
          </cell>
          <cell r="L192" t="e">
            <v>#N/A</v>
          </cell>
          <cell r="N192" t="e">
            <v>#N/A</v>
          </cell>
          <cell r="P192" t="e">
            <v>#N/A</v>
          </cell>
          <cell r="Q192" t="e">
            <v>#N/A</v>
          </cell>
          <cell r="R192" t="e">
            <v>#N/A</v>
          </cell>
          <cell r="S192" t="e">
            <v>#N/A</v>
          </cell>
          <cell r="T192" t="e">
            <v>#N/A</v>
          </cell>
          <cell r="U192" t="str">
            <v/>
          </cell>
          <cell r="V192" t="str">
            <v/>
          </cell>
          <cell r="W192" t="e">
            <v>#N/A</v>
          </cell>
        </row>
        <row r="193">
          <cell r="A193" t="str">
            <v xml:space="preserve">  </v>
          </cell>
          <cell r="F193" t="e">
            <v>#N/A</v>
          </cell>
          <cell r="J193" t="e">
            <v>#N/A</v>
          </cell>
          <cell r="L193" t="e">
            <v>#N/A</v>
          </cell>
          <cell r="N193" t="e">
            <v>#N/A</v>
          </cell>
          <cell r="P193" t="e">
            <v>#N/A</v>
          </cell>
          <cell r="Q193" t="e">
            <v>#N/A</v>
          </cell>
          <cell r="R193" t="e">
            <v>#N/A</v>
          </cell>
          <cell r="S193" t="e">
            <v>#N/A</v>
          </cell>
          <cell r="T193" t="e">
            <v>#N/A</v>
          </cell>
          <cell r="U193" t="str">
            <v/>
          </cell>
          <cell r="V193" t="str">
            <v/>
          </cell>
          <cell r="W193" t="e">
            <v>#N/A</v>
          </cell>
        </row>
        <row r="194">
          <cell r="A194" t="str">
            <v xml:space="preserve">  </v>
          </cell>
          <cell r="F194" t="e">
            <v>#N/A</v>
          </cell>
          <cell r="J194" t="e">
            <v>#N/A</v>
          </cell>
          <cell r="L194" t="e">
            <v>#N/A</v>
          </cell>
          <cell r="N194" t="e">
            <v>#N/A</v>
          </cell>
          <cell r="P194" t="e">
            <v>#N/A</v>
          </cell>
          <cell r="Q194" t="e">
            <v>#N/A</v>
          </cell>
          <cell r="R194" t="e">
            <v>#N/A</v>
          </cell>
          <cell r="S194" t="e">
            <v>#N/A</v>
          </cell>
          <cell r="T194" t="e">
            <v>#N/A</v>
          </cell>
          <cell r="U194" t="str">
            <v/>
          </cell>
          <cell r="V194" t="str">
            <v/>
          </cell>
          <cell r="W194" t="e">
            <v>#N/A</v>
          </cell>
        </row>
        <row r="195">
          <cell r="A195" t="str">
            <v xml:space="preserve">  </v>
          </cell>
          <cell r="F195" t="e">
            <v>#N/A</v>
          </cell>
          <cell r="J195" t="e">
            <v>#N/A</v>
          </cell>
          <cell r="L195" t="e">
            <v>#N/A</v>
          </cell>
          <cell r="N195" t="e">
            <v>#N/A</v>
          </cell>
          <cell r="P195" t="e">
            <v>#N/A</v>
          </cell>
          <cell r="Q195" t="e">
            <v>#N/A</v>
          </cell>
          <cell r="R195" t="e">
            <v>#N/A</v>
          </cell>
          <cell r="S195" t="e">
            <v>#N/A</v>
          </cell>
          <cell r="T195" t="e">
            <v>#N/A</v>
          </cell>
          <cell r="U195" t="str">
            <v/>
          </cell>
          <cell r="V195" t="str">
            <v/>
          </cell>
          <cell r="W195" t="e">
            <v>#N/A</v>
          </cell>
        </row>
        <row r="196">
          <cell r="A196" t="str">
            <v xml:space="preserve">  </v>
          </cell>
          <cell r="F196" t="e">
            <v>#N/A</v>
          </cell>
          <cell r="J196" t="e">
            <v>#N/A</v>
          </cell>
          <cell r="L196" t="e">
            <v>#N/A</v>
          </cell>
          <cell r="N196" t="e">
            <v>#N/A</v>
          </cell>
          <cell r="P196" t="e">
            <v>#N/A</v>
          </cell>
          <cell r="Q196" t="e">
            <v>#N/A</v>
          </cell>
          <cell r="R196" t="e">
            <v>#N/A</v>
          </cell>
          <cell r="S196" t="e">
            <v>#N/A</v>
          </cell>
          <cell r="T196" t="e">
            <v>#N/A</v>
          </cell>
          <cell r="U196" t="str">
            <v/>
          </cell>
          <cell r="V196" t="str">
            <v/>
          </cell>
          <cell r="W196" t="e">
            <v>#N/A</v>
          </cell>
        </row>
        <row r="197">
          <cell r="A197" t="str">
            <v xml:space="preserve">  </v>
          </cell>
          <cell r="F197" t="e">
            <v>#N/A</v>
          </cell>
          <cell r="J197" t="e">
            <v>#N/A</v>
          </cell>
          <cell r="L197" t="e">
            <v>#N/A</v>
          </cell>
          <cell r="N197" t="e">
            <v>#N/A</v>
          </cell>
          <cell r="P197" t="e">
            <v>#N/A</v>
          </cell>
          <cell r="Q197" t="e">
            <v>#N/A</v>
          </cell>
          <cell r="R197" t="e">
            <v>#N/A</v>
          </cell>
          <cell r="S197" t="e">
            <v>#N/A</v>
          </cell>
          <cell r="T197" t="e">
            <v>#N/A</v>
          </cell>
          <cell r="U197" t="str">
            <v/>
          </cell>
          <cell r="V197" t="str">
            <v/>
          </cell>
          <cell r="W197" t="e">
            <v>#N/A</v>
          </cell>
        </row>
        <row r="198">
          <cell r="A198" t="str">
            <v xml:space="preserve">  </v>
          </cell>
          <cell r="F198" t="e">
            <v>#N/A</v>
          </cell>
          <cell r="J198" t="e">
            <v>#N/A</v>
          </cell>
          <cell r="L198" t="e">
            <v>#N/A</v>
          </cell>
          <cell r="N198" t="e">
            <v>#N/A</v>
          </cell>
          <cell r="P198" t="e">
            <v>#N/A</v>
          </cell>
          <cell r="Q198" t="e">
            <v>#N/A</v>
          </cell>
          <cell r="R198" t="e">
            <v>#N/A</v>
          </cell>
          <cell r="S198" t="e">
            <v>#N/A</v>
          </cell>
          <cell r="T198" t="e">
            <v>#N/A</v>
          </cell>
          <cell r="U198" t="str">
            <v/>
          </cell>
          <cell r="V198" t="str">
            <v/>
          </cell>
          <cell r="W198" t="e">
            <v>#N/A</v>
          </cell>
        </row>
        <row r="199">
          <cell r="A199" t="str">
            <v xml:space="preserve">  </v>
          </cell>
          <cell r="F199" t="e">
            <v>#N/A</v>
          </cell>
          <cell r="J199" t="e">
            <v>#N/A</v>
          </cell>
          <cell r="L199" t="e">
            <v>#N/A</v>
          </cell>
          <cell r="N199" t="e">
            <v>#N/A</v>
          </cell>
          <cell r="P199" t="e">
            <v>#N/A</v>
          </cell>
          <cell r="Q199" t="e">
            <v>#N/A</v>
          </cell>
          <cell r="R199" t="e">
            <v>#N/A</v>
          </cell>
          <cell r="S199" t="e">
            <v>#N/A</v>
          </cell>
          <cell r="T199" t="e">
            <v>#N/A</v>
          </cell>
          <cell r="U199" t="str">
            <v/>
          </cell>
          <cell r="V199" t="str">
            <v/>
          </cell>
          <cell r="W199" t="e">
            <v>#N/A</v>
          </cell>
        </row>
        <row r="200">
          <cell r="A200" t="str">
            <v xml:space="preserve">  </v>
          </cell>
          <cell r="F200" t="e">
            <v>#N/A</v>
          </cell>
          <cell r="J200" t="e">
            <v>#N/A</v>
          </cell>
          <cell r="L200" t="e">
            <v>#N/A</v>
          </cell>
          <cell r="N200" t="e">
            <v>#N/A</v>
          </cell>
          <cell r="P200" t="e">
            <v>#N/A</v>
          </cell>
          <cell r="Q200" t="e">
            <v>#N/A</v>
          </cell>
          <cell r="R200" t="e">
            <v>#N/A</v>
          </cell>
          <cell r="S200" t="e">
            <v>#N/A</v>
          </cell>
          <cell r="T200" t="e">
            <v>#N/A</v>
          </cell>
          <cell r="U200" t="str">
            <v/>
          </cell>
          <cell r="V200" t="str">
            <v/>
          </cell>
          <cell r="W200" t="e">
            <v>#N/A</v>
          </cell>
        </row>
        <row r="201">
          <cell r="A201" t="str">
            <v xml:space="preserve">  </v>
          </cell>
          <cell r="F201" t="e">
            <v>#N/A</v>
          </cell>
          <cell r="J201" t="e">
            <v>#N/A</v>
          </cell>
          <cell r="L201" t="e">
            <v>#N/A</v>
          </cell>
          <cell r="N201" t="e">
            <v>#N/A</v>
          </cell>
          <cell r="P201" t="e">
            <v>#N/A</v>
          </cell>
          <cell r="Q201" t="e">
            <v>#N/A</v>
          </cell>
          <cell r="R201" t="e">
            <v>#N/A</v>
          </cell>
          <cell r="S201" t="e">
            <v>#N/A</v>
          </cell>
          <cell r="T201" t="e">
            <v>#N/A</v>
          </cell>
          <cell r="U201" t="str">
            <v/>
          </cell>
          <cell r="V201" t="str">
            <v/>
          </cell>
          <cell r="W201" t="e">
            <v>#N/A</v>
          </cell>
        </row>
        <row r="202">
          <cell r="A202" t="str">
            <v xml:space="preserve">  </v>
          </cell>
          <cell r="F202" t="e">
            <v>#N/A</v>
          </cell>
          <cell r="J202" t="e">
            <v>#N/A</v>
          </cell>
          <cell r="L202" t="e">
            <v>#N/A</v>
          </cell>
          <cell r="N202" t="e">
            <v>#N/A</v>
          </cell>
          <cell r="P202" t="e">
            <v>#N/A</v>
          </cell>
          <cell r="Q202" t="e">
            <v>#N/A</v>
          </cell>
          <cell r="R202" t="e">
            <v>#N/A</v>
          </cell>
          <cell r="S202" t="e">
            <v>#N/A</v>
          </cell>
          <cell r="T202" t="e">
            <v>#N/A</v>
          </cell>
          <cell r="U202" t="str">
            <v/>
          </cell>
          <cell r="V202" t="str">
            <v/>
          </cell>
          <cell r="W202" t="e">
            <v>#N/A</v>
          </cell>
        </row>
        <row r="203">
          <cell r="A203" t="str">
            <v xml:space="preserve">  </v>
          </cell>
          <cell r="F203" t="e">
            <v>#N/A</v>
          </cell>
          <cell r="J203" t="e">
            <v>#N/A</v>
          </cell>
          <cell r="L203" t="e">
            <v>#N/A</v>
          </cell>
          <cell r="N203" t="e">
            <v>#N/A</v>
          </cell>
          <cell r="P203" t="e">
            <v>#N/A</v>
          </cell>
          <cell r="Q203" t="e">
            <v>#N/A</v>
          </cell>
          <cell r="R203" t="e">
            <v>#N/A</v>
          </cell>
          <cell r="S203" t="e">
            <v>#N/A</v>
          </cell>
          <cell r="T203" t="e">
            <v>#N/A</v>
          </cell>
          <cell r="U203" t="str">
            <v/>
          </cell>
          <cell r="V203" t="str">
            <v/>
          </cell>
          <cell r="W203" t="e">
            <v>#N/A</v>
          </cell>
        </row>
        <row r="204">
          <cell r="A204" t="str">
            <v xml:space="preserve">  </v>
          </cell>
          <cell r="F204" t="e">
            <v>#N/A</v>
          </cell>
          <cell r="J204" t="e">
            <v>#N/A</v>
          </cell>
          <cell r="L204" t="e">
            <v>#N/A</v>
          </cell>
          <cell r="N204" t="e">
            <v>#N/A</v>
          </cell>
          <cell r="P204" t="e">
            <v>#N/A</v>
          </cell>
          <cell r="Q204" t="e">
            <v>#N/A</v>
          </cell>
          <cell r="R204" t="e">
            <v>#N/A</v>
          </cell>
          <cell r="S204" t="e">
            <v>#N/A</v>
          </cell>
          <cell r="T204" t="e">
            <v>#N/A</v>
          </cell>
          <cell r="U204" t="str">
            <v/>
          </cell>
          <cell r="V204" t="str">
            <v/>
          </cell>
          <cell r="W204" t="e">
            <v>#N/A</v>
          </cell>
        </row>
        <row r="205">
          <cell r="A205" t="str">
            <v xml:space="preserve">  </v>
          </cell>
          <cell r="F205" t="e">
            <v>#N/A</v>
          </cell>
          <cell r="J205" t="e">
            <v>#N/A</v>
          </cell>
          <cell r="L205" t="e">
            <v>#N/A</v>
          </cell>
          <cell r="N205" t="e">
            <v>#N/A</v>
          </cell>
          <cell r="P205" t="e">
            <v>#N/A</v>
          </cell>
          <cell r="Q205" t="e">
            <v>#N/A</v>
          </cell>
          <cell r="R205" t="e">
            <v>#N/A</v>
          </cell>
          <cell r="S205" t="e">
            <v>#N/A</v>
          </cell>
          <cell r="T205" t="e">
            <v>#N/A</v>
          </cell>
          <cell r="U205" t="str">
            <v/>
          </cell>
          <cell r="V205" t="str">
            <v/>
          </cell>
          <cell r="W205" t="e">
            <v>#N/A</v>
          </cell>
        </row>
        <row r="206">
          <cell r="A206" t="str">
            <v xml:space="preserve">  </v>
          </cell>
          <cell r="F206" t="e">
            <v>#N/A</v>
          </cell>
          <cell r="J206" t="e">
            <v>#N/A</v>
          </cell>
          <cell r="L206" t="e">
            <v>#N/A</v>
          </cell>
          <cell r="N206" t="e">
            <v>#N/A</v>
          </cell>
          <cell r="P206" t="e">
            <v>#N/A</v>
          </cell>
          <cell r="Q206" t="e">
            <v>#N/A</v>
          </cell>
          <cell r="R206" t="e">
            <v>#N/A</v>
          </cell>
          <cell r="S206" t="e">
            <v>#N/A</v>
          </cell>
          <cell r="T206" t="e">
            <v>#N/A</v>
          </cell>
          <cell r="U206" t="str">
            <v/>
          </cell>
          <cell r="V206" t="str">
            <v/>
          </cell>
          <cell r="W206" t="e">
            <v>#N/A</v>
          </cell>
        </row>
        <row r="207">
          <cell r="A207" t="str">
            <v xml:space="preserve">  </v>
          </cell>
          <cell r="F207" t="e">
            <v>#N/A</v>
          </cell>
          <cell r="J207" t="e">
            <v>#N/A</v>
          </cell>
          <cell r="L207" t="e">
            <v>#N/A</v>
          </cell>
          <cell r="N207" t="e">
            <v>#N/A</v>
          </cell>
          <cell r="P207" t="e">
            <v>#N/A</v>
          </cell>
          <cell r="Q207" t="e">
            <v>#N/A</v>
          </cell>
          <cell r="R207" t="e">
            <v>#N/A</v>
          </cell>
          <cell r="S207" t="e">
            <v>#N/A</v>
          </cell>
          <cell r="T207" t="e">
            <v>#N/A</v>
          </cell>
          <cell r="U207" t="str">
            <v/>
          </cell>
          <cell r="V207" t="str">
            <v/>
          </cell>
          <cell r="W207" t="e">
            <v>#N/A</v>
          </cell>
        </row>
        <row r="208">
          <cell r="A208" t="str">
            <v xml:space="preserve">  </v>
          </cell>
          <cell r="F208" t="e">
            <v>#N/A</v>
          </cell>
          <cell r="J208" t="e">
            <v>#N/A</v>
          </cell>
          <cell r="L208" t="e">
            <v>#N/A</v>
          </cell>
          <cell r="N208" t="e">
            <v>#N/A</v>
          </cell>
          <cell r="P208" t="e">
            <v>#N/A</v>
          </cell>
          <cell r="Q208" t="e">
            <v>#N/A</v>
          </cell>
          <cell r="R208" t="e">
            <v>#N/A</v>
          </cell>
          <cell r="S208" t="e">
            <v>#N/A</v>
          </cell>
          <cell r="T208" t="e">
            <v>#N/A</v>
          </cell>
          <cell r="U208" t="str">
            <v/>
          </cell>
          <cell r="V208" t="str">
            <v/>
          </cell>
          <cell r="W208" t="e">
            <v>#N/A</v>
          </cell>
        </row>
        <row r="209">
          <cell r="A209" t="str">
            <v xml:space="preserve">  </v>
          </cell>
          <cell r="F209" t="e">
            <v>#N/A</v>
          </cell>
          <cell r="J209" t="e">
            <v>#N/A</v>
          </cell>
          <cell r="L209" t="e">
            <v>#N/A</v>
          </cell>
          <cell r="N209" t="e">
            <v>#N/A</v>
          </cell>
          <cell r="P209" t="e">
            <v>#N/A</v>
          </cell>
          <cell r="Q209" t="e">
            <v>#N/A</v>
          </cell>
          <cell r="R209" t="e">
            <v>#N/A</v>
          </cell>
          <cell r="S209" t="e">
            <v>#N/A</v>
          </cell>
          <cell r="T209" t="e">
            <v>#N/A</v>
          </cell>
          <cell r="U209" t="str">
            <v/>
          </cell>
          <cell r="V209" t="str">
            <v/>
          </cell>
          <cell r="W209" t="e">
            <v>#N/A</v>
          </cell>
        </row>
        <row r="210">
          <cell r="A210" t="str">
            <v xml:space="preserve">  </v>
          </cell>
          <cell r="F210" t="e">
            <v>#N/A</v>
          </cell>
          <cell r="J210" t="e">
            <v>#N/A</v>
          </cell>
          <cell r="L210" t="e">
            <v>#N/A</v>
          </cell>
          <cell r="N210" t="e">
            <v>#N/A</v>
          </cell>
          <cell r="P210" t="e">
            <v>#N/A</v>
          </cell>
          <cell r="Q210" t="e">
            <v>#N/A</v>
          </cell>
          <cell r="R210" t="e">
            <v>#N/A</v>
          </cell>
          <cell r="S210" t="e">
            <v>#N/A</v>
          </cell>
          <cell r="T210" t="e">
            <v>#N/A</v>
          </cell>
          <cell r="U210" t="str">
            <v/>
          </cell>
          <cell r="V210" t="str">
            <v/>
          </cell>
          <cell r="W210" t="e">
            <v>#N/A</v>
          </cell>
        </row>
        <row r="211">
          <cell r="A211" t="str">
            <v xml:space="preserve">  </v>
          </cell>
          <cell r="F211" t="e">
            <v>#N/A</v>
          </cell>
          <cell r="J211" t="e">
            <v>#N/A</v>
          </cell>
          <cell r="L211" t="e">
            <v>#N/A</v>
          </cell>
          <cell r="N211" t="e">
            <v>#N/A</v>
          </cell>
          <cell r="P211" t="e">
            <v>#N/A</v>
          </cell>
          <cell r="Q211" t="e">
            <v>#N/A</v>
          </cell>
          <cell r="R211" t="e">
            <v>#N/A</v>
          </cell>
          <cell r="S211" t="e">
            <v>#N/A</v>
          </cell>
          <cell r="T211" t="e">
            <v>#N/A</v>
          </cell>
          <cell r="U211" t="str">
            <v/>
          </cell>
          <cell r="V211" t="str">
            <v/>
          </cell>
          <cell r="W211" t="e">
            <v>#N/A</v>
          </cell>
        </row>
        <row r="212">
          <cell r="A212" t="str">
            <v xml:space="preserve">  </v>
          </cell>
          <cell r="F212" t="e">
            <v>#N/A</v>
          </cell>
          <cell r="J212" t="e">
            <v>#N/A</v>
          </cell>
          <cell r="L212" t="e">
            <v>#N/A</v>
          </cell>
          <cell r="N212" t="e">
            <v>#N/A</v>
          </cell>
          <cell r="P212" t="e">
            <v>#N/A</v>
          </cell>
          <cell r="Q212" t="e">
            <v>#N/A</v>
          </cell>
          <cell r="R212" t="e">
            <v>#N/A</v>
          </cell>
          <cell r="S212" t="e">
            <v>#N/A</v>
          </cell>
          <cell r="T212" t="e">
            <v>#N/A</v>
          </cell>
          <cell r="U212" t="str">
            <v/>
          </cell>
          <cell r="V212" t="str">
            <v/>
          </cell>
          <cell r="W212" t="e">
            <v>#N/A</v>
          </cell>
        </row>
        <row r="213">
          <cell r="A213" t="str">
            <v xml:space="preserve">  </v>
          </cell>
          <cell r="F213" t="e">
            <v>#N/A</v>
          </cell>
          <cell r="J213" t="e">
            <v>#N/A</v>
          </cell>
          <cell r="L213" t="e">
            <v>#N/A</v>
          </cell>
          <cell r="N213" t="e">
            <v>#N/A</v>
          </cell>
          <cell r="P213" t="e">
            <v>#N/A</v>
          </cell>
          <cell r="Q213" t="e">
            <v>#N/A</v>
          </cell>
          <cell r="R213" t="e">
            <v>#N/A</v>
          </cell>
          <cell r="S213" t="e">
            <v>#N/A</v>
          </cell>
          <cell r="T213" t="e">
            <v>#N/A</v>
          </cell>
          <cell r="U213" t="str">
            <v/>
          </cell>
          <cell r="V213" t="str">
            <v/>
          </cell>
          <cell r="W213" t="e">
            <v>#N/A</v>
          </cell>
        </row>
        <row r="214">
          <cell r="A214" t="str">
            <v xml:space="preserve">  </v>
          </cell>
          <cell r="F214" t="e">
            <v>#N/A</v>
          </cell>
          <cell r="J214" t="e">
            <v>#N/A</v>
          </cell>
          <cell r="L214" t="e">
            <v>#N/A</v>
          </cell>
          <cell r="N214" t="e">
            <v>#N/A</v>
          </cell>
          <cell r="P214" t="e">
            <v>#N/A</v>
          </cell>
          <cell r="Q214" t="e">
            <v>#N/A</v>
          </cell>
          <cell r="R214" t="e">
            <v>#N/A</v>
          </cell>
          <cell r="S214" t="e">
            <v>#N/A</v>
          </cell>
          <cell r="T214" t="e">
            <v>#N/A</v>
          </cell>
          <cell r="U214" t="str">
            <v/>
          </cell>
          <cell r="V214" t="str">
            <v/>
          </cell>
          <cell r="W214" t="e">
            <v>#N/A</v>
          </cell>
        </row>
        <row r="215">
          <cell r="A215" t="str">
            <v xml:space="preserve">  </v>
          </cell>
          <cell r="F215" t="e">
            <v>#N/A</v>
          </cell>
          <cell r="J215" t="e">
            <v>#N/A</v>
          </cell>
          <cell r="L215" t="e">
            <v>#N/A</v>
          </cell>
          <cell r="N215" t="e">
            <v>#N/A</v>
          </cell>
          <cell r="P215" t="e">
            <v>#N/A</v>
          </cell>
          <cell r="Q215" t="e">
            <v>#N/A</v>
          </cell>
          <cell r="R215" t="e">
            <v>#N/A</v>
          </cell>
          <cell r="S215" t="e">
            <v>#N/A</v>
          </cell>
          <cell r="T215" t="e">
            <v>#N/A</v>
          </cell>
          <cell r="U215" t="str">
            <v/>
          </cell>
          <cell r="V215" t="str">
            <v/>
          </cell>
          <cell r="W215" t="e">
            <v>#N/A</v>
          </cell>
        </row>
        <row r="216">
          <cell r="A216" t="str">
            <v xml:space="preserve">  </v>
          </cell>
          <cell r="F216" t="e">
            <v>#N/A</v>
          </cell>
          <cell r="J216" t="e">
            <v>#N/A</v>
          </cell>
          <cell r="L216" t="e">
            <v>#N/A</v>
          </cell>
          <cell r="N216" t="e">
            <v>#N/A</v>
          </cell>
          <cell r="P216" t="e">
            <v>#N/A</v>
          </cell>
          <cell r="Q216" t="e">
            <v>#N/A</v>
          </cell>
          <cell r="R216" t="e">
            <v>#N/A</v>
          </cell>
          <cell r="S216" t="e">
            <v>#N/A</v>
          </cell>
          <cell r="T216" t="e">
            <v>#N/A</v>
          </cell>
          <cell r="U216" t="str">
            <v/>
          </cell>
          <cell r="V216" t="str">
            <v/>
          </cell>
          <cell r="W216" t="e">
            <v>#N/A</v>
          </cell>
        </row>
        <row r="217">
          <cell r="A217" t="str">
            <v xml:space="preserve">  </v>
          </cell>
          <cell r="F217" t="e">
            <v>#N/A</v>
          </cell>
          <cell r="J217" t="e">
            <v>#N/A</v>
          </cell>
          <cell r="L217" t="e">
            <v>#N/A</v>
          </cell>
          <cell r="N217" t="e">
            <v>#N/A</v>
          </cell>
          <cell r="P217" t="e">
            <v>#N/A</v>
          </cell>
          <cell r="Q217" t="e">
            <v>#N/A</v>
          </cell>
          <cell r="R217" t="e">
            <v>#N/A</v>
          </cell>
          <cell r="S217" t="e">
            <v>#N/A</v>
          </cell>
          <cell r="T217" t="e">
            <v>#N/A</v>
          </cell>
          <cell r="U217" t="str">
            <v/>
          </cell>
          <cell r="V217" t="str">
            <v/>
          </cell>
          <cell r="W217" t="e">
            <v>#N/A</v>
          </cell>
        </row>
        <row r="218">
          <cell r="A218" t="str">
            <v xml:space="preserve">  </v>
          </cell>
          <cell r="F218" t="e">
            <v>#N/A</v>
          </cell>
          <cell r="J218" t="e">
            <v>#N/A</v>
          </cell>
          <cell r="L218" t="e">
            <v>#N/A</v>
          </cell>
          <cell r="N218" t="e">
            <v>#N/A</v>
          </cell>
          <cell r="P218" t="e">
            <v>#N/A</v>
          </cell>
          <cell r="Q218" t="e">
            <v>#N/A</v>
          </cell>
          <cell r="R218" t="e">
            <v>#N/A</v>
          </cell>
          <cell r="S218" t="e">
            <v>#N/A</v>
          </cell>
          <cell r="T218" t="e">
            <v>#N/A</v>
          </cell>
          <cell r="U218" t="str">
            <v/>
          </cell>
          <cell r="V218" t="str">
            <v/>
          </cell>
          <cell r="W218" t="e">
            <v>#N/A</v>
          </cell>
        </row>
        <row r="219">
          <cell r="A219" t="str">
            <v xml:space="preserve">  </v>
          </cell>
          <cell r="F219" t="e">
            <v>#N/A</v>
          </cell>
          <cell r="J219" t="e">
            <v>#N/A</v>
          </cell>
          <cell r="L219" t="e">
            <v>#N/A</v>
          </cell>
          <cell r="N219" t="e">
            <v>#N/A</v>
          </cell>
          <cell r="P219" t="e">
            <v>#N/A</v>
          </cell>
          <cell r="Q219" t="e">
            <v>#N/A</v>
          </cell>
          <cell r="R219" t="e">
            <v>#N/A</v>
          </cell>
          <cell r="S219" t="e">
            <v>#N/A</v>
          </cell>
          <cell r="T219" t="e">
            <v>#N/A</v>
          </cell>
          <cell r="U219" t="str">
            <v/>
          </cell>
          <cell r="V219" t="str">
            <v/>
          </cell>
          <cell r="W219" t="e">
            <v>#N/A</v>
          </cell>
        </row>
        <row r="220">
          <cell r="A220" t="str">
            <v xml:space="preserve">  </v>
          </cell>
          <cell r="F220" t="e">
            <v>#N/A</v>
          </cell>
          <cell r="J220" t="e">
            <v>#N/A</v>
          </cell>
          <cell r="L220" t="e">
            <v>#N/A</v>
          </cell>
          <cell r="N220" t="e">
            <v>#N/A</v>
          </cell>
          <cell r="P220" t="e">
            <v>#N/A</v>
          </cell>
          <cell r="Q220" t="e">
            <v>#N/A</v>
          </cell>
          <cell r="R220" t="e">
            <v>#N/A</v>
          </cell>
          <cell r="S220" t="e">
            <v>#N/A</v>
          </cell>
          <cell r="T220" t="e">
            <v>#N/A</v>
          </cell>
          <cell r="U220" t="str">
            <v/>
          </cell>
          <cell r="V220" t="str">
            <v/>
          </cell>
          <cell r="W220" t="e">
            <v>#N/A</v>
          </cell>
        </row>
        <row r="221">
          <cell r="A221" t="str">
            <v xml:space="preserve">  </v>
          </cell>
          <cell r="F221" t="e">
            <v>#N/A</v>
          </cell>
          <cell r="J221" t="e">
            <v>#N/A</v>
          </cell>
          <cell r="L221" t="e">
            <v>#N/A</v>
          </cell>
          <cell r="N221" t="e">
            <v>#N/A</v>
          </cell>
          <cell r="P221" t="e">
            <v>#N/A</v>
          </cell>
          <cell r="Q221" t="e">
            <v>#N/A</v>
          </cell>
          <cell r="R221" t="e">
            <v>#N/A</v>
          </cell>
          <cell r="S221" t="e">
            <v>#N/A</v>
          </cell>
          <cell r="T221" t="e">
            <v>#N/A</v>
          </cell>
          <cell r="U221" t="str">
            <v/>
          </cell>
          <cell r="V221" t="str">
            <v/>
          </cell>
          <cell r="W221" t="e">
            <v>#N/A</v>
          </cell>
        </row>
        <row r="222">
          <cell r="A222" t="str">
            <v xml:space="preserve">  </v>
          </cell>
          <cell r="F222" t="e">
            <v>#N/A</v>
          </cell>
          <cell r="J222" t="e">
            <v>#N/A</v>
          </cell>
          <cell r="L222" t="e">
            <v>#N/A</v>
          </cell>
          <cell r="N222" t="e">
            <v>#N/A</v>
          </cell>
          <cell r="P222" t="e">
            <v>#N/A</v>
          </cell>
          <cell r="Q222" t="e">
            <v>#N/A</v>
          </cell>
          <cell r="R222" t="e">
            <v>#N/A</v>
          </cell>
          <cell r="S222" t="e">
            <v>#N/A</v>
          </cell>
          <cell r="T222" t="e">
            <v>#N/A</v>
          </cell>
          <cell r="U222" t="str">
            <v/>
          </cell>
          <cell r="V222" t="str">
            <v/>
          </cell>
          <cell r="W222" t="e">
            <v>#N/A</v>
          </cell>
        </row>
        <row r="223">
          <cell r="A223" t="str">
            <v xml:space="preserve">  </v>
          </cell>
          <cell r="F223" t="e">
            <v>#N/A</v>
          </cell>
          <cell r="J223" t="e">
            <v>#N/A</v>
          </cell>
          <cell r="L223" t="e">
            <v>#N/A</v>
          </cell>
          <cell r="N223" t="e">
            <v>#N/A</v>
          </cell>
          <cell r="P223" t="e">
            <v>#N/A</v>
          </cell>
          <cell r="Q223" t="e">
            <v>#N/A</v>
          </cell>
          <cell r="R223" t="e">
            <v>#N/A</v>
          </cell>
          <cell r="S223" t="e">
            <v>#N/A</v>
          </cell>
          <cell r="T223" t="e">
            <v>#N/A</v>
          </cell>
          <cell r="U223" t="str">
            <v/>
          </cell>
          <cell r="V223" t="str">
            <v/>
          </cell>
          <cell r="W223" t="e">
            <v>#N/A</v>
          </cell>
        </row>
        <row r="224">
          <cell r="A224" t="str">
            <v xml:space="preserve">  </v>
          </cell>
          <cell r="F224" t="e">
            <v>#N/A</v>
          </cell>
          <cell r="J224" t="e">
            <v>#N/A</v>
          </cell>
          <cell r="L224" t="e">
            <v>#N/A</v>
          </cell>
          <cell r="N224" t="e">
            <v>#N/A</v>
          </cell>
          <cell r="P224" t="e">
            <v>#N/A</v>
          </cell>
          <cell r="Q224" t="e">
            <v>#N/A</v>
          </cell>
          <cell r="R224" t="e">
            <v>#N/A</v>
          </cell>
          <cell r="S224" t="e">
            <v>#N/A</v>
          </cell>
          <cell r="T224" t="e">
            <v>#N/A</v>
          </cell>
          <cell r="U224" t="str">
            <v/>
          </cell>
          <cell r="V224" t="str">
            <v/>
          </cell>
          <cell r="W224" t="e">
            <v>#N/A</v>
          </cell>
        </row>
        <row r="225">
          <cell r="A225" t="str">
            <v xml:space="preserve">  </v>
          </cell>
          <cell r="F225" t="e">
            <v>#N/A</v>
          </cell>
          <cell r="J225" t="e">
            <v>#N/A</v>
          </cell>
          <cell r="L225" t="e">
            <v>#N/A</v>
          </cell>
          <cell r="N225" t="e">
            <v>#N/A</v>
          </cell>
          <cell r="P225" t="e">
            <v>#N/A</v>
          </cell>
          <cell r="Q225" t="e">
            <v>#N/A</v>
          </cell>
          <cell r="R225" t="e">
            <v>#N/A</v>
          </cell>
          <cell r="S225" t="e">
            <v>#N/A</v>
          </cell>
          <cell r="T225" t="e">
            <v>#N/A</v>
          </cell>
          <cell r="U225" t="str">
            <v/>
          </cell>
          <cell r="V225" t="str">
            <v/>
          </cell>
          <cell r="W225" t="e">
            <v>#N/A</v>
          </cell>
        </row>
        <row r="226">
          <cell r="A226" t="str">
            <v xml:space="preserve">  </v>
          </cell>
          <cell r="F226" t="e">
            <v>#N/A</v>
          </cell>
          <cell r="J226" t="e">
            <v>#N/A</v>
          </cell>
          <cell r="L226" t="e">
            <v>#N/A</v>
          </cell>
          <cell r="N226" t="e">
            <v>#N/A</v>
          </cell>
          <cell r="P226" t="e">
            <v>#N/A</v>
          </cell>
          <cell r="Q226" t="e">
            <v>#N/A</v>
          </cell>
          <cell r="R226" t="e">
            <v>#N/A</v>
          </cell>
          <cell r="S226" t="e">
            <v>#N/A</v>
          </cell>
          <cell r="T226" t="e">
            <v>#N/A</v>
          </cell>
          <cell r="U226" t="str">
            <v/>
          </cell>
          <cell r="V226" t="str">
            <v/>
          </cell>
          <cell r="W226" t="e">
            <v>#N/A</v>
          </cell>
        </row>
        <row r="227">
          <cell r="A227" t="str">
            <v xml:space="preserve">  </v>
          </cell>
          <cell r="F227" t="e">
            <v>#N/A</v>
          </cell>
          <cell r="J227" t="e">
            <v>#N/A</v>
          </cell>
          <cell r="L227" t="e">
            <v>#N/A</v>
          </cell>
          <cell r="N227" t="e">
            <v>#N/A</v>
          </cell>
          <cell r="P227" t="e">
            <v>#N/A</v>
          </cell>
          <cell r="Q227" t="e">
            <v>#N/A</v>
          </cell>
          <cell r="R227" t="e">
            <v>#N/A</v>
          </cell>
          <cell r="S227" t="e">
            <v>#N/A</v>
          </cell>
          <cell r="T227" t="e">
            <v>#N/A</v>
          </cell>
          <cell r="U227" t="str">
            <v/>
          </cell>
          <cell r="V227" t="str">
            <v/>
          </cell>
          <cell r="W227" t="e">
            <v>#N/A</v>
          </cell>
        </row>
        <row r="228">
          <cell r="A228" t="str">
            <v xml:space="preserve">  </v>
          </cell>
          <cell r="F228" t="e">
            <v>#N/A</v>
          </cell>
          <cell r="J228" t="e">
            <v>#N/A</v>
          </cell>
          <cell r="L228" t="e">
            <v>#N/A</v>
          </cell>
          <cell r="N228" t="e">
            <v>#N/A</v>
          </cell>
          <cell r="P228" t="e">
            <v>#N/A</v>
          </cell>
          <cell r="Q228" t="e">
            <v>#N/A</v>
          </cell>
          <cell r="R228" t="e">
            <v>#N/A</v>
          </cell>
          <cell r="S228" t="e">
            <v>#N/A</v>
          </cell>
          <cell r="T228" t="e">
            <v>#N/A</v>
          </cell>
          <cell r="U228" t="str">
            <v/>
          </cell>
          <cell r="V228" t="str">
            <v/>
          </cell>
          <cell r="W228" t="e">
            <v>#N/A</v>
          </cell>
        </row>
        <row r="229">
          <cell r="A229" t="str">
            <v xml:space="preserve">  </v>
          </cell>
          <cell r="F229" t="e">
            <v>#N/A</v>
          </cell>
          <cell r="J229" t="e">
            <v>#N/A</v>
          </cell>
          <cell r="L229" t="e">
            <v>#N/A</v>
          </cell>
          <cell r="N229" t="e">
            <v>#N/A</v>
          </cell>
          <cell r="P229" t="e">
            <v>#N/A</v>
          </cell>
          <cell r="Q229" t="e">
            <v>#N/A</v>
          </cell>
          <cell r="R229" t="e">
            <v>#N/A</v>
          </cell>
          <cell r="S229" t="e">
            <v>#N/A</v>
          </cell>
          <cell r="T229" t="e">
            <v>#N/A</v>
          </cell>
          <cell r="U229" t="str">
            <v/>
          </cell>
          <cell r="V229" t="str">
            <v/>
          </cell>
          <cell r="W229" t="e">
            <v>#N/A</v>
          </cell>
        </row>
        <row r="230">
          <cell r="A230" t="str">
            <v xml:space="preserve">  </v>
          </cell>
          <cell r="F230" t="e">
            <v>#N/A</v>
          </cell>
          <cell r="J230" t="e">
            <v>#N/A</v>
          </cell>
          <cell r="L230" t="e">
            <v>#N/A</v>
          </cell>
          <cell r="N230" t="e">
            <v>#N/A</v>
          </cell>
          <cell r="P230" t="e">
            <v>#N/A</v>
          </cell>
          <cell r="Q230" t="e">
            <v>#N/A</v>
          </cell>
          <cell r="R230" t="e">
            <v>#N/A</v>
          </cell>
          <cell r="S230" t="e">
            <v>#N/A</v>
          </cell>
          <cell r="T230" t="e">
            <v>#N/A</v>
          </cell>
          <cell r="U230" t="str">
            <v/>
          </cell>
          <cell r="V230" t="str">
            <v/>
          </cell>
          <cell r="W230" t="e">
            <v>#N/A</v>
          </cell>
        </row>
        <row r="231">
          <cell r="A231" t="str">
            <v xml:space="preserve">  </v>
          </cell>
          <cell r="F231" t="e">
            <v>#N/A</v>
          </cell>
          <cell r="J231" t="e">
            <v>#N/A</v>
          </cell>
          <cell r="L231" t="e">
            <v>#N/A</v>
          </cell>
          <cell r="N231" t="e">
            <v>#N/A</v>
          </cell>
          <cell r="P231" t="e">
            <v>#N/A</v>
          </cell>
          <cell r="Q231" t="e">
            <v>#N/A</v>
          </cell>
          <cell r="R231" t="e">
            <v>#N/A</v>
          </cell>
          <cell r="S231" t="e">
            <v>#N/A</v>
          </cell>
          <cell r="T231" t="e">
            <v>#N/A</v>
          </cell>
          <cell r="U231" t="str">
            <v/>
          </cell>
          <cell r="V231" t="str">
            <v/>
          </cell>
          <cell r="W231" t="e">
            <v>#N/A</v>
          </cell>
        </row>
        <row r="232">
          <cell r="A232" t="str">
            <v xml:space="preserve">  </v>
          </cell>
          <cell r="F232" t="e">
            <v>#N/A</v>
          </cell>
          <cell r="J232" t="e">
            <v>#N/A</v>
          </cell>
          <cell r="L232" t="e">
            <v>#N/A</v>
          </cell>
          <cell r="N232" t="e">
            <v>#N/A</v>
          </cell>
          <cell r="P232" t="e">
            <v>#N/A</v>
          </cell>
          <cell r="Q232" t="e">
            <v>#N/A</v>
          </cell>
          <cell r="R232" t="e">
            <v>#N/A</v>
          </cell>
          <cell r="S232" t="e">
            <v>#N/A</v>
          </cell>
          <cell r="T232" t="e">
            <v>#N/A</v>
          </cell>
          <cell r="U232" t="str">
            <v/>
          </cell>
          <cell r="V232" t="str">
            <v/>
          </cell>
          <cell r="W232" t="e">
            <v>#N/A</v>
          </cell>
        </row>
        <row r="233">
          <cell r="A233" t="str">
            <v xml:space="preserve">  </v>
          </cell>
          <cell r="F233" t="e">
            <v>#N/A</v>
          </cell>
          <cell r="J233" t="e">
            <v>#N/A</v>
          </cell>
          <cell r="L233" t="e">
            <v>#N/A</v>
          </cell>
          <cell r="N233" t="e">
            <v>#N/A</v>
          </cell>
          <cell r="P233" t="e">
            <v>#N/A</v>
          </cell>
          <cell r="Q233" t="e">
            <v>#N/A</v>
          </cell>
          <cell r="R233" t="e">
            <v>#N/A</v>
          </cell>
          <cell r="S233" t="e">
            <v>#N/A</v>
          </cell>
          <cell r="T233" t="e">
            <v>#N/A</v>
          </cell>
          <cell r="U233" t="str">
            <v/>
          </cell>
          <cell r="V233" t="str">
            <v/>
          </cell>
          <cell r="W233" t="e">
            <v>#N/A</v>
          </cell>
        </row>
        <row r="234">
          <cell r="A234" t="str">
            <v xml:space="preserve">  </v>
          </cell>
          <cell r="F234" t="e">
            <v>#N/A</v>
          </cell>
          <cell r="J234" t="e">
            <v>#N/A</v>
          </cell>
          <cell r="L234" t="e">
            <v>#N/A</v>
          </cell>
          <cell r="N234" t="e">
            <v>#N/A</v>
          </cell>
          <cell r="P234" t="e">
            <v>#N/A</v>
          </cell>
          <cell r="Q234" t="e">
            <v>#N/A</v>
          </cell>
          <cell r="R234" t="e">
            <v>#N/A</v>
          </cell>
          <cell r="S234" t="e">
            <v>#N/A</v>
          </cell>
          <cell r="T234" t="e">
            <v>#N/A</v>
          </cell>
          <cell r="U234" t="str">
            <v/>
          </cell>
          <cell r="V234" t="str">
            <v/>
          </cell>
          <cell r="W234" t="e">
            <v>#N/A</v>
          </cell>
        </row>
        <row r="235">
          <cell r="A235" t="str">
            <v xml:space="preserve">  </v>
          </cell>
          <cell r="F235" t="e">
            <v>#N/A</v>
          </cell>
          <cell r="J235" t="e">
            <v>#N/A</v>
          </cell>
          <cell r="L235" t="e">
            <v>#N/A</v>
          </cell>
          <cell r="N235" t="e">
            <v>#N/A</v>
          </cell>
          <cell r="P235" t="e">
            <v>#N/A</v>
          </cell>
          <cell r="Q235" t="e">
            <v>#N/A</v>
          </cell>
          <cell r="R235" t="e">
            <v>#N/A</v>
          </cell>
          <cell r="S235" t="e">
            <v>#N/A</v>
          </cell>
          <cell r="T235" t="e">
            <v>#N/A</v>
          </cell>
          <cell r="U235" t="str">
            <v/>
          </cell>
          <cell r="V235" t="str">
            <v/>
          </cell>
          <cell r="W235" t="e">
            <v>#N/A</v>
          </cell>
        </row>
        <row r="236">
          <cell r="A236" t="str">
            <v xml:space="preserve">  </v>
          </cell>
          <cell r="F236" t="e">
            <v>#N/A</v>
          </cell>
          <cell r="J236" t="e">
            <v>#N/A</v>
          </cell>
          <cell r="L236" t="e">
            <v>#N/A</v>
          </cell>
          <cell r="N236" t="e">
            <v>#N/A</v>
          </cell>
          <cell r="P236" t="e">
            <v>#N/A</v>
          </cell>
          <cell r="Q236" t="e">
            <v>#N/A</v>
          </cell>
          <cell r="R236" t="e">
            <v>#N/A</v>
          </cell>
          <cell r="S236" t="e">
            <v>#N/A</v>
          </cell>
          <cell r="T236" t="e">
            <v>#N/A</v>
          </cell>
          <cell r="U236" t="str">
            <v/>
          </cell>
          <cell r="V236" t="str">
            <v/>
          </cell>
          <cell r="W236" t="e">
            <v>#N/A</v>
          </cell>
        </row>
        <row r="237">
          <cell r="A237" t="str">
            <v xml:space="preserve">  </v>
          </cell>
          <cell r="F237" t="e">
            <v>#N/A</v>
          </cell>
          <cell r="J237" t="e">
            <v>#N/A</v>
          </cell>
          <cell r="L237" t="e">
            <v>#N/A</v>
          </cell>
          <cell r="N237" t="e">
            <v>#N/A</v>
          </cell>
          <cell r="P237" t="e">
            <v>#N/A</v>
          </cell>
          <cell r="Q237" t="e">
            <v>#N/A</v>
          </cell>
          <cell r="R237" t="e">
            <v>#N/A</v>
          </cell>
          <cell r="S237" t="e">
            <v>#N/A</v>
          </cell>
          <cell r="T237" t="e">
            <v>#N/A</v>
          </cell>
          <cell r="U237" t="str">
            <v/>
          </cell>
          <cell r="V237" t="str">
            <v/>
          </cell>
          <cell r="W237" t="e">
            <v>#N/A</v>
          </cell>
        </row>
        <row r="238">
          <cell r="A238" t="str">
            <v xml:space="preserve">  </v>
          </cell>
          <cell r="F238" t="e">
            <v>#N/A</v>
          </cell>
          <cell r="J238" t="e">
            <v>#N/A</v>
          </cell>
          <cell r="L238" t="e">
            <v>#N/A</v>
          </cell>
          <cell r="N238" t="e">
            <v>#N/A</v>
          </cell>
          <cell r="P238" t="e">
            <v>#N/A</v>
          </cell>
          <cell r="Q238" t="e">
            <v>#N/A</v>
          </cell>
          <cell r="R238" t="e">
            <v>#N/A</v>
          </cell>
          <cell r="S238" t="e">
            <v>#N/A</v>
          </cell>
          <cell r="T238" t="e">
            <v>#N/A</v>
          </cell>
          <cell r="U238" t="str">
            <v/>
          </cell>
          <cell r="V238" t="str">
            <v/>
          </cell>
          <cell r="W238" t="e">
            <v>#N/A</v>
          </cell>
        </row>
        <row r="239">
          <cell r="A239" t="str">
            <v xml:space="preserve">  </v>
          </cell>
          <cell r="F239" t="e">
            <v>#N/A</v>
          </cell>
          <cell r="J239" t="e">
            <v>#N/A</v>
          </cell>
          <cell r="L239" t="e">
            <v>#N/A</v>
          </cell>
          <cell r="N239" t="e">
            <v>#N/A</v>
          </cell>
          <cell r="P239" t="e">
            <v>#N/A</v>
          </cell>
          <cell r="Q239" t="e">
            <v>#N/A</v>
          </cell>
          <cell r="R239" t="e">
            <v>#N/A</v>
          </cell>
          <cell r="S239" t="e">
            <v>#N/A</v>
          </cell>
          <cell r="T239" t="e">
            <v>#N/A</v>
          </cell>
          <cell r="U239" t="str">
            <v/>
          </cell>
          <cell r="V239" t="str">
            <v/>
          </cell>
          <cell r="W239" t="e">
            <v>#N/A</v>
          </cell>
        </row>
        <row r="240">
          <cell r="A240" t="str">
            <v xml:space="preserve">  </v>
          </cell>
          <cell r="F240" t="e">
            <v>#N/A</v>
          </cell>
          <cell r="J240" t="e">
            <v>#N/A</v>
          </cell>
          <cell r="L240" t="e">
            <v>#N/A</v>
          </cell>
          <cell r="N240" t="e">
            <v>#N/A</v>
          </cell>
          <cell r="P240" t="e">
            <v>#N/A</v>
          </cell>
          <cell r="Q240" t="e">
            <v>#N/A</v>
          </cell>
          <cell r="R240" t="e">
            <v>#N/A</v>
          </cell>
          <cell r="S240" t="e">
            <v>#N/A</v>
          </cell>
          <cell r="T240" t="e">
            <v>#N/A</v>
          </cell>
          <cell r="U240" t="str">
            <v/>
          </cell>
          <cell r="V240" t="str">
            <v/>
          </cell>
          <cell r="W240" t="e">
            <v>#N/A</v>
          </cell>
        </row>
        <row r="241">
          <cell r="A241" t="str">
            <v xml:space="preserve">  </v>
          </cell>
          <cell r="F241" t="e">
            <v>#N/A</v>
          </cell>
          <cell r="J241" t="e">
            <v>#N/A</v>
          </cell>
          <cell r="L241" t="e">
            <v>#N/A</v>
          </cell>
          <cell r="N241" t="e">
            <v>#N/A</v>
          </cell>
          <cell r="P241" t="e">
            <v>#N/A</v>
          </cell>
          <cell r="Q241" t="e">
            <v>#N/A</v>
          </cell>
          <cell r="R241" t="e">
            <v>#N/A</v>
          </cell>
          <cell r="S241" t="e">
            <v>#N/A</v>
          </cell>
          <cell r="T241" t="e">
            <v>#N/A</v>
          </cell>
          <cell r="U241" t="str">
            <v/>
          </cell>
          <cell r="V241" t="str">
            <v/>
          </cell>
          <cell r="W241" t="e">
            <v>#N/A</v>
          </cell>
        </row>
        <row r="242">
          <cell r="A242" t="str">
            <v xml:space="preserve">  </v>
          </cell>
          <cell r="F242" t="e">
            <v>#N/A</v>
          </cell>
          <cell r="J242" t="e">
            <v>#N/A</v>
          </cell>
          <cell r="L242" t="e">
            <v>#N/A</v>
          </cell>
          <cell r="N242" t="e">
            <v>#N/A</v>
          </cell>
          <cell r="P242" t="e">
            <v>#N/A</v>
          </cell>
          <cell r="Q242" t="e">
            <v>#N/A</v>
          </cell>
          <cell r="R242" t="e">
            <v>#N/A</v>
          </cell>
          <cell r="S242" t="e">
            <v>#N/A</v>
          </cell>
          <cell r="T242" t="e">
            <v>#N/A</v>
          </cell>
          <cell r="U242" t="str">
            <v/>
          </cell>
          <cell r="V242" t="str">
            <v/>
          </cell>
          <cell r="W242" t="e">
            <v>#N/A</v>
          </cell>
        </row>
        <row r="243">
          <cell r="A243" t="str">
            <v xml:space="preserve">  </v>
          </cell>
          <cell r="F243" t="e">
            <v>#N/A</v>
          </cell>
          <cell r="J243" t="e">
            <v>#N/A</v>
          </cell>
          <cell r="L243" t="e">
            <v>#N/A</v>
          </cell>
          <cell r="N243" t="e">
            <v>#N/A</v>
          </cell>
          <cell r="P243" t="e">
            <v>#N/A</v>
          </cell>
          <cell r="Q243" t="e">
            <v>#N/A</v>
          </cell>
          <cell r="R243" t="e">
            <v>#N/A</v>
          </cell>
          <cell r="S243" t="e">
            <v>#N/A</v>
          </cell>
          <cell r="T243" t="e">
            <v>#N/A</v>
          </cell>
          <cell r="U243" t="str">
            <v/>
          </cell>
          <cell r="V243" t="str">
            <v/>
          </cell>
          <cell r="W243" t="e">
            <v>#N/A</v>
          </cell>
        </row>
        <row r="244">
          <cell r="A244" t="str">
            <v xml:space="preserve">  </v>
          </cell>
          <cell r="F244" t="e">
            <v>#N/A</v>
          </cell>
          <cell r="J244" t="e">
            <v>#N/A</v>
          </cell>
          <cell r="L244" t="e">
            <v>#N/A</v>
          </cell>
          <cell r="N244" t="e">
            <v>#N/A</v>
          </cell>
          <cell r="P244" t="e">
            <v>#N/A</v>
          </cell>
          <cell r="Q244" t="e">
            <v>#N/A</v>
          </cell>
          <cell r="R244" t="e">
            <v>#N/A</v>
          </cell>
          <cell r="S244" t="e">
            <v>#N/A</v>
          </cell>
          <cell r="T244" t="e">
            <v>#N/A</v>
          </cell>
          <cell r="U244" t="str">
            <v/>
          </cell>
          <cell r="V244" t="str">
            <v/>
          </cell>
          <cell r="W244" t="e">
            <v>#N/A</v>
          </cell>
        </row>
        <row r="245">
          <cell r="A245" t="str">
            <v xml:space="preserve">  </v>
          </cell>
          <cell r="F245" t="e">
            <v>#N/A</v>
          </cell>
          <cell r="J245" t="e">
            <v>#N/A</v>
          </cell>
          <cell r="L245" t="e">
            <v>#N/A</v>
          </cell>
          <cell r="N245" t="e">
            <v>#N/A</v>
          </cell>
          <cell r="P245" t="e">
            <v>#N/A</v>
          </cell>
          <cell r="Q245" t="e">
            <v>#N/A</v>
          </cell>
          <cell r="R245" t="e">
            <v>#N/A</v>
          </cell>
          <cell r="S245" t="e">
            <v>#N/A</v>
          </cell>
          <cell r="T245" t="e">
            <v>#N/A</v>
          </cell>
          <cell r="U245" t="str">
            <v/>
          </cell>
          <cell r="V245" t="str">
            <v/>
          </cell>
          <cell r="W245" t="e">
            <v>#N/A</v>
          </cell>
        </row>
        <row r="246">
          <cell r="A246" t="str">
            <v xml:space="preserve">  </v>
          </cell>
          <cell r="F246" t="e">
            <v>#N/A</v>
          </cell>
          <cell r="J246" t="e">
            <v>#N/A</v>
          </cell>
          <cell r="L246" t="e">
            <v>#N/A</v>
          </cell>
          <cell r="N246" t="e">
            <v>#N/A</v>
          </cell>
          <cell r="P246" t="e">
            <v>#N/A</v>
          </cell>
          <cell r="Q246" t="e">
            <v>#N/A</v>
          </cell>
          <cell r="R246" t="e">
            <v>#N/A</v>
          </cell>
          <cell r="S246" t="e">
            <v>#N/A</v>
          </cell>
          <cell r="T246" t="e">
            <v>#N/A</v>
          </cell>
          <cell r="U246" t="str">
            <v/>
          </cell>
          <cell r="V246" t="str">
            <v/>
          </cell>
          <cell r="W246" t="e">
            <v>#N/A</v>
          </cell>
        </row>
        <row r="247">
          <cell r="A247" t="str">
            <v xml:space="preserve">  </v>
          </cell>
          <cell r="F247" t="e">
            <v>#N/A</v>
          </cell>
          <cell r="J247" t="e">
            <v>#N/A</v>
          </cell>
          <cell r="L247" t="e">
            <v>#N/A</v>
          </cell>
          <cell r="N247" t="e">
            <v>#N/A</v>
          </cell>
          <cell r="P247" t="e">
            <v>#N/A</v>
          </cell>
          <cell r="Q247" t="e">
            <v>#N/A</v>
          </cell>
          <cell r="R247" t="e">
            <v>#N/A</v>
          </cell>
          <cell r="S247" t="e">
            <v>#N/A</v>
          </cell>
          <cell r="T247" t="e">
            <v>#N/A</v>
          </cell>
          <cell r="U247" t="str">
            <v/>
          </cell>
          <cell r="V247" t="str">
            <v/>
          </cell>
          <cell r="W247" t="e">
            <v>#N/A</v>
          </cell>
        </row>
        <row r="248">
          <cell r="A248" t="str">
            <v xml:space="preserve">  </v>
          </cell>
          <cell r="F248" t="e">
            <v>#N/A</v>
          </cell>
          <cell r="J248" t="e">
            <v>#N/A</v>
          </cell>
          <cell r="L248" t="e">
            <v>#N/A</v>
          </cell>
          <cell r="N248" t="e">
            <v>#N/A</v>
          </cell>
          <cell r="P248" t="e">
            <v>#N/A</v>
          </cell>
          <cell r="Q248" t="e">
            <v>#N/A</v>
          </cell>
          <cell r="R248" t="e">
            <v>#N/A</v>
          </cell>
          <cell r="S248" t="e">
            <v>#N/A</v>
          </cell>
          <cell r="T248" t="e">
            <v>#N/A</v>
          </cell>
          <cell r="U248" t="str">
            <v/>
          </cell>
          <cell r="V248" t="str">
            <v/>
          </cell>
          <cell r="W248" t="e">
            <v>#N/A</v>
          </cell>
        </row>
        <row r="249">
          <cell r="A249" t="str">
            <v xml:space="preserve">  </v>
          </cell>
          <cell r="F249" t="e">
            <v>#N/A</v>
          </cell>
          <cell r="J249" t="e">
            <v>#N/A</v>
          </cell>
          <cell r="L249" t="e">
            <v>#N/A</v>
          </cell>
          <cell r="N249" t="e">
            <v>#N/A</v>
          </cell>
          <cell r="P249" t="e">
            <v>#N/A</v>
          </cell>
          <cell r="Q249" t="e">
            <v>#N/A</v>
          </cell>
          <cell r="R249" t="e">
            <v>#N/A</v>
          </cell>
          <cell r="S249" t="e">
            <v>#N/A</v>
          </cell>
          <cell r="T249" t="e">
            <v>#N/A</v>
          </cell>
          <cell r="U249" t="str">
            <v/>
          </cell>
          <cell r="V249" t="str">
            <v/>
          </cell>
          <cell r="W249" t="e">
            <v>#N/A</v>
          </cell>
        </row>
        <row r="250">
          <cell r="A250" t="str">
            <v xml:space="preserve">  </v>
          </cell>
          <cell r="F250" t="e">
            <v>#N/A</v>
          </cell>
          <cell r="J250" t="e">
            <v>#N/A</v>
          </cell>
          <cell r="L250" t="e">
            <v>#N/A</v>
          </cell>
          <cell r="N250" t="e">
            <v>#N/A</v>
          </cell>
          <cell r="P250" t="e">
            <v>#N/A</v>
          </cell>
          <cell r="Q250" t="e">
            <v>#N/A</v>
          </cell>
          <cell r="R250" t="e">
            <v>#N/A</v>
          </cell>
          <cell r="S250" t="e">
            <v>#N/A</v>
          </cell>
          <cell r="T250" t="e">
            <v>#N/A</v>
          </cell>
          <cell r="U250" t="str">
            <v/>
          </cell>
          <cell r="V250" t="str">
            <v/>
          </cell>
          <cell r="W250" t="e">
            <v>#N/A</v>
          </cell>
        </row>
        <row r="251">
          <cell r="A251" t="str">
            <v xml:space="preserve">  </v>
          </cell>
          <cell r="F251" t="e">
            <v>#N/A</v>
          </cell>
          <cell r="J251" t="e">
            <v>#N/A</v>
          </cell>
          <cell r="L251" t="e">
            <v>#N/A</v>
          </cell>
          <cell r="N251" t="e">
            <v>#N/A</v>
          </cell>
          <cell r="P251" t="e">
            <v>#N/A</v>
          </cell>
          <cell r="Q251" t="e">
            <v>#N/A</v>
          </cell>
          <cell r="R251" t="e">
            <v>#N/A</v>
          </cell>
          <cell r="S251" t="e">
            <v>#N/A</v>
          </cell>
          <cell r="T251" t="e">
            <v>#N/A</v>
          </cell>
          <cell r="U251" t="str">
            <v/>
          </cell>
          <cell r="V251" t="str">
            <v/>
          </cell>
          <cell r="W251" t="e">
            <v>#N/A</v>
          </cell>
        </row>
        <row r="252">
          <cell r="A252" t="str">
            <v xml:space="preserve">  </v>
          </cell>
          <cell r="F252" t="e">
            <v>#N/A</v>
          </cell>
          <cell r="J252" t="e">
            <v>#N/A</v>
          </cell>
          <cell r="L252" t="e">
            <v>#N/A</v>
          </cell>
          <cell r="N252" t="e">
            <v>#N/A</v>
          </cell>
          <cell r="P252" t="e">
            <v>#N/A</v>
          </cell>
          <cell r="Q252" t="e">
            <v>#N/A</v>
          </cell>
          <cell r="R252" t="e">
            <v>#N/A</v>
          </cell>
          <cell r="S252" t="e">
            <v>#N/A</v>
          </cell>
          <cell r="T252" t="e">
            <v>#N/A</v>
          </cell>
          <cell r="U252" t="str">
            <v/>
          </cell>
          <cell r="V252" t="str">
            <v/>
          </cell>
          <cell r="W252" t="e">
            <v>#N/A</v>
          </cell>
        </row>
        <row r="253">
          <cell r="A253" t="str">
            <v xml:space="preserve">  </v>
          </cell>
          <cell r="F253" t="e">
            <v>#N/A</v>
          </cell>
          <cell r="J253" t="e">
            <v>#N/A</v>
          </cell>
          <cell r="L253" t="e">
            <v>#N/A</v>
          </cell>
          <cell r="N253" t="e">
            <v>#N/A</v>
          </cell>
          <cell r="P253" t="e">
            <v>#N/A</v>
          </cell>
          <cell r="Q253" t="e">
            <v>#N/A</v>
          </cell>
          <cell r="R253" t="e">
            <v>#N/A</v>
          </cell>
          <cell r="S253" t="e">
            <v>#N/A</v>
          </cell>
          <cell r="T253" t="e">
            <v>#N/A</v>
          </cell>
          <cell r="U253" t="str">
            <v/>
          </cell>
          <cell r="V253" t="str">
            <v/>
          </cell>
          <cell r="W253" t="e">
            <v>#N/A</v>
          </cell>
        </row>
        <row r="254">
          <cell r="A254" t="str">
            <v xml:space="preserve">  </v>
          </cell>
          <cell r="F254" t="e">
            <v>#N/A</v>
          </cell>
          <cell r="J254" t="e">
            <v>#N/A</v>
          </cell>
          <cell r="L254" t="e">
            <v>#N/A</v>
          </cell>
          <cell r="N254" t="e">
            <v>#N/A</v>
          </cell>
          <cell r="P254" t="e">
            <v>#N/A</v>
          </cell>
          <cell r="Q254" t="e">
            <v>#N/A</v>
          </cell>
          <cell r="R254" t="e">
            <v>#N/A</v>
          </cell>
          <cell r="S254" t="e">
            <v>#N/A</v>
          </cell>
          <cell r="T254" t="e">
            <v>#N/A</v>
          </cell>
          <cell r="U254" t="str">
            <v/>
          </cell>
          <cell r="V254" t="str">
            <v/>
          </cell>
          <cell r="W254" t="e">
            <v>#N/A</v>
          </cell>
        </row>
        <row r="255">
          <cell r="A255" t="str">
            <v xml:space="preserve">  </v>
          </cell>
          <cell r="F255" t="e">
            <v>#N/A</v>
          </cell>
          <cell r="J255" t="e">
            <v>#N/A</v>
          </cell>
          <cell r="L255" t="e">
            <v>#N/A</v>
          </cell>
          <cell r="N255" t="e">
            <v>#N/A</v>
          </cell>
          <cell r="P255" t="e">
            <v>#N/A</v>
          </cell>
          <cell r="Q255" t="e">
            <v>#N/A</v>
          </cell>
          <cell r="R255" t="e">
            <v>#N/A</v>
          </cell>
          <cell r="S255" t="e">
            <v>#N/A</v>
          </cell>
          <cell r="T255" t="e">
            <v>#N/A</v>
          </cell>
          <cell r="U255" t="str">
            <v/>
          </cell>
          <cell r="V255" t="str">
            <v/>
          </cell>
          <cell r="W255" t="e">
            <v>#N/A</v>
          </cell>
        </row>
        <row r="256">
          <cell r="A256" t="str">
            <v xml:space="preserve">  </v>
          </cell>
          <cell r="F256" t="e">
            <v>#N/A</v>
          </cell>
          <cell r="J256" t="e">
            <v>#N/A</v>
          </cell>
          <cell r="L256" t="e">
            <v>#N/A</v>
          </cell>
          <cell r="N256" t="e">
            <v>#N/A</v>
          </cell>
          <cell r="P256" t="e">
            <v>#N/A</v>
          </cell>
          <cell r="Q256" t="e">
            <v>#N/A</v>
          </cell>
          <cell r="R256" t="e">
            <v>#N/A</v>
          </cell>
          <cell r="S256" t="e">
            <v>#N/A</v>
          </cell>
          <cell r="T256" t="e">
            <v>#N/A</v>
          </cell>
          <cell r="U256" t="str">
            <v/>
          </cell>
          <cell r="V256" t="str">
            <v/>
          </cell>
          <cell r="W256" t="e">
            <v>#N/A</v>
          </cell>
        </row>
        <row r="257">
          <cell r="A257" t="str">
            <v xml:space="preserve">  </v>
          </cell>
          <cell r="F257" t="e">
            <v>#N/A</v>
          </cell>
          <cell r="J257" t="e">
            <v>#N/A</v>
          </cell>
          <cell r="L257" t="e">
            <v>#N/A</v>
          </cell>
          <cell r="N257" t="e">
            <v>#N/A</v>
          </cell>
          <cell r="P257" t="e">
            <v>#N/A</v>
          </cell>
          <cell r="Q257" t="e">
            <v>#N/A</v>
          </cell>
          <cell r="R257" t="e">
            <v>#N/A</v>
          </cell>
          <cell r="S257" t="e">
            <v>#N/A</v>
          </cell>
          <cell r="T257" t="e">
            <v>#N/A</v>
          </cell>
          <cell r="U257" t="str">
            <v/>
          </cell>
          <cell r="V257" t="str">
            <v/>
          </cell>
          <cell r="W257" t="e">
            <v>#N/A</v>
          </cell>
        </row>
        <row r="258">
          <cell r="A258" t="str">
            <v xml:space="preserve">  </v>
          </cell>
          <cell r="F258" t="e">
            <v>#N/A</v>
          </cell>
          <cell r="J258" t="e">
            <v>#N/A</v>
          </cell>
          <cell r="L258" t="e">
            <v>#N/A</v>
          </cell>
          <cell r="N258" t="e">
            <v>#N/A</v>
          </cell>
          <cell r="P258" t="e">
            <v>#N/A</v>
          </cell>
          <cell r="Q258" t="e">
            <v>#N/A</v>
          </cell>
          <cell r="R258" t="e">
            <v>#N/A</v>
          </cell>
          <cell r="S258" t="e">
            <v>#N/A</v>
          </cell>
          <cell r="T258" t="e">
            <v>#N/A</v>
          </cell>
          <cell r="U258" t="str">
            <v/>
          </cell>
          <cell r="V258" t="str">
            <v/>
          </cell>
          <cell r="W258" t="e">
            <v>#N/A</v>
          </cell>
        </row>
        <row r="259">
          <cell r="A259" t="str">
            <v xml:space="preserve">  </v>
          </cell>
          <cell r="F259" t="e">
            <v>#N/A</v>
          </cell>
          <cell r="J259" t="e">
            <v>#N/A</v>
          </cell>
          <cell r="L259" t="e">
            <v>#N/A</v>
          </cell>
          <cell r="N259" t="e">
            <v>#N/A</v>
          </cell>
          <cell r="P259" t="e">
            <v>#N/A</v>
          </cell>
          <cell r="Q259" t="e">
            <v>#N/A</v>
          </cell>
          <cell r="R259" t="e">
            <v>#N/A</v>
          </cell>
          <cell r="S259" t="e">
            <v>#N/A</v>
          </cell>
          <cell r="T259" t="e">
            <v>#N/A</v>
          </cell>
          <cell r="U259" t="str">
            <v/>
          </cell>
          <cell r="V259" t="str">
            <v/>
          </cell>
          <cell r="W259" t="e">
            <v>#N/A</v>
          </cell>
        </row>
        <row r="260">
          <cell r="A260" t="str">
            <v xml:space="preserve">  </v>
          </cell>
          <cell r="F260" t="e">
            <v>#N/A</v>
          </cell>
          <cell r="J260" t="e">
            <v>#N/A</v>
          </cell>
          <cell r="L260" t="e">
            <v>#N/A</v>
          </cell>
          <cell r="N260" t="e">
            <v>#N/A</v>
          </cell>
          <cell r="P260" t="e">
            <v>#N/A</v>
          </cell>
          <cell r="Q260" t="e">
            <v>#N/A</v>
          </cell>
          <cell r="R260" t="e">
            <v>#N/A</v>
          </cell>
          <cell r="S260" t="e">
            <v>#N/A</v>
          </cell>
          <cell r="T260" t="e">
            <v>#N/A</v>
          </cell>
          <cell r="U260" t="str">
            <v/>
          </cell>
          <cell r="V260" t="str">
            <v/>
          </cell>
          <cell r="W260" t="e">
            <v>#N/A</v>
          </cell>
        </row>
        <row r="261">
          <cell r="A261" t="str">
            <v xml:space="preserve">  </v>
          </cell>
          <cell r="F261" t="e">
            <v>#N/A</v>
          </cell>
          <cell r="J261" t="e">
            <v>#N/A</v>
          </cell>
          <cell r="L261" t="e">
            <v>#N/A</v>
          </cell>
          <cell r="N261" t="e">
            <v>#N/A</v>
          </cell>
          <cell r="P261" t="e">
            <v>#N/A</v>
          </cell>
          <cell r="Q261" t="e">
            <v>#N/A</v>
          </cell>
          <cell r="R261" t="e">
            <v>#N/A</v>
          </cell>
          <cell r="S261" t="e">
            <v>#N/A</v>
          </cell>
          <cell r="T261" t="e">
            <v>#N/A</v>
          </cell>
          <cell r="U261" t="str">
            <v/>
          </cell>
          <cell r="V261" t="str">
            <v/>
          </cell>
          <cell r="W261" t="e">
            <v>#N/A</v>
          </cell>
        </row>
        <row r="262">
          <cell r="A262" t="str">
            <v xml:space="preserve">  </v>
          </cell>
          <cell r="F262" t="e">
            <v>#N/A</v>
          </cell>
          <cell r="J262" t="e">
            <v>#N/A</v>
          </cell>
          <cell r="L262" t="e">
            <v>#N/A</v>
          </cell>
          <cell r="N262" t="e">
            <v>#N/A</v>
          </cell>
          <cell r="P262" t="e">
            <v>#N/A</v>
          </cell>
          <cell r="Q262" t="e">
            <v>#N/A</v>
          </cell>
          <cell r="R262" t="e">
            <v>#N/A</v>
          </cell>
          <cell r="S262" t="e">
            <v>#N/A</v>
          </cell>
          <cell r="T262" t="e">
            <v>#N/A</v>
          </cell>
          <cell r="U262" t="str">
            <v/>
          </cell>
          <cell r="V262" t="str">
            <v/>
          </cell>
          <cell r="W262" t="e">
            <v>#N/A</v>
          </cell>
        </row>
        <row r="263">
          <cell r="A263" t="str">
            <v xml:space="preserve">  </v>
          </cell>
          <cell r="F263" t="e">
            <v>#N/A</v>
          </cell>
          <cell r="J263" t="e">
            <v>#N/A</v>
          </cell>
          <cell r="L263" t="e">
            <v>#N/A</v>
          </cell>
          <cell r="N263" t="e">
            <v>#N/A</v>
          </cell>
          <cell r="P263" t="e">
            <v>#N/A</v>
          </cell>
          <cell r="Q263" t="e">
            <v>#N/A</v>
          </cell>
          <cell r="R263" t="e">
            <v>#N/A</v>
          </cell>
          <cell r="S263" t="e">
            <v>#N/A</v>
          </cell>
          <cell r="T263" t="e">
            <v>#N/A</v>
          </cell>
          <cell r="U263" t="str">
            <v/>
          </cell>
          <cell r="V263" t="str">
            <v/>
          </cell>
          <cell r="W263" t="e">
            <v>#N/A</v>
          </cell>
        </row>
        <row r="264">
          <cell r="A264" t="str">
            <v xml:space="preserve">  </v>
          </cell>
          <cell r="F264" t="e">
            <v>#N/A</v>
          </cell>
          <cell r="J264" t="e">
            <v>#N/A</v>
          </cell>
          <cell r="L264" t="e">
            <v>#N/A</v>
          </cell>
          <cell r="N264" t="e">
            <v>#N/A</v>
          </cell>
          <cell r="P264" t="e">
            <v>#N/A</v>
          </cell>
          <cell r="Q264" t="e">
            <v>#N/A</v>
          </cell>
          <cell r="R264" t="e">
            <v>#N/A</v>
          </cell>
          <cell r="S264" t="e">
            <v>#N/A</v>
          </cell>
          <cell r="T264" t="e">
            <v>#N/A</v>
          </cell>
          <cell r="U264" t="str">
            <v/>
          </cell>
          <cell r="V264" t="str">
            <v/>
          </cell>
          <cell r="W264" t="e">
            <v>#N/A</v>
          </cell>
        </row>
        <row r="265">
          <cell r="A265" t="str">
            <v xml:space="preserve">  </v>
          </cell>
          <cell r="F265" t="e">
            <v>#N/A</v>
          </cell>
          <cell r="J265" t="e">
            <v>#N/A</v>
          </cell>
          <cell r="L265" t="e">
            <v>#N/A</v>
          </cell>
          <cell r="N265" t="e">
            <v>#N/A</v>
          </cell>
          <cell r="P265" t="e">
            <v>#N/A</v>
          </cell>
          <cell r="Q265" t="e">
            <v>#N/A</v>
          </cell>
          <cell r="R265" t="e">
            <v>#N/A</v>
          </cell>
          <cell r="S265" t="e">
            <v>#N/A</v>
          </cell>
          <cell r="T265" t="e">
            <v>#N/A</v>
          </cell>
          <cell r="U265" t="str">
            <v/>
          </cell>
          <cell r="V265" t="str">
            <v/>
          </cell>
          <cell r="W265" t="e">
            <v>#N/A</v>
          </cell>
        </row>
        <row r="266">
          <cell r="A266" t="str">
            <v xml:space="preserve">  </v>
          </cell>
          <cell r="F266" t="e">
            <v>#N/A</v>
          </cell>
          <cell r="J266" t="e">
            <v>#N/A</v>
          </cell>
          <cell r="L266" t="e">
            <v>#N/A</v>
          </cell>
          <cell r="N266" t="e">
            <v>#N/A</v>
          </cell>
          <cell r="P266" t="e">
            <v>#N/A</v>
          </cell>
          <cell r="Q266" t="e">
            <v>#N/A</v>
          </cell>
          <cell r="R266" t="e">
            <v>#N/A</v>
          </cell>
          <cell r="S266" t="e">
            <v>#N/A</v>
          </cell>
          <cell r="T266" t="e">
            <v>#N/A</v>
          </cell>
          <cell r="U266" t="str">
            <v/>
          </cell>
          <cell r="V266" t="str">
            <v/>
          </cell>
          <cell r="W266" t="e">
            <v>#N/A</v>
          </cell>
        </row>
        <row r="267">
          <cell r="A267" t="str">
            <v xml:space="preserve">  </v>
          </cell>
          <cell r="F267" t="e">
            <v>#N/A</v>
          </cell>
          <cell r="J267" t="e">
            <v>#N/A</v>
          </cell>
          <cell r="L267" t="e">
            <v>#N/A</v>
          </cell>
          <cell r="N267" t="e">
            <v>#N/A</v>
          </cell>
          <cell r="P267" t="e">
            <v>#N/A</v>
          </cell>
          <cell r="Q267" t="e">
            <v>#N/A</v>
          </cell>
          <cell r="R267" t="e">
            <v>#N/A</v>
          </cell>
          <cell r="S267" t="e">
            <v>#N/A</v>
          </cell>
          <cell r="T267" t="e">
            <v>#N/A</v>
          </cell>
          <cell r="U267" t="str">
            <v/>
          </cell>
          <cell r="V267" t="str">
            <v/>
          </cell>
          <cell r="W267" t="e">
            <v>#N/A</v>
          </cell>
        </row>
        <row r="268">
          <cell r="A268" t="str">
            <v xml:space="preserve">  </v>
          </cell>
          <cell r="F268" t="e">
            <v>#N/A</v>
          </cell>
          <cell r="J268" t="e">
            <v>#N/A</v>
          </cell>
          <cell r="L268" t="e">
            <v>#N/A</v>
          </cell>
          <cell r="N268" t="e">
            <v>#N/A</v>
          </cell>
          <cell r="P268" t="e">
            <v>#N/A</v>
          </cell>
          <cell r="Q268" t="e">
            <v>#N/A</v>
          </cell>
          <cell r="R268" t="e">
            <v>#N/A</v>
          </cell>
          <cell r="S268" t="e">
            <v>#N/A</v>
          </cell>
          <cell r="T268" t="e">
            <v>#N/A</v>
          </cell>
          <cell r="U268" t="str">
            <v/>
          </cell>
          <cell r="V268" t="str">
            <v/>
          </cell>
          <cell r="W268" t="e">
            <v>#N/A</v>
          </cell>
        </row>
        <row r="269">
          <cell r="A269" t="str">
            <v xml:space="preserve">  </v>
          </cell>
          <cell r="F269" t="e">
            <v>#N/A</v>
          </cell>
          <cell r="J269" t="e">
            <v>#N/A</v>
          </cell>
          <cell r="L269" t="e">
            <v>#N/A</v>
          </cell>
          <cell r="N269" t="e">
            <v>#N/A</v>
          </cell>
          <cell r="P269" t="e">
            <v>#N/A</v>
          </cell>
          <cell r="Q269" t="e">
            <v>#N/A</v>
          </cell>
          <cell r="R269" t="e">
            <v>#N/A</v>
          </cell>
          <cell r="S269" t="e">
            <v>#N/A</v>
          </cell>
          <cell r="T269" t="e">
            <v>#N/A</v>
          </cell>
          <cell r="U269" t="str">
            <v/>
          </cell>
          <cell r="V269" t="str">
            <v/>
          </cell>
          <cell r="W269" t="e">
            <v>#N/A</v>
          </cell>
        </row>
        <row r="270">
          <cell r="A270" t="str">
            <v xml:space="preserve">  </v>
          </cell>
          <cell r="F270" t="e">
            <v>#N/A</v>
          </cell>
          <cell r="J270" t="e">
            <v>#N/A</v>
          </cell>
          <cell r="L270" t="e">
            <v>#N/A</v>
          </cell>
          <cell r="N270" t="e">
            <v>#N/A</v>
          </cell>
          <cell r="P270" t="e">
            <v>#N/A</v>
          </cell>
          <cell r="Q270" t="e">
            <v>#N/A</v>
          </cell>
          <cell r="R270" t="e">
            <v>#N/A</v>
          </cell>
          <cell r="S270" t="e">
            <v>#N/A</v>
          </cell>
          <cell r="T270" t="e">
            <v>#N/A</v>
          </cell>
          <cell r="U270" t="str">
            <v/>
          </cell>
          <cell r="V270" t="str">
            <v/>
          </cell>
          <cell r="W270" t="e">
            <v>#N/A</v>
          </cell>
        </row>
        <row r="271">
          <cell r="A271" t="str">
            <v xml:space="preserve">  </v>
          </cell>
          <cell r="F271" t="e">
            <v>#N/A</v>
          </cell>
          <cell r="J271" t="e">
            <v>#N/A</v>
          </cell>
          <cell r="L271" t="e">
            <v>#N/A</v>
          </cell>
          <cell r="N271" t="e">
            <v>#N/A</v>
          </cell>
          <cell r="P271" t="e">
            <v>#N/A</v>
          </cell>
          <cell r="Q271" t="e">
            <v>#N/A</v>
          </cell>
          <cell r="R271" t="e">
            <v>#N/A</v>
          </cell>
          <cell r="S271" t="e">
            <v>#N/A</v>
          </cell>
          <cell r="T271" t="e">
            <v>#N/A</v>
          </cell>
          <cell r="U271" t="str">
            <v/>
          </cell>
          <cell r="V271" t="str">
            <v/>
          </cell>
          <cell r="W271" t="e">
            <v>#N/A</v>
          </cell>
        </row>
        <row r="272">
          <cell r="A272" t="str">
            <v xml:space="preserve">  </v>
          </cell>
          <cell r="F272" t="e">
            <v>#N/A</v>
          </cell>
          <cell r="J272" t="e">
            <v>#N/A</v>
          </cell>
          <cell r="L272" t="e">
            <v>#N/A</v>
          </cell>
          <cell r="N272" t="e">
            <v>#N/A</v>
          </cell>
          <cell r="P272" t="e">
            <v>#N/A</v>
          </cell>
          <cell r="Q272" t="e">
            <v>#N/A</v>
          </cell>
          <cell r="R272" t="e">
            <v>#N/A</v>
          </cell>
          <cell r="S272" t="e">
            <v>#N/A</v>
          </cell>
          <cell r="T272" t="e">
            <v>#N/A</v>
          </cell>
          <cell r="U272" t="str">
            <v/>
          </cell>
          <cell r="V272" t="str">
            <v/>
          </cell>
          <cell r="W272" t="e">
            <v>#N/A</v>
          </cell>
        </row>
        <row r="273">
          <cell r="A273" t="str">
            <v xml:space="preserve">  </v>
          </cell>
          <cell r="F273" t="e">
            <v>#N/A</v>
          </cell>
          <cell r="J273" t="e">
            <v>#N/A</v>
          </cell>
          <cell r="L273" t="e">
            <v>#N/A</v>
          </cell>
          <cell r="N273" t="e">
            <v>#N/A</v>
          </cell>
          <cell r="P273" t="e">
            <v>#N/A</v>
          </cell>
          <cell r="Q273" t="e">
            <v>#N/A</v>
          </cell>
          <cell r="R273" t="e">
            <v>#N/A</v>
          </cell>
          <cell r="S273" t="e">
            <v>#N/A</v>
          </cell>
          <cell r="T273" t="e">
            <v>#N/A</v>
          </cell>
          <cell r="U273" t="str">
            <v/>
          </cell>
          <cell r="V273" t="str">
            <v/>
          </cell>
          <cell r="W273" t="e">
            <v>#N/A</v>
          </cell>
        </row>
        <row r="274">
          <cell r="A274" t="str">
            <v xml:space="preserve">  </v>
          </cell>
          <cell r="F274" t="e">
            <v>#N/A</v>
          </cell>
          <cell r="J274" t="e">
            <v>#N/A</v>
          </cell>
          <cell r="L274" t="e">
            <v>#N/A</v>
          </cell>
          <cell r="N274" t="e">
            <v>#N/A</v>
          </cell>
          <cell r="P274" t="e">
            <v>#N/A</v>
          </cell>
          <cell r="Q274" t="e">
            <v>#N/A</v>
          </cell>
          <cell r="R274" t="e">
            <v>#N/A</v>
          </cell>
          <cell r="S274" t="e">
            <v>#N/A</v>
          </cell>
          <cell r="T274" t="e">
            <v>#N/A</v>
          </cell>
          <cell r="U274" t="str">
            <v/>
          </cell>
          <cell r="V274" t="str">
            <v/>
          </cell>
          <cell r="W274" t="e">
            <v>#N/A</v>
          </cell>
        </row>
        <row r="275">
          <cell r="A275" t="str">
            <v xml:space="preserve">  </v>
          </cell>
          <cell r="F275" t="e">
            <v>#N/A</v>
          </cell>
          <cell r="J275" t="e">
            <v>#N/A</v>
          </cell>
          <cell r="L275" t="e">
            <v>#N/A</v>
          </cell>
          <cell r="N275" t="e">
            <v>#N/A</v>
          </cell>
          <cell r="P275" t="e">
            <v>#N/A</v>
          </cell>
          <cell r="Q275" t="e">
            <v>#N/A</v>
          </cell>
          <cell r="R275" t="e">
            <v>#N/A</v>
          </cell>
          <cell r="S275" t="e">
            <v>#N/A</v>
          </cell>
          <cell r="T275" t="e">
            <v>#N/A</v>
          </cell>
          <cell r="U275" t="str">
            <v/>
          </cell>
          <cell r="V275" t="str">
            <v/>
          </cell>
          <cell r="W275" t="e">
            <v>#N/A</v>
          </cell>
        </row>
        <row r="276">
          <cell r="A276" t="str">
            <v xml:space="preserve">  </v>
          </cell>
          <cell r="F276" t="e">
            <v>#N/A</v>
          </cell>
          <cell r="J276" t="e">
            <v>#N/A</v>
          </cell>
          <cell r="L276" t="e">
            <v>#N/A</v>
          </cell>
          <cell r="N276" t="e">
            <v>#N/A</v>
          </cell>
          <cell r="P276" t="e">
            <v>#N/A</v>
          </cell>
          <cell r="Q276" t="e">
            <v>#N/A</v>
          </cell>
          <cell r="R276" t="e">
            <v>#N/A</v>
          </cell>
          <cell r="S276" t="e">
            <v>#N/A</v>
          </cell>
          <cell r="T276" t="e">
            <v>#N/A</v>
          </cell>
          <cell r="U276" t="str">
            <v/>
          </cell>
          <cell r="V276" t="str">
            <v/>
          </cell>
          <cell r="W276" t="e">
            <v>#N/A</v>
          </cell>
        </row>
        <row r="277">
          <cell r="A277" t="str">
            <v xml:space="preserve">  </v>
          </cell>
          <cell r="F277" t="e">
            <v>#N/A</v>
          </cell>
          <cell r="J277" t="e">
            <v>#N/A</v>
          </cell>
          <cell r="L277" t="e">
            <v>#N/A</v>
          </cell>
          <cell r="N277" t="e">
            <v>#N/A</v>
          </cell>
          <cell r="P277" t="e">
            <v>#N/A</v>
          </cell>
          <cell r="Q277" t="e">
            <v>#N/A</v>
          </cell>
          <cell r="R277" t="e">
            <v>#N/A</v>
          </cell>
          <cell r="S277" t="e">
            <v>#N/A</v>
          </cell>
          <cell r="T277" t="e">
            <v>#N/A</v>
          </cell>
          <cell r="U277" t="str">
            <v/>
          </cell>
          <cell r="V277" t="str">
            <v/>
          </cell>
          <cell r="W277" t="e">
            <v>#N/A</v>
          </cell>
        </row>
        <row r="278">
          <cell r="A278" t="str">
            <v xml:space="preserve">  </v>
          </cell>
          <cell r="F278" t="e">
            <v>#N/A</v>
          </cell>
          <cell r="J278" t="e">
            <v>#N/A</v>
          </cell>
          <cell r="L278" t="e">
            <v>#N/A</v>
          </cell>
          <cell r="N278" t="e">
            <v>#N/A</v>
          </cell>
          <cell r="P278" t="e">
            <v>#N/A</v>
          </cell>
          <cell r="Q278" t="e">
            <v>#N/A</v>
          </cell>
          <cell r="R278" t="e">
            <v>#N/A</v>
          </cell>
          <cell r="S278" t="e">
            <v>#N/A</v>
          </cell>
          <cell r="T278" t="e">
            <v>#N/A</v>
          </cell>
          <cell r="U278" t="str">
            <v/>
          </cell>
          <cell r="V278" t="str">
            <v/>
          </cell>
          <cell r="W278" t="e">
            <v>#N/A</v>
          </cell>
        </row>
        <row r="279">
          <cell r="A279" t="str">
            <v xml:space="preserve">  </v>
          </cell>
          <cell r="F279" t="e">
            <v>#N/A</v>
          </cell>
          <cell r="J279" t="e">
            <v>#N/A</v>
          </cell>
          <cell r="L279" t="e">
            <v>#N/A</v>
          </cell>
          <cell r="N279" t="e">
            <v>#N/A</v>
          </cell>
          <cell r="P279" t="e">
            <v>#N/A</v>
          </cell>
          <cell r="Q279" t="e">
            <v>#N/A</v>
          </cell>
          <cell r="R279" t="e">
            <v>#N/A</v>
          </cell>
          <cell r="S279" t="e">
            <v>#N/A</v>
          </cell>
          <cell r="T279" t="e">
            <v>#N/A</v>
          </cell>
          <cell r="U279" t="str">
            <v/>
          </cell>
          <cell r="V279" t="str">
            <v/>
          </cell>
          <cell r="W279" t="e">
            <v>#N/A</v>
          </cell>
        </row>
        <row r="280">
          <cell r="A280" t="str">
            <v xml:space="preserve">  </v>
          </cell>
          <cell r="F280" t="e">
            <v>#N/A</v>
          </cell>
          <cell r="J280" t="e">
            <v>#N/A</v>
          </cell>
          <cell r="L280" t="e">
            <v>#N/A</v>
          </cell>
          <cell r="N280" t="e">
            <v>#N/A</v>
          </cell>
          <cell r="P280" t="e">
            <v>#N/A</v>
          </cell>
          <cell r="Q280" t="e">
            <v>#N/A</v>
          </cell>
          <cell r="R280" t="e">
            <v>#N/A</v>
          </cell>
          <cell r="S280" t="e">
            <v>#N/A</v>
          </cell>
          <cell r="T280" t="e">
            <v>#N/A</v>
          </cell>
          <cell r="U280" t="str">
            <v/>
          </cell>
          <cell r="V280" t="str">
            <v/>
          </cell>
          <cell r="W280" t="e">
            <v>#N/A</v>
          </cell>
        </row>
        <row r="281">
          <cell r="A281" t="str">
            <v xml:space="preserve">  </v>
          </cell>
          <cell r="F281" t="e">
            <v>#N/A</v>
          </cell>
          <cell r="J281" t="e">
            <v>#N/A</v>
          </cell>
          <cell r="L281" t="e">
            <v>#N/A</v>
          </cell>
          <cell r="N281" t="e">
            <v>#N/A</v>
          </cell>
          <cell r="P281" t="e">
            <v>#N/A</v>
          </cell>
          <cell r="Q281" t="e">
            <v>#N/A</v>
          </cell>
          <cell r="R281" t="e">
            <v>#N/A</v>
          </cell>
          <cell r="S281" t="e">
            <v>#N/A</v>
          </cell>
          <cell r="T281" t="e">
            <v>#N/A</v>
          </cell>
          <cell r="U281" t="str">
            <v/>
          </cell>
          <cell r="V281" t="str">
            <v/>
          </cell>
          <cell r="W281" t="e">
            <v>#N/A</v>
          </cell>
        </row>
        <row r="282">
          <cell r="A282" t="str">
            <v xml:space="preserve">  </v>
          </cell>
          <cell r="F282" t="e">
            <v>#N/A</v>
          </cell>
          <cell r="J282" t="e">
            <v>#N/A</v>
          </cell>
          <cell r="L282" t="e">
            <v>#N/A</v>
          </cell>
          <cell r="N282" t="e">
            <v>#N/A</v>
          </cell>
          <cell r="P282" t="e">
            <v>#N/A</v>
          </cell>
          <cell r="Q282" t="e">
            <v>#N/A</v>
          </cell>
          <cell r="R282" t="e">
            <v>#N/A</v>
          </cell>
          <cell r="S282" t="e">
            <v>#N/A</v>
          </cell>
          <cell r="T282" t="e">
            <v>#N/A</v>
          </cell>
          <cell r="U282" t="str">
            <v/>
          </cell>
          <cell r="V282" t="str">
            <v/>
          </cell>
          <cell r="W282" t="e">
            <v>#N/A</v>
          </cell>
        </row>
        <row r="283">
          <cell r="A283" t="str">
            <v xml:space="preserve">  </v>
          </cell>
          <cell r="F283" t="e">
            <v>#N/A</v>
          </cell>
          <cell r="J283" t="e">
            <v>#N/A</v>
          </cell>
          <cell r="L283" t="e">
            <v>#N/A</v>
          </cell>
          <cell r="N283" t="e">
            <v>#N/A</v>
          </cell>
          <cell r="P283" t="e">
            <v>#N/A</v>
          </cell>
          <cell r="Q283" t="e">
            <v>#N/A</v>
          </cell>
          <cell r="R283" t="e">
            <v>#N/A</v>
          </cell>
          <cell r="S283" t="e">
            <v>#N/A</v>
          </cell>
          <cell r="T283" t="e">
            <v>#N/A</v>
          </cell>
          <cell r="U283" t="str">
            <v/>
          </cell>
          <cell r="V283" t="str">
            <v/>
          </cell>
          <cell r="W283" t="e">
            <v>#N/A</v>
          </cell>
        </row>
        <row r="284">
          <cell r="A284" t="str">
            <v xml:space="preserve">  </v>
          </cell>
          <cell r="F284" t="e">
            <v>#N/A</v>
          </cell>
          <cell r="J284" t="e">
            <v>#N/A</v>
          </cell>
          <cell r="L284" t="e">
            <v>#N/A</v>
          </cell>
          <cell r="N284" t="e">
            <v>#N/A</v>
          </cell>
          <cell r="P284" t="e">
            <v>#N/A</v>
          </cell>
          <cell r="Q284" t="e">
            <v>#N/A</v>
          </cell>
          <cell r="R284" t="e">
            <v>#N/A</v>
          </cell>
          <cell r="S284" t="e">
            <v>#N/A</v>
          </cell>
          <cell r="T284" t="e">
            <v>#N/A</v>
          </cell>
          <cell r="U284" t="str">
            <v/>
          </cell>
          <cell r="V284" t="str">
            <v/>
          </cell>
          <cell r="W284" t="e">
            <v>#N/A</v>
          </cell>
        </row>
        <row r="285">
          <cell r="A285" t="str">
            <v xml:space="preserve">  </v>
          </cell>
          <cell r="F285" t="e">
            <v>#N/A</v>
          </cell>
          <cell r="J285" t="e">
            <v>#N/A</v>
          </cell>
          <cell r="L285" t="e">
            <v>#N/A</v>
          </cell>
          <cell r="N285" t="e">
            <v>#N/A</v>
          </cell>
          <cell r="P285" t="e">
            <v>#N/A</v>
          </cell>
          <cell r="Q285" t="e">
            <v>#N/A</v>
          </cell>
          <cell r="R285" t="e">
            <v>#N/A</v>
          </cell>
          <cell r="S285" t="e">
            <v>#N/A</v>
          </cell>
          <cell r="T285" t="e">
            <v>#N/A</v>
          </cell>
          <cell r="U285" t="str">
            <v/>
          </cell>
          <cell r="V285" t="str">
            <v/>
          </cell>
          <cell r="W285" t="e">
            <v>#N/A</v>
          </cell>
        </row>
        <row r="286">
          <cell r="A286" t="str">
            <v xml:space="preserve">  </v>
          </cell>
          <cell r="F286" t="e">
            <v>#N/A</v>
          </cell>
          <cell r="J286" t="e">
            <v>#N/A</v>
          </cell>
          <cell r="L286" t="e">
            <v>#N/A</v>
          </cell>
          <cell r="N286" t="e">
            <v>#N/A</v>
          </cell>
          <cell r="P286" t="e">
            <v>#N/A</v>
          </cell>
          <cell r="Q286" t="e">
            <v>#N/A</v>
          </cell>
          <cell r="R286" t="e">
            <v>#N/A</v>
          </cell>
          <cell r="S286" t="e">
            <v>#N/A</v>
          </cell>
          <cell r="T286" t="e">
            <v>#N/A</v>
          </cell>
          <cell r="U286" t="str">
            <v/>
          </cell>
          <cell r="V286" t="str">
            <v/>
          </cell>
          <cell r="W286" t="e">
            <v>#N/A</v>
          </cell>
        </row>
        <row r="287">
          <cell r="A287" t="str">
            <v xml:space="preserve">  </v>
          </cell>
          <cell r="F287" t="e">
            <v>#N/A</v>
          </cell>
          <cell r="J287" t="e">
            <v>#N/A</v>
          </cell>
          <cell r="L287" t="e">
            <v>#N/A</v>
          </cell>
          <cell r="N287" t="e">
            <v>#N/A</v>
          </cell>
          <cell r="P287" t="e">
            <v>#N/A</v>
          </cell>
          <cell r="Q287" t="e">
            <v>#N/A</v>
          </cell>
          <cell r="R287" t="e">
            <v>#N/A</v>
          </cell>
          <cell r="S287" t="e">
            <v>#N/A</v>
          </cell>
          <cell r="T287" t="e">
            <v>#N/A</v>
          </cell>
          <cell r="U287" t="str">
            <v/>
          </cell>
          <cell r="V287" t="str">
            <v/>
          </cell>
          <cell r="W287" t="e">
            <v>#N/A</v>
          </cell>
        </row>
        <row r="288">
          <cell r="A288" t="str">
            <v xml:space="preserve">  </v>
          </cell>
          <cell r="F288" t="e">
            <v>#N/A</v>
          </cell>
          <cell r="J288" t="e">
            <v>#N/A</v>
          </cell>
          <cell r="L288" t="e">
            <v>#N/A</v>
          </cell>
          <cell r="N288" t="e">
            <v>#N/A</v>
          </cell>
          <cell r="P288" t="e">
            <v>#N/A</v>
          </cell>
          <cell r="Q288" t="e">
            <v>#N/A</v>
          </cell>
          <cell r="R288" t="e">
            <v>#N/A</v>
          </cell>
          <cell r="S288" t="e">
            <v>#N/A</v>
          </cell>
          <cell r="T288" t="e">
            <v>#N/A</v>
          </cell>
          <cell r="U288" t="str">
            <v/>
          </cell>
          <cell r="V288" t="str">
            <v/>
          </cell>
          <cell r="W288" t="e">
            <v>#N/A</v>
          </cell>
        </row>
        <row r="289">
          <cell r="A289" t="str">
            <v xml:space="preserve">  </v>
          </cell>
          <cell r="F289" t="e">
            <v>#N/A</v>
          </cell>
          <cell r="J289" t="e">
            <v>#N/A</v>
          </cell>
          <cell r="L289" t="e">
            <v>#N/A</v>
          </cell>
          <cell r="N289" t="e">
            <v>#N/A</v>
          </cell>
          <cell r="P289" t="e">
            <v>#N/A</v>
          </cell>
          <cell r="Q289" t="e">
            <v>#N/A</v>
          </cell>
          <cell r="R289" t="e">
            <v>#N/A</v>
          </cell>
          <cell r="S289" t="e">
            <v>#N/A</v>
          </cell>
          <cell r="T289" t="e">
            <v>#N/A</v>
          </cell>
          <cell r="U289" t="str">
            <v/>
          </cell>
          <cell r="V289" t="str">
            <v/>
          </cell>
          <cell r="W289" t="e">
            <v>#N/A</v>
          </cell>
        </row>
        <row r="290">
          <cell r="A290" t="str">
            <v xml:space="preserve">  </v>
          </cell>
          <cell r="F290" t="e">
            <v>#N/A</v>
          </cell>
          <cell r="J290" t="e">
            <v>#N/A</v>
          </cell>
          <cell r="L290" t="e">
            <v>#N/A</v>
          </cell>
          <cell r="N290" t="e">
            <v>#N/A</v>
          </cell>
          <cell r="P290" t="e">
            <v>#N/A</v>
          </cell>
          <cell r="Q290" t="e">
            <v>#N/A</v>
          </cell>
          <cell r="R290" t="e">
            <v>#N/A</v>
          </cell>
          <cell r="S290" t="e">
            <v>#N/A</v>
          </cell>
          <cell r="T290" t="e">
            <v>#N/A</v>
          </cell>
          <cell r="U290" t="str">
            <v/>
          </cell>
          <cell r="V290" t="str">
            <v/>
          </cell>
          <cell r="W290" t="e">
            <v>#N/A</v>
          </cell>
        </row>
        <row r="291">
          <cell r="A291" t="str">
            <v xml:space="preserve">  </v>
          </cell>
          <cell r="F291" t="e">
            <v>#N/A</v>
          </cell>
          <cell r="J291" t="e">
            <v>#N/A</v>
          </cell>
          <cell r="L291" t="e">
            <v>#N/A</v>
          </cell>
          <cell r="N291" t="e">
            <v>#N/A</v>
          </cell>
          <cell r="P291" t="e">
            <v>#N/A</v>
          </cell>
          <cell r="Q291" t="e">
            <v>#N/A</v>
          </cell>
          <cell r="R291" t="e">
            <v>#N/A</v>
          </cell>
          <cell r="S291" t="e">
            <v>#N/A</v>
          </cell>
          <cell r="T291" t="e">
            <v>#N/A</v>
          </cell>
          <cell r="U291" t="str">
            <v/>
          </cell>
          <cell r="V291" t="str">
            <v/>
          </cell>
          <cell r="W291" t="e">
            <v>#N/A</v>
          </cell>
        </row>
        <row r="292">
          <cell r="A292" t="str">
            <v xml:space="preserve">  </v>
          </cell>
          <cell r="F292" t="e">
            <v>#N/A</v>
          </cell>
          <cell r="J292" t="e">
            <v>#N/A</v>
          </cell>
          <cell r="L292" t="e">
            <v>#N/A</v>
          </cell>
          <cell r="N292" t="e">
            <v>#N/A</v>
          </cell>
          <cell r="P292" t="e">
            <v>#N/A</v>
          </cell>
          <cell r="Q292" t="e">
            <v>#N/A</v>
          </cell>
          <cell r="R292" t="e">
            <v>#N/A</v>
          </cell>
          <cell r="S292" t="e">
            <v>#N/A</v>
          </cell>
          <cell r="T292" t="e">
            <v>#N/A</v>
          </cell>
          <cell r="U292" t="str">
            <v/>
          </cell>
          <cell r="V292" t="str">
            <v/>
          </cell>
          <cell r="W292" t="e">
            <v>#N/A</v>
          </cell>
        </row>
        <row r="293">
          <cell r="A293" t="str">
            <v xml:space="preserve">  </v>
          </cell>
          <cell r="F293" t="e">
            <v>#N/A</v>
          </cell>
          <cell r="J293" t="e">
            <v>#N/A</v>
          </cell>
          <cell r="L293" t="e">
            <v>#N/A</v>
          </cell>
          <cell r="N293" t="e">
            <v>#N/A</v>
          </cell>
          <cell r="P293" t="e">
            <v>#N/A</v>
          </cell>
          <cell r="Q293" t="e">
            <v>#N/A</v>
          </cell>
          <cell r="R293" t="e">
            <v>#N/A</v>
          </cell>
          <cell r="S293" t="e">
            <v>#N/A</v>
          </cell>
          <cell r="T293" t="e">
            <v>#N/A</v>
          </cell>
          <cell r="U293" t="str">
            <v/>
          </cell>
          <cell r="V293" t="str">
            <v/>
          </cell>
          <cell r="W293" t="e">
            <v>#N/A</v>
          </cell>
        </row>
        <row r="294">
          <cell r="A294" t="str">
            <v xml:space="preserve">  </v>
          </cell>
          <cell r="F294" t="e">
            <v>#N/A</v>
          </cell>
          <cell r="J294" t="e">
            <v>#N/A</v>
          </cell>
          <cell r="L294" t="e">
            <v>#N/A</v>
          </cell>
          <cell r="N294" t="e">
            <v>#N/A</v>
          </cell>
          <cell r="P294" t="e">
            <v>#N/A</v>
          </cell>
          <cell r="Q294" t="e">
            <v>#N/A</v>
          </cell>
          <cell r="R294" t="e">
            <v>#N/A</v>
          </cell>
          <cell r="S294" t="e">
            <v>#N/A</v>
          </cell>
          <cell r="T294" t="e">
            <v>#N/A</v>
          </cell>
          <cell r="U294" t="str">
            <v/>
          </cell>
          <cell r="V294" t="str">
            <v/>
          </cell>
          <cell r="W294" t="e">
            <v>#N/A</v>
          </cell>
        </row>
        <row r="295">
          <cell r="A295" t="str">
            <v xml:space="preserve">  </v>
          </cell>
          <cell r="F295" t="e">
            <v>#N/A</v>
          </cell>
          <cell r="J295" t="e">
            <v>#N/A</v>
          </cell>
          <cell r="L295" t="e">
            <v>#N/A</v>
          </cell>
          <cell r="N295" t="e">
            <v>#N/A</v>
          </cell>
          <cell r="P295" t="e">
            <v>#N/A</v>
          </cell>
          <cell r="Q295" t="e">
            <v>#N/A</v>
          </cell>
          <cell r="R295" t="e">
            <v>#N/A</v>
          </cell>
          <cell r="S295" t="e">
            <v>#N/A</v>
          </cell>
          <cell r="T295" t="e">
            <v>#N/A</v>
          </cell>
          <cell r="U295" t="str">
            <v/>
          </cell>
          <cell r="V295" t="str">
            <v/>
          </cell>
          <cell r="W295" t="e">
            <v>#N/A</v>
          </cell>
        </row>
        <row r="296">
          <cell r="A296" t="str">
            <v xml:space="preserve">  </v>
          </cell>
          <cell r="F296" t="e">
            <v>#N/A</v>
          </cell>
          <cell r="J296" t="e">
            <v>#N/A</v>
          </cell>
          <cell r="L296" t="e">
            <v>#N/A</v>
          </cell>
          <cell r="N296" t="e">
            <v>#N/A</v>
          </cell>
          <cell r="P296" t="e">
            <v>#N/A</v>
          </cell>
          <cell r="Q296" t="e">
            <v>#N/A</v>
          </cell>
          <cell r="R296" t="e">
            <v>#N/A</v>
          </cell>
          <cell r="S296" t="e">
            <v>#N/A</v>
          </cell>
          <cell r="T296" t="e">
            <v>#N/A</v>
          </cell>
          <cell r="U296" t="str">
            <v/>
          </cell>
          <cell r="V296" t="str">
            <v/>
          </cell>
          <cell r="W296" t="e">
            <v>#N/A</v>
          </cell>
        </row>
        <row r="297">
          <cell r="A297" t="str">
            <v xml:space="preserve">  </v>
          </cell>
          <cell r="F297" t="e">
            <v>#N/A</v>
          </cell>
          <cell r="J297" t="e">
            <v>#N/A</v>
          </cell>
          <cell r="L297" t="e">
            <v>#N/A</v>
          </cell>
          <cell r="N297" t="e">
            <v>#N/A</v>
          </cell>
          <cell r="P297" t="e">
            <v>#N/A</v>
          </cell>
          <cell r="Q297" t="e">
            <v>#N/A</v>
          </cell>
          <cell r="R297" t="e">
            <v>#N/A</v>
          </cell>
          <cell r="S297" t="e">
            <v>#N/A</v>
          </cell>
          <cell r="T297" t="e">
            <v>#N/A</v>
          </cell>
          <cell r="U297" t="str">
            <v/>
          </cell>
          <cell r="V297" t="str">
            <v/>
          </cell>
          <cell r="W297" t="e">
            <v>#N/A</v>
          </cell>
        </row>
        <row r="298">
          <cell r="A298" t="str">
            <v xml:space="preserve">  </v>
          </cell>
          <cell r="F298" t="e">
            <v>#N/A</v>
          </cell>
          <cell r="J298" t="e">
            <v>#N/A</v>
          </cell>
          <cell r="L298" t="e">
            <v>#N/A</v>
          </cell>
          <cell r="N298" t="e">
            <v>#N/A</v>
          </cell>
          <cell r="P298" t="e">
            <v>#N/A</v>
          </cell>
          <cell r="Q298" t="e">
            <v>#N/A</v>
          </cell>
          <cell r="R298" t="e">
            <v>#N/A</v>
          </cell>
          <cell r="S298" t="e">
            <v>#N/A</v>
          </cell>
          <cell r="T298" t="e">
            <v>#N/A</v>
          </cell>
          <cell r="U298" t="str">
            <v/>
          </cell>
          <cell r="V298" t="str">
            <v/>
          </cell>
          <cell r="W298" t="e">
            <v>#N/A</v>
          </cell>
        </row>
        <row r="299">
          <cell r="A299" t="str">
            <v xml:space="preserve">  </v>
          </cell>
          <cell r="F299" t="e">
            <v>#N/A</v>
          </cell>
          <cell r="J299" t="e">
            <v>#N/A</v>
          </cell>
          <cell r="L299" t="e">
            <v>#N/A</v>
          </cell>
          <cell r="N299" t="e">
            <v>#N/A</v>
          </cell>
          <cell r="P299" t="e">
            <v>#N/A</v>
          </cell>
          <cell r="Q299" t="e">
            <v>#N/A</v>
          </cell>
          <cell r="R299" t="e">
            <v>#N/A</v>
          </cell>
          <cell r="S299" t="e">
            <v>#N/A</v>
          </cell>
          <cell r="T299" t="e">
            <v>#N/A</v>
          </cell>
          <cell r="U299" t="str">
            <v/>
          </cell>
          <cell r="V299" t="str">
            <v/>
          </cell>
          <cell r="W299" t="e">
            <v>#N/A</v>
          </cell>
        </row>
        <row r="300">
          <cell r="A300" t="str">
            <v xml:space="preserve">  </v>
          </cell>
          <cell r="F300" t="e">
            <v>#N/A</v>
          </cell>
          <cell r="J300" t="e">
            <v>#N/A</v>
          </cell>
          <cell r="L300" t="e">
            <v>#N/A</v>
          </cell>
          <cell r="N300" t="e">
            <v>#N/A</v>
          </cell>
          <cell r="P300" t="e">
            <v>#N/A</v>
          </cell>
          <cell r="Q300" t="e">
            <v>#N/A</v>
          </cell>
          <cell r="R300" t="e">
            <v>#N/A</v>
          </cell>
          <cell r="S300" t="e">
            <v>#N/A</v>
          </cell>
          <cell r="T300" t="e">
            <v>#N/A</v>
          </cell>
          <cell r="U300" t="str">
            <v/>
          </cell>
          <cell r="V300" t="str">
            <v/>
          </cell>
          <cell r="W300" t="e">
            <v>#N/A</v>
          </cell>
        </row>
        <row r="301">
          <cell r="A301" t="str">
            <v xml:space="preserve">  </v>
          </cell>
          <cell r="F301" t="e">
            <v>#N/A</v>
          </cell>
          <cell r="J301" t="e">
            <v>#N/A</v>
          </cell>
          <cell r="L301">
            <v>1</v>
          </cell>
          <cell r="N301" t="e">
            <v>#N/A</v>
          </cell>
          <cell r="P301" t="e">
            <v>#N/A</v>
          </cell>
          <cell r="Q301" t="e">
            <v>#N/A</v>
          </cell>
          <cell r="R301" t="e">
            <v>#N/A</v>
          </cell>
          <cell r="S301" t="e">
            <v>#N/A</v>
          </cell>
          <cell r="T301" t="e">
            <v>#N/A</v>
          </cell>
          <cell r="U301" t="str">
            <v/>
          </cell>
          <cell r="V301" t="str">
            <v/>
          </cell>
          <cell r="W301" t="e">
            <v>#N/A</v>
          </cell>
        </row>
        <row r="302">
          <cell r="A302" t="str">
            <v xml:space="preserve">  </v>
          </cell>
          <cell r="F302" t="e">
            <v>#N/A</v>
          </cell>
          <cell r="J302" t="e">
            <v>#N/A</v>
          </cell>
          <cell r="L302" t="e">
            <v>#N/A</v>
          </cell>
          <cell r="N302" t="e">
            <v>#N/A</v>
          </cell>
          <cell r="P302" t="e">
            <v>#N/A</v>
          </cell>
          <cell r="Q302" t="e">
            <v>#N/A</v>
          </cell>
          <cell r="R302" t="e">
            <v>#N/A</v>
          </cell>
          <cell r="S302" t="e">
            <v>#N/A</v>
          </cell>
          <cell r="T302" t="e">
            <v>#N/A</v>
          </cell>
          <cell r="U302" t="str">
            <v/>
          </cell>
          <cell r="V302" t="str">
            <v/>
          </cell>
          <cell r="W302" t="e">
            <v>#N/A</v>
          </cell>
        </row>
        <row r="303">
          <cell r="A303" t="str">
            <v xml:space="preserve">  </v>
          </cell>
          <cell r="F303" t="e">
            <v>#N/A</v>
          </cell>
          <cell r="J303" t="e">
            <v>#N/A</v>
          </cell>
          <cell r="L303" t="e">
            <v>#N/A</v>
          </cell>
          <cell r="N303" t="e">
            <v>#N/A</v>
          </cell>
          <cell r="P303" t="e">
            <v>#N/A</v>
          </cell>
          <cell r="Q303" t="e">
            <v>#N/A</v>
          </cell>
          <cell r="R303" t="e">
            <v>#N/A</v>
          </cell>
          <cell r="S303" t="e">
            <v>#N/A</v>
          </cell>
          <cell r="T303" t="e">
            <v>#N/A</v>
          </cell>
          <cell r="U303" t="str">
            <v/>
          </cell>
          <cell r="V303" t="str">
            <v/>
          </cell>
          <cell r="W303" t="e">
            <v>#N/A</v>
          </cell>
        </row>
        <row r="304">
          <cell r="A304" t="str">
            <v xml:space="preserve">  </v>
          </cell>
          <cell r="F304" t="e">
            <v>#N/A</v>
          </cell>
          <cell r="J304" t="e">
            <v>#N/A</v>
          </cell>
          <cell r="L304" t="e">
            <v>#N/A</v>
          </cell>
          <cell r="N304" t="e">
            <v>#N/A</v>
          </cell>
          <cell r="P304" t="e">
            <v>#N/A</v>
          </cell>
          <cell r="Q304" t="e">
            <v>#N/A</v>
          </cell>
          <cell r="R304" t="e">
            <v>#N/A</v>
          </cell>
          <cell r="S304" t="e">
            <v>#N/A</v>
          </cell>
          <cell r="T304" t="e">
            <v>#N/A</v>
          </cell>
          <cell r="U304" t="str">
            <v/>
          </cell>
          <cell r="V304" t="str">
            <v/>
          </cell>
          <cell r="W304" t="e">
            <v>#N/A</v>
          </cell>
        </row>
        <row r="305">
          <cell r="A305" t="str">
            <v xml:space="preserve">  </v>
          </cell>
          <cell r="F305" t="e">
            <v>#N/A</v>
          </cell>
          <cell r="J305" t="e">
            <v>#N/A</v>
          </cell>
          <cell r="L305" t="e">
            <v>#N/A</v>
          </cell>
          <cell r="N305" t="e">
            <v>#N/A</v>
          </cell>
          <cell r="P305" t="e">
            <v>#N/A</v>
          </cell>
          <cell r="Q305" t="e">
            <v>#N/A</v>
          </cell>
          <cell r="R305" t="e">
            <v>#N/A</v>
          </cell>
          <cell r="S305" t="e">
            <v>#N/A</v>
          </cell>
          <cell r="T305" t="e">
            <v>#N/A</v>
          </cell>
          <cell r="U305" t="str">
            <v/>
          </cell>
          <cell r="V305" t="str">
            <v/>
          </cell>
          <cell r="W305" t="e">
            <v>#N/A</v>
          </cell>
        </row>
        <row r="306">
          <cell r="A306" t="str">
            <v xml:space="preserve">  </v>
          </cell>
          <cell r="F306" t="e">
            <v>#N/A</v>
          </cell>
          <cell r="J306" t="e">
            <v>#N/A</v>
          </cell>
          <cell r="L306" t="e">
            <v>#N/A</v>
          </cell>
          <cell r="N306" t="e">
            <v>#N/A</v>
          </cell>
          <cell r="P306" t="e">
            <v>#N/A</v>
          </cell>
          <cell r="Q306" t="e">
            <v>#N/A</v>
          </cell>
          <cell r="R306" t="e">
            <v>#N/A</v>
          </cell>
          <cell r="S306" t="e">
            <v>#N/A</v>
          </cell>
          <cell r="T306" t="e">
            <v>#N/A</v>
          </cell>
          <cell r="U306" t="str">
            <v/>
          </cell>
          <cell r="V306" t="str">
            <v/>
          </cell>
          <cell r="W306" t="e">
            <v>#N/A</v>
          </cell>
        </row>
        <row r="307">
          <cell r="A307" t="str">
            <v xml:space="preserve">  </v>
          </cell>
          <cell r="F307" t="e">
            <v>#N/A</v>
          </cell>
          <cell r="J307" t="e">
            <v>#N/A</v>
          </cell>
          <cell r="L307" t="e">
            <v>#N/A</v>
          </cell>
          <cell r="N307" t="e">
            <v>#N/A</v>
          </cell>
          <cell r="P307" t="e">
            <v>#N/A</v>
          </cell>
          <cell r="Q307" t="e">
            <v>#N/A</v>
          </cell>
          <cell r="R307" t="e">
            <v>#N/A</v>
          </cell>
          <cell r="S307" t="e">
            <v>#N/A</v>
          </cell>
          <cell r="T307" t="e">
            <v>#N/A</v>
          </cell>
          <cell r="U307" t="str">
            <v/>
          </cell>
          <cell r="V307" t="str">
            <v/>
          </cell>
          <cell r="W307" t="e">
            <v>#N/A</v>
          </cell>
        </row>
        <row r="308">
          <cell r="A308" t="str">
            <v xml:space="preserve">  </v>
          </cell>
          <cell r="F308" t="e">
            <v>#N/A</v>
          </cell>
          <cell r="J308" t="e">
            <v>#N/A</v>
          </cell>
          <cell r="L308" t="e">
            <v>#N/A</v>
          </cell>
          <cell r="N308" t="e">
            <v>#N/A</v>
          </cell>
          <cell r="P308" t="e">
            <v>#N/A</v>
          </cell>
          <cell r="Q308" t="e">
            <v>#N/A</v>
          </cell>
          <cell r="R308" t="e">
            <v>#N/A</v>
          </cell>
          <cell r="S308" t="e">
            <v>#N/A</v>
          </cell>
          <cell r="T308" t="e">
            <v>#N/A</v>
          </cell>
          <cell r="U308" t="str">
            <v/>
          </cell>
          <cell r="V308" t="str">
            <v/>
          </cell>
          <cell r="W308" t="e">
            <v>#N/A</v>
          </cell>
        </row>
        <row r="309">
          <cell r="A309" t="str">
            <v xml:space="preserve">  </v>
          </cell>
          <cell r="F309" t="e">
            <v>#N/A</v>
          </cell>
          <cell r="J309" t="e">
            <v>#N/A</v>
          </cell>
          <cell r="L309" t="e">
            <v>#N/A</v>
          </cell>
          <cell r="N309" t="e">
            <v>#N/A</v>
          </cell>
          <cell r="P309" t="e">
            <v>#N/A</v>
          </cell>
          <cell r="Q309" t="e">
            <v>#N/A</v>
          </cell>
          <cell r="R309" t="e">
            <v>#N/A</v>
          </cell>
          <cell r="S309" t="e">
            <v>#N/A</v>
          </cell>
          <cell r="T309" t="e">
            <v>#N/A</v>
          </cell>
          <cell r="U309" t="str">
            <v/>
          </cell>
          <cell r="V309" t="str">
            <v/>
          </cell>
          <cell r="W309" t="e">
            <v>#N/A</v>
          </cell>
        </row>
        <row r="310">
          <cell r="A310" t="str">
            <v xml:space="preserve">  </v>
          </cell>
          <cell r="F310" t="e">
            <v>#N/A</v>
          </cell>
          <cell r="J310" t="e">
            <v>#N/A</v>
          </cell>
          <cell r="L310" t="e">
            <v>#N/A</v>
          </cell>
          <cell r="N310" t="e">
            <v>#N/A</v>
          </cell>
          <cell r="P310" t="e">
            <v>#N/A</v>
          </cell>
          <cell r="Q310" t="e">
            <v>#N/A</v>
          </cell>
          <cell r="R310" t="e">
            <v>#N/A</v>
          </cell>
          <cell r="S310" t="e">
            <v>#N/A</v>
          </cell>
          <cell r="T310" t="e">
            <v>#N/A</v>
          </cell>
          <cell r="U310" t="str">
            <v/>
          </cell>
          <cell r="V310" t="str">
            <v/>
          </cell>
          <cell r="W310" t="e">
            <v>#N/A</v>
          </cell>
        </row>
        <row r="311">
          <cell r="A311" t="str">
            <v xml:space="preserve">  </v>
          </cell>
          <cell r="F311" t="e">
            <v>#N/A</v>
          </cell>
          <cell r="J311" t="e">
            <v>#N/A</v>
          </cell>
          <cell r="L311" t="e">
            <v>#N/A</v>
          </cell>
          <cell r="N311" t="e">
            <v>#N/A</v>
          </cell>
          <cell r="P311" t="e">
            <v>#N/A</v>
          </cell>
          <cell r="Q311" t="e">
            <v>#N/A</v>
          </cell>
          <cell r="R311" t="e">
            <v>#N/A</v>
          </cell>
          <cell r="S311" t="e">
            <v>#N/A</v>
          </cell>
          <cell r="T311" t="e">
            <v>#N/A</v>
          </cell>
          <cell r="U311" t="str">
            <v/>
          </cell>
          <cell r="V311" t="str">
            <v/>
          </cell>
          <cell r="W311" t="e">
            <v>#N/A</v>
          </cell>
        </row>
        <row r="312">
          <cell r="A312" t="str">
            <v xml:space="preserve">  </v>
          </cell>
          <cell r="F312" t="e">
            <v>#N/A</v>
          </cell>
          <cell r="J312" t="e">
            <v>#N/A</v>
          </cell>
          <cell r="L312" t="e">
            <v>#N/A</v>
          </cell>
          <cell r="N312" t="e">
            <v>#N/A</v>
          </cell>
          <cell r="P312" t="e">
            <v>#N/A</v>
          </cell>
          <cell r="Q312" t="e">
            <v>#N/A</v>
          </cell>
          <cell r="R312" t="e">
            <v>#N/A</v>
          </cell>
          <cell r="S312" t="e">
            <v>#N/A</v>
          </cell>
          <cell r="T312" t="e">
            <v>#N/A</v>
          </cell>
          <cell r="U312" t="str">
            <v/>
          </cell>
          <cell r="V312" t="str">
            <v/>
          </cell>
          <cell r="W312" t="e">
            <v>#N/A</v>
          </cell>
        </row>
        <row r="313">
          <cell r="A313" t="str">
            <v xml:space="preserve">  </v>
          </cell>
          <cell r="F313" t="e">
            <v>#N/A</v>
          </cell>
          <cell r="J313" t="e">
            <v>#N/A</v>
          </cell>
          <cell r="L313" t="e">
            <v>#N/A</v>
          </cell>
          <cell r="N313" t="e">
            <v>#N/A</v>
          </cell>
          <cell r="P313" t="e">
            <v>#N/A</v>
          </cell>
          <cell r="Q313" t="e">
            <v>#N/A</v>
          </cell>
          <cell r="R313" t="e">
            <v>#N/A</v>
          </cell>
          <cell r="S313" t="e">
            <v>#N/A</v>
          </cell>
          <cell r="T313" t="e">
            <v>#N/A</v>
          </cell>
          <cell r="U313" t="str">
            <v/>
          </cell>
          <cell r="V313" t="str">
            <v/>
          </cell>
          <cell r="W313" t="e">
            <v>#N/A</v>
          </cell>
        </row>
        <row r="314">
          <cell r="A314" t="str">
            <v xml:space="preserve">  </v>
          </cell>
          <cell r="F314" t="e">
            <v>#N/A</v>
          </cell>
          <cell r="J314" t="e">
            <v>#N/A</v>
          </cell>
          <cell r="L314" t="e">
            <v>#N/A</v>
          </cell>
          <cell r="N314" t="e">
            <v>#N/A</v>
          </cell>
          <cell r="P314" t="e">
            <v>#N/A</v>
          </cell>
          <cell r="Q314" t="e">
            <v>#N/A</v>
          </cell>
          <cell r="R314" t="e">
            <v>#N/A</v>
          </cell>
          <cell r="S314" t="e">
            <v>#N/A</v>
          </cell>
          <cell r="T314" t="e">
            <v>#N/A</v>
          </cell>
          <cell r="U314" t="str">
            <v/>
          </cell>
          <cell r="V314" t="str">
            <v/>
          </cell>
          <cell r="W314" t="e">
            <v>#N/A</v>
          </cell>
        </row>
        <row r="315">
          <cell r="A315" t="str">
            <v xml:space="preserve">  </v>
          </cell>
          <cell r="F315" t="e">
            <v>#N/A</v>
          </cell>
          <cell r="J315" t="e">
            <v>#N/A</v>
          </cell>
          <cell r="L315" t="e">
            <v>#N/A</v>
          </cell>
          <cell r="N315" t="e">
            <v>#N/A</v>
          </cell>
          <cell r="P315" t="e">
            <v>#N/A</v>
          </cell>
          <cell r="Q315" t="e">
            <v>#N/A</v>
          </cell>
          <cell r="R315" t="e">
            <v>#N/A</v>
          </cell>
          <cell r="S315" t="e">
            <v>#N/A</v>
          </cell>
          <cell r="T315" t="e">
            <v>#N/A</v>
          </cell>
          <cell r="U315" t="str">
            <v/>
          </cell>
          <cell r="V315" t="str">
            <v/>
          </cell>
          <cell r="W315" t="e">
            <v>#N/A</v>
          </cell>
        </row>
        <row r="316">
          <cell r="A316" t="str">
            <v xml:space="preserve">  </v>
          </cell>
          <cell r="F316" t="e">
            <v>#N/A</v>
          </cell>
          <cell r="J316" t="e">
            <v>#N/A</v>
          </cell>
          <cell r="L316" t="e">
            <v>#N/A</v>
          </cell>
          <cell r="N316" t="e">
            <v>#N/A</v>
          </cell>
          <cell r="P316" t="e">
            <v>#N/A</v>
          </cell>
          <cell r="Q316" t="e">
            <v>#N/A</v>
          </cell>
          <cell r="R316" t="e">
            <v>#N/A</v>
          </cell>
          <cell r="S316" t="e">
            <v>#N/A</v>
          </cell>
          <cell r="T316" t="e">
            <v>#N/A</v>
          </cell>
          <cell r="U316" t="str">
            <v/>
          </cell>
          <cell r="V316" t="str">
            <v/>
          </cell>
          <cell r="W316" t="e">
            <v>#N/A</v>
          </cell>
        </row>
        <row r="317">
          <cell r="A317" t="str">
            <v xml:space="preserve">  </v>
          </cell>
          <cell r="F317" t="e">
            <v>#N/A</v>
          </cell>
          <cell r="J317" t="e">
            <v>#N/A</v>
          </cell>
          <cell r="L317" t="e">
            <v>#N/A</v>
          </cell>
          <cell r="N317" t="e">
            <v>#N/A</v>
          </cell>
          <cell r="P317" t="e">
            <v>#N/A</v>
          </cell>
          <cell r="Q317" t="e">
            <v>#N/A</v>
          </cell>
          <cell r="R317" t="e">
            <v>#N/A</v>
          </cell>
          <cell r="S317" t="e">
            <v>#N/A</v>
          </cell>
          <cell r="T317" t="e">
            <v>#N/A</v>
          </cell>
          <cell r="U317" t="str">
            <v/>
          </cell>
          <cell r="V317" t="str">
            <v/>
          </cell>
          <cell r="W317" t="e">
            <v>#N/A</v>
          </cell>
        </row>
        <row r="318">
          <cell r="A318" t="str">
            <v xml:space="preserve">  </v>
          </cell>
          <cell r="F318" t="e">
            <v>#N/A</v>
          </cell>
          <cell r="J318" t="e">
            <v>#N/A</v>
          </cell>
          <cell r="L318" t="e">
            <v>#N/A</v>
          </cell>
          <cell r="N318" t="e">
            <v>#N/A</v>
          </cell>
          <cell r="P318" t="e">
            <v>#N/A</v>
          </cell>
          <cell r="Q318" t="e">
            <v>#N/A</v>
          </cell>
          <cell r="R318" t="e">
            <v>#N/A</v>
          </cell>
          <cell r="S318" t="e">
            <v>#N/A</v>
          </cell>
          <cell r="T318" t="e">
            <v>#N/A</v>
          </cell>
          <cell r="U318" t="str">
            <v/>
          </cell>
          <cell r="V318" t="str">
            <v/>
          </cell>
          <cell r="W318" t="e">
            <v>#N/A</v>
          </cell>
        </row>
        <row r="319">
          <cell r="A319" t="str">
            <v xml:space="preserve">  </v>
          </cell>
          <cell r="F319" t="e">
            <v>#N/A</v>
          </cell>
          <cell r="J319" t="e">
            <v>#N/A</v>
          </cell>
          <cell r="L319" t="e">
            <v>#N/A</v>
          </cell>
          <cell r="N319" t="e">
            <v>#N/A</v>
          </cell>
          <cell r="P319" t="e">
            <v>#N/A</v>
          </cell>
          <cell r="Q319" t="e">
            <v>#N/A</v>
          </cell>
          <cell r="R319" t="e">
            <v>#N/A</v>
          </cell>
          <cell r="S319" t="e">
            <v>#N/A</v>
          </cell>
          <cell r="T319" t="e">
            <v>#N/A</v>
          </cell>
          <cell r="U319" t="str">
            <v/>
          </cell>
          <cell r="V319" t="str">
            <v/>
          </cell>
          <cell r="W319" t="e">
            <v>#N/A</v>
          </cell>
        </row>
        <row r="320">
          <cell r="A320" t="str">
            <v xml:space="preserve">  </v>
          </cell>
          <cell r="F320" t="e">
            <v>#N/A</v>
          </cell>
          <cell r="J320" t="e">
            <v>#N/A</v>
          </cell>
          <cell r="L320" t="e">
            <v>#N/A</v>
          </cell>
          <cell r="N320" t="e">
            <v>#N/A</v>
          </cell>
          <cell r="P320" t="e">
            <v>#N/A</v>
          </cell>
          <cell r="Q320" t="e">
            <v>#N/A</v>
          </cell>
          <cell r="R320" t="e">
            <v>#N/A</v>
          </cell>
          <cell r="S320" t="e">
            <v>#N/A</v>
          </cell>
          <cell r="T320" t="e">
            <v>#N/A</v>
          </cell>
          <cell r="U320" t="str">
            <v/>
          </cell>
          <cell r="V320" t="str">
            <v/>
          </cell>
          <cell r="W320" t="e">
            <v>#N/A</v>
          </cell>
        </row>
        <row r="321">
          <cell r="A321" t="str">
            <v xml:space="preserve">  </v>
          </cell>
          <cell r="F321" t="e">
            <v>#N/A</v>
          </cell>
          <cell r="J321" t="e">
            <v>#N/A</v>
          </cell>
          <cell r="L321" t="e">
            <v>#N/A</v>
          </cell>
          <cell r="N321" t="e">
            <v>#N/A</v>
          </cell>
          <cell r="P321" t="e">
            <v>#N/A</v>
          </cell>
          <cell r="Q321" t="e">
            <v>#N/A</v>
          </cell>
          <cell r="R321" t="e">
            <v>#N/A</v>
          </cell>
          <cell r="S321" t="e">
            <v>#N/A</v>
          </cell>
          <cell r="T321" t="e">
            <v>#N/A</v>
          </cell>
          <cell r="U321" t="str">
            <v/>
          </cell>
          <cell r="V321" t="str">
            <v/>
          </cell>
          <cell r="W321" t="e">
            <v>#N/A</v>
          </cell>
        </row>
        <row r="322">
          <cell r="A322" t="str">
            <v xml:space="preserve">  </v>
          </cell>
          <cell r="F322" t="e">
            <v>#N/A</v>
          </cell>
          <cell r="J322" t="e">
            <v>#N/A</v>
          </cell>
          <cell r="L322" t="e">
            <v>#N/A</v>
          </cell>
          <cell r="N322" t="e">
            <v>#N/A</v>
          </cell>
          <cell r="P322" t="e">
            <v>#N/A</v>
          </cell>
          <cell r="Q322" t="e">
            <v>#N/A</v>
          </cell>
          <cell r="R322" t="e">
            <v>#N/A</v>
          </cell>
          <cell r="S322" t="e">
            <v>#N/A</v>
          </cell>
          <cell r="T322" t="e">
            <v>#N/A</v>
          </cell>
          <cell r="U322" t="str">
            <v/>
          </cell>
          <cell r="V322" t="str">
            <v/>
          </cell>
          <cell r="W322" t="e">
            <v>#N/A</v>
          </cell>
        </row>
        <row r="323">
          <cell r="A323" t="str">
            <v xml:space="preserve">  </v>
          </cell>
          <cell r="F323" t="e">
            <v>#N/A</v>
          </cell>
          <cell r="J323" t="e">
            <v>#N/A</v>
          </cell>
          <cell r="L323" t="e">
            <v>#N/A</v>
          </cell>
          <cell r="N323" t="e">
            <v>#N/A</v>
          </cell>
          <cell r="P323" t="e">
            <v>#N/A</v>
          </cell>
          <cell r="Q323" t="e">
            <v>#N/A</v>
          </cell>
          <cell r="R323" t="e">
            <v>#N/A</v>
          </cell>
          <cell r="S323" t="e">
            <v>#N/A</v>
          </cell>
          <cell r="T323" t="e">
            <v>#N/A</v>
          </cell>
          <cell r="U323" t="str">
            <v/>
          </cell>
          <cell r="V323" t="str">
            <v/>
          </cell>
          <cell r="W323" t="e">
            <v>#N/A</v>
          </cell>
        </row>
        <row r="324">
          <cell r="A324" t="str">
            <v xml:space="preserve">  </v>
          </cell>
          <cell r="F324" t="e">
            <v>#N/A</v>
          </cell>
          <cell r="J324" t="e">
            <v>#N/A</v>
          </cell>
          <cell r="L324" t="e">
            <v>#N/A</v>
          </cell>
          <cell r="N324" t="e">
            <v>#N/A</v>
          </cell>
          <cell r="P324" t="e">
            <v>#N/A</v>
          </cell>
          <cell r="Q324" t="e">
            <v>#N/A</v>
          </cell>
          <cell r="R324" t="e">
            <v>#N/A</v>
          </cell>
          <cell r="S324" t="e">
            <v>#N/A</v>
          </cell>
          <cell r="T324" t="e">
            <v>#N/A</v>
          </cell>
          <cell r="U324" t="str">
            <v/>
          </cell>
          <cell r="V324" t="str">
            <v/>
          </cell>
          <cell r="W324" t="e">
            <v>#N/A</v>
          </cell>
        </row>
        <row r="325">
          <cell r="A325" t="str">
            <v xml:space="preserve">  </v>
          </cell>
          <cell r="F325" t="e">
            <v>#N/A</v>
          </cell>
          <cell r="J325" t="e">
            <v>#N/A</v>
          </cell>
          <cell r="L325" t="e">
            <v>#N/A</v>
          </cell>
          <cell r="N325" t="e">
            <v>#N/A</v>
          </cell>
          <cell r="P325" t="e">
            <v>#N/A</v>
          </cell>
          <cell r="Q325" t="e">
            <v>#N/A</v>
          </cell>
          <cell r="R325" t="e">
            <v>#N/A</v>
          </cell>
          <cell r="S325" t="e">
            <v>#N/A</v>
          </cell>
          <cell r="T325" t="e">
            <v>#N/A</v>
          </cell>
          <cell r="U325" t="str">
            <v/>
          </cell>
          <cell r="V325" t="str">
            <v/>
          </cell>
          <cell r="W325" t="e">
            <v>#N/A</v>
          </cell>
        </row>
        <row r="326">
          <cell r="A326" t="str">
            <v xml:space="preserve">  </v>
          </cell>
          <cell r="F326" t="e">
            <v>#N/A</v>
          </cell>
          <cell r="J326" t="e">
            <v>#N/A</v>
          </cell>
          <cell r="L326" t="e">
            <v>#N/A</v>
          </cell>
          <cell r="N326" t="e">
            <v>#N/A</v>
          </cell>
          <cell r="P326" t="e">
            <v>#N/A</v>
          </cell>
          <cell r="Q326" t="e">
            <v>#N/A</v>
          </cell>
          <cell r="R326" t="e">
            <v>#N/A</v>
          </cell>
          <cell r="S326" t="e">
            <v>#N/A</v>
          </cell>
          <cell r="T326" t="e">
            <v>#N/A</v>
          </cell>
          <cell r="U326" t="str">
            <v/>
          </cell>
          <cell r="V326" t="str">
            <v/>
          </cell>
          <cell r="W326" t="e">
            <v>#N/A</v>
          </cell>
        </row>
        <row r="327">
          <cell r="A327" t="str">
            <v xml:space="preserve">  </v>
          </cell>
          <cell r="F327" t="e">
            <v>#N/A</v>
          </cell>
          <cell r="J327" t="e">
            <v>#N/A</v>
          </cell>
          <cell r="L327" t="e">
            <v>#N/A</v>
          </cell>
          <cell r="N327" t="e">
            <v>#N/A</v>
          </cell>
          <cell r="P327" t="e">
            <v>#N/A</v>
          </cell>
          <cell r="Q327" t="e">
            <v>#N/A</v>
          </cell>
          <cell r="R327" t="e">
            <v>#N/A</v>
          </cell>
          <cell r="S327" t="e">
            <v>#N/A</v>
          </cell>
          <cell r="T327" t="e">
            <v>#N/A</v>
          </cell>
          <cell r="U327" t="str">
            <v/>
          </cell>
          <cell r="V327" t="str">
            <v/>
          </cell>
          <cell r="W327" t="e">
            <v>#N/A</v>
          </cell>
        </row>
        <row r="328">
          <cell r="A328" t="str">
            <v xml:space="preserve">  </v>
          </cell>
          <cell r="F328" t="e">
            <v>#N/A</v>
          </cell>
          <cell r="J328" t="e">
            <v>#N/A</v>
          </cell>
          <cell r="L328" t="e">
            <v>#N/A</v>
          </cell>
          <cell r="N328" t="e">
            <v>#N/A</v>
          </cell>
          <cell r="P328" t="e">
            <v>#N/A</v>
          </cell>
          <cell r="Q328" t="e">
            <v>#N/A</v>
          </cell>
          <cell r="R328" t="e">
            <v>#N/A</v>
          </cell>
          <cell r="S328" t="e">
            <v>#N/A</v>
          </cell>
          <cell r="T328" t="e">
            <v>#N/A</v>
          </cell>
          <cell r="U328" t="str">
            <v/>
          </cell>
          <cell r="V328" t="str">
            <v/>
          </cell>
          <cell r="W328" t="e">
            <v>#N/A</v>
          </cell>
        </row>
        <row r="329">
          <cell r="A329" t="str">
            <v xml:space="preserve">  </v>
          </cell>
          <cell r="F329" t="e">
            <v>#N/A</v>
          </cell>
          <cell r="J329" t="e">
            <v>#N/A</v>
          </cell>
          <cell r="L329" t="e">
            <v>#N/A</v>
          </cell>
          <cell r="N329" t="e">
            <v>#N/A</v>
          </cell>
          <cell r="P329" t="e">
            <v>#N/A</v>
          </cell>
          <cell r="Q329" t="e">
            <v>#N/A</v>
          </cell>
          <cell r="R329" t="e">
            <v>#N/A</v>
          </cell>
          <cell r="S329" t="e">
            <v>#N/A</v>
          </cell>
          <cell r="T329" t="e">
            <v>#N/A</v>
          </cell>
          <cell r="U329" t="str">
            <v/>
          </cell>
          <cell r="V329" t="str">
            <v/>
          </cell>
          <cell r="W329" t="e">
            <v>#N/A</v>
          </cell>
        </row>
        <row r="330">
          <cell r="A330" t="str">
            <v xml:space="preserve">  </v>
          </cell>
          <cell r="F330" t="e">
            <v>#N/A</v>
          </cell>
          <cell r="J330" t="e">
            <v>#N/A</v>
          </cell>
          <cell r="L330" t="e">
            <v>#N/A</v>
          </cell>
          <cell r="N330" t="e">
            <v>#N/A</v>
          </cell>
          <cell r="P330" t="e">
            <v>#N/A</v>
          </cell>
          <cell r="Q330" t="e">
            <v>#N/A</v>
          </cell>
          <cell r="R330" t="e">
            <v>#N/A</v>
          </cell>
          <cell r="S330" t="e">
            <v>#N/A</v>
          </cell>
          <cell r="T330" t="e">
            <v>#N/A</v>
          </cell>
          <cell r="U330" t="str">
            <v/>
          </cell>
          <cell r="V330" t="str">
            <v/>
          </cell>
          <cell r="W330" t="e">
            <v>#N/A</v>
          </cell>
        </row>
        <row r="331">
          <cell r="A331" t="str">
            <v xml:space="preserve">  </v>
          </cell>
          <cell r="F331" t="e">
            <v>#N/A</v>
          </cell>
          <cell r="J331" t="e">
            <v>#N/A</v>
          </cell>
          <cell r="L331" t="e">
            <v>#N/A</v>
          </cell>
          <cell r="N331" t="e">
            <v>#N/A</v>
          </cell>
          <cell r="P331" t="e">
            <v>#N/A</v>
          </cell>
          <cell r="Q331" t="e">
            <v>#N/A</v>
          </cell>
          <cell r="R331" t="e">
            <v>#N/A</v>
          </cell>
          <cell r="S331" t="e">
            <v>#N/A</v>
          </cell>
          <cell r="T331" t="e">
            <v>#N/A</v>
          </cell>
          <cell r="U331" t="str">
            <v/>
          </cell>
          <cell r="V331" t="str">
            <v/>
          </cell>
          <cell r="W331" t="e">
            <v>#N/A</v>
          </cell>
        </row>
        <row r="332">
          <cell r="A332" t="str">
            <v xml:space="preserve">  </v>
          </cell>
          <cell r="F332" t="e">
            <v>#N/A</v>
          </cell>
          <cell r="J332" t="e">
            <v>#N/A</v>
          </cell>
          <cell r="L332" t="e">
            <v>#N/A</v>
          </cell>
          <cell r="N332" t="e">
            <v>#N/A</v>
          </cell>
          <cell r="P332" t="e">
            <v>#N/A</v>
          </cell>
          <cell r="Q332" t="e">
            <v>#N/A</v>
          </cell>
          <cell r="R332" t="e">
            <v>#N/A</v>
          </cell>
          <cell r="S332" t="e">
            <v>#N/A</v>
          </cell>
          <cell r="T332" t="e">
            <v>#N/A</v>
          </cell>
          <cell r="U332" t="str">
            <v/>
          </cell>
          <cell r="V332" t="str">
            <v/>
          </cell>
          <cell r="W332" t="e">
            <v>#N/A</v>
          </cell>
        </row>
        <row r="333">
          <cell r="A333" t="str">
            <v xml:space="preserve">  </v>
          </cell>
          <cell r="F333" t="e">
            <v>#N/A</v>
          </cell>
          <cell r="J333" t="e">
            <v>#N/A</v>
          </cell>
          <cell r="L333" t="e">
            <v>#N/A</v>
          </cell>
          <cell r="N333" t="e">
            <v>#N/A</v>
          </cell>
          <cell r="P333" t="e">
            <v>#N/A</v>
          </cell>
          <cell r="Q333" t="e">
            <v>#N/A</v>
          </cell>
          <cell r="R333" t="e">
            <v>#N/A</v>
          </cell>
          <cell r="S333" t="e">
            <v>#N/A</v>
          </cell>
          <cell r="T333" t="e">
            <v>#N/A</v>
          </cell>
          <cell r="U333" t="str">
            <v/>
          </cell>
          <cell r="V333" t="str">
            <v/>
          </cell>
          <cell r="W333" t="e">
            <v>#N/A</v>
          </cell>
        </row>
        <row r="334">
          <cell r="A334" t="str">
            <v xml:space="preserve">  </v>
          </cell>
          <cell r="F334" t="e">
            <v>#N/A</v>
          </cell>
          <cell r="J334" t="e">
            <v>#N/A</v>
          </cell>
          <cell r="L334" t="e">
            <v>#N/A</v>
          </cell>
          <cell r="N334" t="e">
            <v>#N/A</v>
          </cell>
          <cell r="P334" t="e">
            <v>#N/A</v>
          </cell>
          <cell r="Q334" t="e">
            <v>#N/A</v>
          </cell>
          <cell r="R334" t="e">
            <v>#N/A</v>
          </cell>
          <cell r="S334" t="e">
            <v>#N/A</v>
          </cell>
          <cell r="T334" t="e">
            <v>#N/A</v>
          </cell>
          <cell r="U334" t="str">
            <v/>
          </cell>
          <cell r="V334" t="str">
            <v/>
          </cell>
          <cell r="W334" t="e">
            <v>#N/A</v>
          </cell>
        </row>
        <row r="335">
          <cell r="A335" t="str">
            <v xml:space="preserve">  </v>
          </cell>
          <cell r="F335" t="e">
            <v>#N/A</v>
          </cell>
          <cell r="J335" t="e">
            <v>#N/A</v>
          </cell>
          <cell r="L335" t="e">
            <v>#N/A</v>
          </cell>
          <cell r="N335" t="e">
            <v>#N/A</v>
          </cell>
          <cell r="P335" t="e">
            <v>#N/A</v>
          </cell>
          <cell r="Q335" t="e">
            <v>#N/A</v>
          </cell>
          <cell r="R335" t="e">
            <v>#N/A</v>
          </cell>
          <cell r="S335" t="e">
            <v>#N/A</v>
          </cell>
          <cell r="T335" t="e">
            <v>#N/A</v>
          </cell>
          <cell r="U335" t="str">
            <v/>
          </cell>
          <cell r="V335" t="str">
            <v/>
          </cell>
          <cell r="W335" t="e">
            <v>#N/A</v>
          </cell>
        </row>
        <row r="336">
          <cell r="A336" t="str">
            <v xml:space="preserve">  </v>
          </cell>
          <cell r="F336" t="e">
            <v>#N/A</v>
          </cell>
          <cell r="J336" t="e">
            <v>#N/A</v>
          </cell>
          <cell r="L336" t="e">
            <v>#N/A</v>
          </cell>
          <cell r="N336" t="e">
            <v>#N/A</v>
          </cell>
          <cell r="P336" t="e">
            <v>#N/A</v>
          </cell>
          <cell r="Q336" t="e">
            <v>#N/A</v>
          </cell>
          <cell r="R336" t="e">
            <v>#N/A</v>
          </cell>
          <cell r="S336" t="e">
            <v>#N/A</v>
          </cell>
          <cell r="T336" t="e">
            <v>#N/A</v>
          </cell>
          <cell r="U336" t="str">
            <v/>
          </cell>
          <cell r="V336" t="str">
            <v/>
          </cell>
          <cell r="W336" t="e">
            <v>#N/A</v>
          </cell>
        </row>
        <row r="337">
          <cell r="A337" t="str">
            <v xml:space="preserve">  </v>
          </cell>
          <cell r="F337" t="e">
            <v>#N/A</v>
          </cell>
          <cell r="J337" t="e">
            <v>#N/A</v>
          </cell>
          <cell r="L337" t="e">
            <v>#N/A</v>
          </cell>
          <cell r="N337" t="e">
            <v>#N/A</v>
          </cell>
          <cell r="P337" t="e">
            <v>#N/A</v>
          </cell>
          <cell r="Q337" t="e">
            <v>#N/A</v>
          </cell>
          <cell r="R337" t="e">
            <v>#N/A</v>
          </cell>
          <cell r="S337" t="e">
            <v>#N/A</v>
          </cell>
          <cell r="T337" t="e">
            <v>#N/A</v>
          </cell>
          <cell r="U337" t="str">
            <v/>
          </cell>
          <cell r="V337" t="str">
            <v/>
          </cell>
          <cell r="W337" t="e">
            <v>#N/A</v>
          </cell>
        </row>
        <row r="338">
          <cell r="A338" t="str">
            <v xml:space="preserve">  </v>
          </cell>
          <cell r="F338" t="e">
            <v>#N/A</v>
          </cell>
          <cell r="J338" t="e">
            <v>#N/A</v>
          </cell>
          <cell r="L338" t="e">
            <v>#N/A</v>
          </cell>
          <cell r="N338" t="e">
            <v>#N/A</v>
          </cell>
          <cell r="P338" t="e">
            <v>#N/A</v>
          </cell>
          <cell r="Q338" t="e">
            <v>#N/A</v>
          </cell>
          <cell r="R338" t="e">
            <v>#N/A</v>
          </cell>
          <cell r="S338" t="e">
            <v>#N/A</v>
          </cell>
          <cell r="T338" t="e">
            <v>#N/A</v>
          </cell>
          <cell r="U338" t="str">
            <v/>
          </cell>
          <cell r="V338" t="str">
            <v/>
          </cell>
          <cell r="W338" t="e">
            <v>#N/A</v>
          </cell>
        </row>
        <row r="339">
          <cell r="A339" t="str">
            <v xml:space="preserve">  </v>
          </cell>
          <cell r="F339" t="e">
            <v>#N/A</v>
          </cell>
          <cell r="J339" t="e">
            <v>#N/A</v>
          </cell>
          <cell r="L339" t="e">
            <v>#N/A</v>
          </cell>
          <cell r="N339" t="e">
            <v>#N/A</v>
          </cell>
          <cell r="P339" t="e">
            <v>#N/A</v>
          </cell>
          <cell r="Q339" t="e">
            <v>#N/A</v>
          </cell>
          <cell r="R339" t="e">
            <v>#N/A</v>
          </cell>
          <cell r="S339" t="e">
            <v>#N/A</v>
          </cell>
          <cell r="T339" t="e">
            <v>#N/A</v>
          </cell>
          <cell r="U339" t="str">
            <v/>
          </cell>
          <cell r="V339" t="str">
            <v/>
          </cell>
          <cell r="W339" t="e">
            <v>#N/A</v>
          </cell>
        </row>
        <row r="340">
          <cell r="A340" t="str">
            <v xml:space="preserve">  </v>
          </cell>
          <cell r="F340" t="e">
            <v>#N/A</v>
          </cell>
          <cell r="J340" t="e">
            <v>#N/A</v>
          </cell>
          <cell r="L340" t="e">
            <v>#N/A</v>
          </cell>
          <cell r="N340" t="e">
            <v>#N/A</v>
          </cell>
          <cell r="P340" t="e">
            <v>#N/A</v>
          </cell>
          <cell r="Q340" t="e">
            <v>#N/A</v>
          </cell>
          <cell r="R340" t="e">
            <v>#N/A</v>
          </cell>
          <cell r="S340" t="e">
            <v>#N/A</v>
          </cell>
          <cell r="T340" t="e">
            <v>#N/A</v>
          </cell>
          <cell r="U340" t="str">
            <v/>
          </cell>
          <cell r="V340" t="str">
            <v/>
          </cell>
          <cell r="W340" t="e">
            <v>#N/A</v>
          </cell>
        </row>
        <row r="341">
          <cell r="A341" t="str">
            <v xml:space="preserve">  </v>
          </cell>
          <cell r="F341" t="e">
            <v>#N/A</v>
          </cell>
          <cell r="J341" t="e">
            <v>#N/A</v>
          </cell>
          <cell r="L341" t="e">
            <v>#N/A</v>
          </cell>
          <cell r="N341" t="e">
            <v>#N/A</v>
          </cell>
          <cell r="P341" t="e">
            <v>#N/A</v>
          </cell>
          <cell r="Q341" t="e">
            <v>#N/A</v>
          </cell>
          <cell r="R341" t="e">
            <v>#N/A</v>
          </cell>
          <cell r="S341" t="e">
            <v>#N/A</v>
          </cell>
          <cell r="T341" t="e">
            <v>#N/A</v>
          </cell>
          <cell r="U341" t="str">
            <v/>
          </cell>
          <cell r="V341" t="str">
            <v/>
          </cell>
          <cell r="W341" t="e">
            <v>#N/A</v>
          </cell>
        </row>
        <row r="342">
          <cell r="A342" t="str">
            <v xml:space="preserve">  </v>
          </cell>
          <cell r="F342" t="e">
            <v>#N/A</v>
          </cell>
          <cell r="J342" t="e">
            <v>#N/A</v>
          </cell>
          <cell r="L342" t="e">
            <v>#N/A</v>
          </cell>
          <cell r="N342" t="e">
            <v>#N/A</v>
          </cell>
          <cell r="P342" t="e">
            <v>#N/A</v>
          </cell>
          <cell r="Q342" t="e">
            <v>#N/A</v>
          </cell>
          <cell r="R342" t="e">
            <v>#N/A</v>
          </cell>
          <cell r="S342" t="e">
            <v>#N/A</v>
          </cell>
          <cell r="T342" t="e">
            <v>#N/A</v>
          </cell>
          <cell r="U342" t="str">
            <v/>
          </cell>
          <cell r="V342" t="str">
            <v/>
          </cell>
          <cell r="W342" t="e">
            <v>#N/A</v>
          </cell>
        </row>
        <row r="343">
          <cell r="A343" t="str">
            <v xml:space="preserve">  </v>
          </cell>
          <cell r="F343" t="e">
            <v>#N/A</v>
          </cell>
          <cell r="J343" t="e">
            <v>#N/A</v>
          </cell>
          <cell r="L343" t="e">
            <v>#N/A</v>
          </cell>
          <cell r="N343" t="e">
            <v>#N/A</v>
          </cell>
          <cell r="P343" t="e">
            <v>#N/A</v>
          </cell>
          <cell r="Q343" t="e">
            <v>#N/A</v>
          </cell>
          <cell r="R343" t="e">
            <v>#N/A</v>
          </cell>
          <cell r="S343" t="e">
            <v>#N/A</v>
          </cell>
          <cell r="T343" t="e">
            <v>#N/A</v>
          </cell>
          <cell r="U343" t="str">
            <v/>
          </cell>
          <cell r="V343" t="str">
            <v/>
          </cell>
          <cell r="W343" t="e">
            <v>#N/A</v>
          </cell>
        </row>
        <row r="344">
          <cell r="A344" t="str">
            <v xml:space="preserve">  </v>
          </cell>
          <cell r="F344" t="e">
            <v>#N/A</v>
          </cell>
          <cell r="J344" t="e">
            <v>#N/A</v>
          </cell>
          <cell r="L344" t="e">
            <v>#N/A</v>
          </cell>
          <cell r="N344" t="e">
            <v>#N/A</v>
          </cell>
          <cell r="P344" t="e">
            <v>#N/A</v>
          </cell>
          <cell r="Q344" t="e">
            <v>#N/A</v>
          </cell>
          <cell r="R344" t="e">
            <v>#N/A</v>
          </cell>
          <cell r="S344" t="e">
            <v>#N/A</v>
          </cell>
          <cell r="T344" t="e">
            <v>#N/A</v>
          </cell>
          <cell r="U344" t="str">
            <v/>
          </cell>
          <cell r="V344" t="str">
            <v/>
          </cell>
          <cell r="W344" t="e">
            <v>#N/A</v>
          </cell>
        </row>
        <row r="345">
          <cell r="A345" t="str">
            <v xml:space="preserve">  </v>
          </cell>
          <cell r="F345" t="e">
            <v>#N/A</v>
          </cell>
          <cell r="J345" t="e">
            <v>#N/A</v>
          </cell>
          <cell r="L345" t="e">
            <v>#N/A</v>
          </cell>
          <cell r="N345" t="e">
            <v>#N/A</v>
          </cell>
          <cell r="P345" t="e">
            <v>#N/A</v>
          </cell>
          <cell r="Q345" t="e">
            <v>#N/A</v>
          </cell>
          <cell r="R345" t="e">
            <v>#N/A</v>
          </cell>
          <cell r="S345" t="e">
            <v>#N/A</v>
          </cell>
          <cell r="T345" t="e">
            <v>#N/A</v>
          </cell>
          <cell r="U345" t="str">
            <v/>
          </cell>
          <cell r="V345" t="str">
            <v/>
          </cell>
          <cell r="W345" t="e">
            <v>#N/A</v>
          </cell>
        </row>
        <row r="346">
          <cell r="A346" t="str">
            <v xml:space="preserve">  </v>
          </cell>
          <cell r="F346" t="e">
            <v>#N/A</v>
          </cell>
          <cell r="J346" t="e">
            <v>#N/A</v>
          </cell>
          <cell r="L346" t="e">
            <v>#N/A</v>
          </cell>
          <cell r="N346" t="e">
            <v>#N/A</v>
          </cell>
          <cell r="P346" t="e">
            <v>#N/A</v>
          </cell>
          <cell r="Q346" t="e">
            <v>#N/A</v>
          </cell>
          <cell r="R346" t="e">
            <v>#N/A</v>
          </cell>
          <cell r="S346" t="e">
            <v>#N/A</v>
          </cell>
          <cell r="T346" t="e">
            <v>#N/A</v>
          </cell>
          <cell r="U346" t="str">
            <v/>
          </cell>
          <cell r="V346" t="str">
            <v/>
          </cell>
          <cell r="W346" t="e">
            <v>#N/A</v>
          </cell>
        </row>
        <row r="347">
          <cell r="A347" t="str">
            <v xml:space="preserve">  </v>
          </cell>
          <cell r="F347" t="e">
            <v>#N/A</v>
          </cell>
          <cell r="J347" t="e">
            <v>#N/A</v>
          </cell>
          <cell r="L347" t="e">
            <v>#N/A</v>
          </cell>
          <cell r="N347" t="e">
            <v>#N/A</v>
          </cell>
          <cell r="P347" t="e">
            <v>#N/A</v>
          </cell>
          <cell r="Q347" t="e">
            <v>#N/A</v>
          </cell>
          <cell r="R347" t="e">
            <v>#N/A</v>
          </cell>
          <cell r="S347" t="e">
            <v>#N/A</v>
          </cell>
          <cell r="T347" t="e">
            <v>#N/A</v>
          </cell>
          <cell r="U347" t="str">
            <v/>
          </cell>
          <cell r="V347" t="str">
            <v/>
          </cell>
          <cell r="W347" t="e">
            <v>#N/A</v>
          </cell>
        </row>
        <row r="348">
          <cell r="A348" t="str">
            <v xml:space="preserve">  </v>
          </cell>
          <cell r="F348" t="e">
            <v>#N/A</v>
          </cell>
          <cell r="J348" t="e">
            <v>#N/A</v>
          </cell>
          <cell r="L348" t="e">
            <v>#N/A</v>
          </cell>
          <cell r="N348" t="e">
            <v>#N/A</v>
          </cell>
          <cell r="P348" t="e">
            <v>#N/A</v>
          </cell>
          <cell r="Q348" t="e">
            <v>#N/A</v>
          </cell>
          <cell r="R348" t="e">
            <v>#N/A</v>
          </cell>
          <cell r="S348" t="e">
            <v>#N/A</v>
          </cell>
          <cell r="T348" t="e">
            <v>#N/A</v>
          </cell>
          <cell r="U348" t="str">
            <v/>
          </cell>
          <cell r="V348" t="str">
            <v/>
          </cell>
          <cell r="W348" t="e">
            <v>#N/A</v>
          </cell>
        </row>
        <row r="349">
          <cell r="A349" t="str">
            <v xml:space="preserve">  </v>
          </cell>
          <cell r="F349" t="e">
            <v>#N/A</v>
          </cell>
          <cell r="J349" t="e">
            <v>#N/A</v>
          </cell>
          <cell r="L349" t="e">
            <v>#N/A</v>
          </cell>
          <cell r="N349" t="e">
            <v>#N/A</v>
          </cell>
          <cell r="P349" t="e">
            <v>#N/A</v>
          </cell>
          <cell r="Q349" t="e">
            <v>#N/A</v>
          </cell>
          <cell r="R349" t="e">
            <v>#N/A</v>
          </cell>
          <cell r="S349" t="e">
            <v>#N/A</v>
          </cell>
          <cell r="T349" t="e">
            <v>#N/A</v>
          </cell>
          <cell r="U349" t="str">
            <v/>
          </cell>
          <cell r="V349" t="str">
            <v/>
          </cell>
          <cell r="W349" t="e">
            <v>#N/A</v>
          </cell>
        </row>
        <row r="350">
          <cell r="A350" t="str">
            <v xml:space="preserve">  </v>
          </cell>
          <cell r="F350" t="e">
            <v>#N/A</v>
          </cell>
          <cell r="J350" t="e">
            <v>#N/A</v>
          </cell>
          <cell r="L350" t="e">
            <v>#N/A</v>
          </cell>
          <cell r="N350" t="e">
            <v>#N/A</v>
          </cell>
          <cell r="P350" t="e">
            <v>#N/A</v>
          </cell>
          <cell r="Q350" t="e">
            <v>#N/A</v>
          </cell>
          <cell r="R350" t="e">
            <v>#N/A</v>
          </cell>
          <cell r="S350" t="e">
            <v>#N/A</v>
          </cell>
          <cell r="T350" t="e">
            <v>#N/A</v>
          </cell>
          <cell r="U350" t="str">
            <v/>
          </cell>
          <cell r="V350" t="str">
            <v/>
          </cell>
          <cell r="W350" t="e">
            <v>#N/A</v>
          </cell>
        </row>
        <row r="351">
          <cell r="A351" t="str">
            <v xml:space="preserve">  </v>
          </cell>
          <cell r="F351" t="e">
            <v>#N/A</v>
          </cell>
          <cell r="J351" t="e">
            <v>#N/A</v>
          </cell>
          <cell r="L351" t="e">
            <v>#N/A</v>
          </cell>
          <cell r="V351" t="str">
            <v/>
          </cell>
          <cell r="W351" t="e">
            <v>#N/A</v>
          </cell>
        </row>
        <row r="352">
          <cell r="A352" t="str">
            <v xml:space="preserve">  </v>
          </cell>
          <cell r="F352" t="e">
            <v>#N/A</v>
          </cell>
          <cell r="J352" t="e">
            <v>#N/A</v>
          </cell>
          <cell r="L352" t="e">
            <v>#N/A</v>
          </cell>
          <cell r="V352" t="str">
            <v/>
          </cell>
          <cell r="W352" t="e">
            <v>#N/A</v>
          </cell>
        </row>
        <row r="353">
          <cell r="A353" t="str">
            <v xml:space="preserve">  </v>
          </cell>
          <cell r="F353" t="e">
            <v>#N/A</v>
          </cell>
          <cell r="J353" t="e">
            <v>#N/A</v>
          </cell>
          <cell r="L353" t="e">
            <v>#N/A</v>
          </cell>
          <cell r="V353" t="str">
            <v/>
          </cell>
          <cell r="W353" t="e">
            <v>#N/A</v>
          </cell>
        </row>
        <row r="354">
          <cell r="A354" t="str">
            <v xml:space="preserve">  </v>
          </cell>
          <cell r="F354" t="e">
            <v>#N/A</v>
          </cell>
          <cell r="J354" t="e">
            <v>#N/A</v>
          </cell>
          <cell r="L354" t="e">
            <v>#N/A</v>
          </cell>
          <cell r="V354" t="str">
            <v/>
          </cell>
          <cell r="W354" t="e">
            <v>#N/A</v>
          </cell>
        </row>
        <row r="355">
          <cell r="A355" t="str">
            <v xml:space="preserve">  </v>
          </cell>
          <cell r="F355" t="e">
            <v>#N/A</v>
          </cell>
          <cell r="J355" t="e">
            <v>#N/A</v>
          </cell>
          <cell r="L355" t="e">
            <v>#N/A</v>
          </cell>
          <cell r="V355" t="str">
            <v/>
          </cell>
          <cell r="W355" t="e">
            <v>#N/A</v>
          </cell>
        </row>
        <row r="356">
          <cell r="A356" t="str">
            <v xml:space="preserve">  </v>
          </cell>
          <cell r="F356" t="e">
            <v>#N/A</v>
          </cell>
          <cell r="J356" t="e">
            <v>#N/A</v>
          </cell>
          <cell r="L356" t="e">
            <v>#N/A</v>
          </cell>
          <cell r="V356" t="str">
            <v/>
          </cell>
          <cell r="W356" t="e">
            <v>#N/A</v>
          </cell>
        </row>
        <row r="357">
          <cell r="A357" t="str">
            <v xml:space="preserve">  </v>
          </cell>
          <cell r="F357" t="e">
            <v>#N/A</v>
          </cell>
          <cell r="J357" t="e">
            <v>#N/A</v>
          </cell>
          <cell r="L357" t="e">
            <v>#N/A</v>
          </cell>
          <cell r="V357" t="str">
            <v/>
          </cell>
          <cell r="W357" t="e">
            <v>#N/A</v>
          </cell>
        </row>
        <row r="358">
          <cell r="A358" t="str">
            <v xml:space="preserve">  </v>
          </cell>
          <cell r="F358" t="e">
            <v>#N/A</v>
          </cell>
          <cell r="J358" t="e">
            <v>#N/A</v>
          </cell>
          <cell r="L358" t="e">
            <v>#N/A</v>
          </cell>
          <cell r="V358" t="str">
            <v/>
          </cell>
          <cell r="W358" t="e">
            <v>#N/A</v>
          </cell>
        </row>
        <row r="359">
          <cell r="A359" t="str">
            <v xml:space="preserve">  </v>
          </cell>
          <cell r="F359" t="e">
            <v>#N/A</v>
          </cell>
          <cell r="J359" t="e">
            <v>#N/A</v>
          </cell>
          <cell r="L359" t="e">
            <v>#N/A</v>
          </cell>
          <cell r="V359" t="str">
            <v/>
          </cell>
          <cell r="W359" t="e">
            <v>#N/A</v>
          </cell>
        </row>
        <row r="360">
          <cell r="A360" t="str">
            <v xml:space="preserve">  </v>
          </cell>
          <cell r="F360" t="e">
            <v>#N/A</v>
          </cell>
          <cell r="J360" t="e">
            <v>#N/A</v>
          </cell>
          <cell r="L360" t="e">
            <v>#N/A</v>
          </cell>
          <cell r="V360" t="str">
            <v/>
          </cell>
          <cell r="W360" t="e">
            <v>#N/A</v>
          </cell>
        </row>
        <row r="361">
          <cell r="A361" t="str">
            <v xml:space="preserve">  </v>
          </cell>
          <cell r="F361" t="e">
            <v>#N/A</v>
          </cell>
          <cell r="J361" t="e">
            <v>#N/A</v>
          </cell>
          <cell r="L361" t="e">
            <v>#N/A</v>
          </cell>
          <cell r="V361" t="str">
            <v/>
          </cell>
          <cell r="W361" t="e">
            <v>#N/A</v>
          </cell>
        </row>
        <row r="362">
          <cell r="A362" t="str">
            <v xml:space="preserve">  </v>
          </cell>
          <cell r="F362" t="e">
            <v>#N/A</v>
          </cell>
          <cell r="J362" t="e">
            <v>#N/A</v>
          </cell>
          <cell r="L362" t="e">
            <v>#N/A</v>
          </cell>
          <cell r="V362" t="str">
            <v/>
          </cell>
          <cell r="W362" t="e">
            <v>#N/A</v>
          </cell>
        </row>
        <row r="363">
          <cell r="A363" t="str">
            <v xml:space="preserve">  </v>
          </cell>
          <cell r="F363" t="e">
            <v>#N/A</v>
          </cell>
          <cell r="J363" t="e">
            <v>#N/A</v>
          </cell>
          <cell r="L363" t="e">
            <v>#N/A</v>
          </cell>
          <cell r="V363" t="str">
            <v/>
          </cell>
          <cell r="W363" t="e">
            <v>#N/A</v>
          </cell>
        </row>
        <row r="364">
          <cell r="A364" t="str">
            <v xml:space="preserve">  </v>
          </cell>
          <cell r="F364" t="e">
            <v>#N/A</v>
          </cell>
          <cell r="J364" t="e">
            <v>#N/A</v>
          </cell>
          <cell r="L364" t="e">
            <v>#N/A</v>
          </cell>
          <cell r="V364" t="str">
            <v/>
          </cell>
          <cell r="W364" t="e">
            <v>#N/A</v>
          </cell>
        </row>
        <row r="365">
          <cell r="A365" t="str">
            <v xml:space="preserve">  </v>
          </cell>
          <cell r="F365" t="e">
            <v>#N/A</v>
          </cell>
          <cell r="J365" t="e">
            <v>#N/A</v>
          </cell>
          <cell r="L365" t="e">
            <v>#N/A</v>
          </cell>
          <cell r="V365" t="str">
            <v/>
          </cell>
          <cell r="W365" t="e">
            <v>#N/A</v>
          </cell>
        </row>
      </sheetData>
      <sheetData sheetId="3">
        <row r="10">
          <cell r="C10">
            <v>9.9999999999999997E+98</v>
          </cell>
          <cell r="D10">
            <v>52</v>
          </cell>
          <cell r="E10">
            <v>46</v>
          </cell>
          <cell r="F10">
            <v>42</v>
          </cell>
          <cell r="G10">
            <v>9.9999999999999997E+98</v>
          </cell>
          <cell r="H10">
            <v>32</v>
          </cell>
          <cell r="I10">
            <v>28</v>
          </cell>
          <cell r="J10">
            <v>22</v>
          </cell>
          <cell r="K10">
            <v>9.9999999999999997E+98</v>
          </cell>
          <cell r="L10">
            <v>12</v>
          </cell>
          <cell r="M10">
            <v>10</v>
          </cell>
          <cell r="N10">
            <v>8</v>
          </cell>
          <cell r="O10">
            <v>9.9999999999999997E+98</v>
          </cell>
          <cell r="P10">
            <v>3000</v>
          </cell>
          <cell r="Q10">
            <v>2800</v>
          </cell>
          <cell r="R10">
            <v>2600</v>
          </cell>
          <cell r="S10">
            <v>0</v>
          </cell>
          <cell r="T10">
            <v>420</v>
          </cell>
          <cell r="U10">
            <v>520</v>
          </cell>
          <cell r="V10">
            <v>600</v>
          </cell>
        </row>
        <row r="11">
          <cell r="C11">
            <v>9.9999999999999997E+98</v>
          </cell>
          <cell r="D11">
            <v>51</v>
          </cell>
          <cell r="E11">
            <v>45</v>
          </cell>
          <cell r="F11">
            <v>39</v>
          </cell>
          <cell r="G11">
            <v>9.9999999999999997E+98</v>
          </cell>
          <cell r="H11">
            <v>30</v>
          </cell>
          <cell r="I11">
            <v>27</v>
          </cell>
          <cell r="J11">
            <v>22</v>
          </cell>
          <cell r="K11">
            <v>9.9999999999999997E+98</v>
          </cell>
          <cell r="L11">
            <v>11</v>
          </cell>
          <cell r="M11">
            <v>9</v>
          </cell>
          <cell r="N11">
            <v>7</v>
          </cell>
          <cell r="O11">
            <v>9.9999999999999997E+98</v>
          </cell>
          <cell r="P11">
            <v>2950</v>
          </cell>
          <cell r="Q11">
            <v>2700</v>
          </cell>
          <cell r="R11">
            <v>2500</v>
          </cell>
          <cell r="S11">
            <v>0</v>
          </cell>
          <cell r="T11">
            <v>430</v>
          </cell>
          <cell r="U11">
            <v>530</v>
          </cell>
          <cell r="V11">
            <v>620</v>
          </cell>
        </row>
        <row r="12">
          <cell r="C12">
            <v>9.9999999999999997E+98</v>
          </cell>
          <cell r="D12">
            <v>44</v>
          </cell>
          <cell r="E12">
            <v>40</v>
          </cell>
          <cell r="F12">
            <v>34</v>
          </cell>
          <cell r="G12">
            <v>9.9999999999999997E+98</v>
          </cell>
          <cell r="H12">
            <v>27</v>
          </cell>
          <cell r="I12">
            <v>24</v>
          </cell>
          <cell r="J12">
            <v>19</v>
          </cell>
          <cell r="K12">
            <v>9.9999999999999997E+98</v>
          </cell>
          <cell r="L12">
            <v>10</v>
          </cell>
          <cell r="M12">
            <v>8</v>
          </cell>
          <cell r="N12">
            <v>6</v>
          </cell>
          <cell r="O12">
            <v>9.9999999999999997E+98</v>
          </cell>
          <cell r="P12">
            <v>2850</v>
          </cell>
          <cell r="Q12">
            <v>2600</v>
          </cell>
          <cell r="R12">
            <v>2400</v>
          </cell>
          <cell r="S12">
            <v>0</v>
          </cell>
          <cell r="T12">
            <v>440</v>
          </cell>
          <cell r="U12">
            <v>550</v>
          </cell>
          <cell r="V12">
            <v>640</v>
          </cell>
        </row>
        <row r="13">
          <cell r="C13">
            <v>9.9999999999999997E+98</v>
          </cell>
          <cell r="D13">
            <v>41</v>
          </cell>
          <cell r="E13">
            <v>39</v>
          </cell>
          <cell r="F13">
            <v>32</v>
          </cell>
          <cell r="G13">
            <v>9.9999999999999997E+98</v>
          </cell>
          <cell r="H13">
            <v>25</v>
          </cell>
          <cell r="I13">
            <v>22</v>
          </cell>
          <cell r="J13">
            <v>16</v>
          </cell>
          <cell r="K13">
            <v>9.9999999999999997E+98</v>
          </cell>
          <cell r="L13">
            <v>9</v>
          </cell>
          <cell r="M13">
            <v>7</v>
          </cell>
          <cell r="N13">
            <v>5</v>
          </cell>
          <cell r="O13">
            <v>9.9999999999999997E+98</v>
          </cell>
          <cell r="P13">
            <v>2750</v>
          </cell>
          <cell r="Q13">
            <v>2500</v>
          </cell>
          <cell r="R13">
            <v>2200</v>
          </cell>
          <cell r="S13">
            <v>0</v>
          </cell>
          <cell r="T13">
            <v>455</v>
          </cell>
          <cell r="U13">
            <v>610</v>
          </cell>
          <cell r="V13">
            <v>720</v>
          </cell>
        </row>
        <row r="14">
          <cell r="C14">
            <v>9.9999999999999997E+98</v>
          </cell>
          <cell r="D14">
            <v>38</v>
          </cell>
          <cell r="E14">
            <v>34</v>
          </cell>
          <cell r="F14">
            <v>29</v>
          </cell>
          <cell r="G14">
            <v>9.9999999999999997E+98</v>
          </cell>
          <cell r="H14">
            <v>23</v>
          </cell>
          <cell r="I14">
            <v>19</v>
          </cell>
          <cell r="J14">
            <v>13</v>
          </cell>
          <cell r="K14">
            <v>9.9999999999999997E+98</v>
          </cell>
          <cell r="L14">
            <v>8</v>
          </cell>
          <cell r="M14">
            <v>6</v>
          </cell>
          <cell r="N14">
            <v>4</v>
          </cell>
          <cell r="O14">
            <v>9.9999999999999997E+98</v>
          </cell>
          <cell r="P14">
            <v>2650</v>
          </cell>
          <cell r="Q14">
            <v>2300</v>
          </cell>
          <cell r="R14">
            <v>2000</v>
          </cell>
          <cell r="S14">
            <v>0</v>
          </cell>
          <cell r="T14">
            <v>510</v>
          </cell>
          <cell r="U14">
            <v>630</v>
          </cell>
          <cell r="V14">
            <v>750</v>
          </cell>
        </row>
        <row r="15">
          <cell r="O15">
            <v>9.9999999999999997E+98</v>
          </cell>
          <cell r="P15">
            <v>2400</v>
          </cell>
          <cell r="Q15">
            <v>2100</v>
          </cell>
          <cell r="R15">
            <v>1800</v>
          </cell>
          <cell r="S15">
            <v>0</v>
          </cell>
          <cell r="T15">
            <v>520</v>
          </cell>
          <cell r="U15">
            <v>650</v>
          </cell>
          <cell r="V15">
            <v>900</v>
          </cell>
        </row>
        <row r="19">
          <cell r="Y19">
            <v>3000</v>
          </cell>
        </row>
        <row r="20">
          <cell r="Y20">
            <v>1996</v>
          </cell>
        </row>
        <row r="21">
          <cell r="Y21">
            <v>1991</v>
          </cell>
        </row>
        <row r="22">
          <cell r="Y22">
            <v>1986</v>
          </cell>
        </row>
        <row r="23">
          <cell r="Y23">
            <v>1981</v>
          </cell>
        </row>
        <row r="24">
          <cell r="Y24">
            <v>1976</v>
          </cell>
        </row>
        <row r="25">
          <cell r="C25">
            <v>9.9999999999999997E+98</v>
          </cell>
          <cell r="D25">
            <v>45</v>
          </cell>
          <cell r="E25">
            <v>40</v>
          </cell>
          <cell r="F25">
            <v>35</v>
          </cell>
          <cell r="G25">
            <v>9.9999999999999997E+98</v>
          </cell>
          <cell r="H25">
            <v>50</v>
          </cell>
          <cell r="I25">
            <v>30</v>
          </cell>
          <cell r="J25">
            <v>10</v>
          </cell>
          <cell r="K25">
            <v>9.9999999999999997E+98</v>
          </cell>
          <cell r="L25">
            <v>2550</v>
          </cell>
          <cell r="M25">
            <v>2300</v>
          </cell>
          <cell r="N25">
            <v>2100</v>
          </cell>
          <cell r="O25">
            <v>0</v>
          </cell>
          <cell r="P25">
            <v>450</v>
          </cell>
          <cell r="Q25">
            <v>550</v>
          </cell>
          <cell r="R25">
            <v>620</v>
          </cell>
          <cell r="Y25">
            <v>1936</v>
          </cell>
        </row>
        <row r="26">
          <cell r="C26">
            <v>9.9999999999999997E+98</v>
          </cell>
          <cell r="D26">
            <v>40</v>
          </cell>
          <cell r="E26">
            <v>33</v>
          </cell>
          <cell r="F26">
            <v>28</v>
          </cell>
          <cell r="G26">
            <v>9.9999999999999997E+98</v>
          </cell>
          <cell r="H26">
            <v>46</v>
          </cell>
          <cell r="I26">
            <v>28</v>
          </cell>
          <cell r="J26">
            <v>10</v>
          </cell>
          <cell r="K26">
            <v>9.9999999999999997E+98</v>
          </cell>
          <cell r="L26">
            <v>2400</v>
          </cell>
          <cell r="M26">
            <v>2200</v>
          </cell>
          <cell r="N26">
            <v>2000</v>
          </cell>
          <cell r="O26">
            <v>0</v>
          </cell>
          <cell r="P26">
            <v>510</v>
          </cell>
          <cell r="Q26">
            <v>610</v>
          </cell>
          <cell r="R26">
            <v>640</v>
          </cell>
        </row>
        <row r="27">
          <cell r="C27">
            <v>9.9999999999999997E+98</v>
          </cell>
          <cell r="D27">
            <v>35</v>
          </cell>
          <cell r="E27">
            <v>30</v>
          </cell>
          <cell r="F27">
            <v>26</v>
          </cell>
          <cell r="G27">
            <v>9.9999999999999997E+98</v>
          </cell>
          <cell r="H27">
            <v>34</v>
          </cell>
          <cell r="I27">
            <v>22</v>
          </cell>
          <cell r="J27">
            <v>8</v>
          </cell>
          <cell r="K27">
            <v>9.9999999999999997E+98</v>
          </cell>
          <cell r="L27">
            <v>2300</v>
          </cell>
          <cell r="M27">
            <v>2100</v>
          </cell>
          <cell r="N27">
            <v>1900</v>
          </cell>
          <cell r="O27">
            <v>0</v>
          </cell>
          <cell r="P27">
            <v>520</v>
          </cell>
          <cell r="Q27">
            <v>650</v>
          </cell>
          <cell r="R27">
            <v>720</v>
          </cell>
          <cell r="Y27">
            <v>3000</v>
          </cell>
        </row>
        <row r="28">
          <cell r="C28">
            <v>9.9999999999999997E+98</v>
          </cell>
          <cell r="D28">
            <v>30</v>
          </cell>
          <cell r="E28">
            <v>25</v>
          </cell>
          <cell r="F28">
            <v>23</v>
          </cell>
          <cell r="G28">
            <v>9.9999999999999997E+98</v>
          </cell>
          <cell r="H28">
            <v>20</v>
          </cell>
          <cell r="I28">
            <v>14</v>
          </cell>
          <cell r="J28">
            <v>7</v>
          </cell>
          <cell r="K28">
            <v>9.9999999999999997E+98</v>
          </cell>
          <cell r="L28">
            <v>2200</v>
          </cell>
          <cell r="M28">
            <v>2000</v>
          </cell>
          <cell r="N28">
            <v>1800</v>
          </cell>
          <cell r="O28">
            <v>0</v>
          </cell>
          <cell r="P28">
            <v>540</v>
          </cell>
          <cell r="Q28">
            <v>720</v>
          </cell>
          <cell r="R28">
            <v>800</v>
          </cell>
          <cell r="Y28">
            <v>2001</v>
          </cell>
        </row>
        <row r="29">
          <cell r="C29">
            <v>9.9999999999999997E+98</v>
          </cell>
          <cell r="D29">
            <v>25</v>
          </cell>
          <cell r="E29">
            <v>22</v>
          </cell>
          <cell r="F29">
            <v>20</v>
          </cell>
          <cell r="G29">
            <v>9.9999999999999997E+98</v>
          </cell>
          <cell r="H29">
            <v>18</v>
          </cell>
          <cell r="I29">
            <v>10</v>
          </cell>
          <cell r="J29">
            <v>5</v>
          </cell>
          <cell r="K29">
            <v>9.9999999999999997E+98</v>
          </cell>
          <cell r="L29">
            <v>2100</v>
          </cell>
          <cell r="M29">
            <v>1900</v>
          </cell>
          <cell r="N29">
            <v>1600</v>
          </cell>
          <cell r="O29">
            <v>0</v>
          </cell>
          <cell r="P29">
            <v>610</v>
          </cell>
          <cell r="Q29">
            <v>740</v>
          </cell>
          <cell r="R29">
            <v>850</v>
          </cell>
          <cell r="Y29">
            <v>1996</v>
          </cell>
        </row>
        <row r="30">
          <cell r="K30">
            <v>9.9999999999999997E+98</v>
          </cell>
          <cell r="L30">
            <v>1900</v>
          </cell>
          <cell r="M30">
            <v>1800</v>
          </cell>
          <cell r="N30">
            <v>1500</v>
          </cell>
          <cell r="O30">
            <v>0</v>
          </cell>
          <cell r="P30">
            <v>635</v>
          </cell>
          <cell r="Q30">
            <v>810</v>
          </cell>
          <cell r="R30">
            <v>940</v>
          </cell>
          <cell r="Y30">
            <v>1991</v>
          </cell>
        </row>
        <row r="31">
          <cell r="Y31">
            <v>1986</v>
          </cell>
        </row>
        <row r="32">
          <cell r="Y32">
            <v>1981</v>
          </cell>
        </row>
        <row r="33">
          <cell r="Y33">
            <v>1936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D3C39-3FDE-4E9A-AB4E-E35F908727E3}">
  <dimension ref="A1:AA363"/>
  <sheetViews>
    <sheetView tabSelected="1" topLeftCell="I1" workbookViewId="0">
      <selection sqref="A1:AA1"/>
    </sheetView>
  </sheetViews>
  <sheetFormatPr defaultRowHeight="14.5" x14ac:dyDescent="0.35"/>
  <sheetData>
    <row r="1" spans="1:27" ht="43.5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8" t="s">
        <v>19</v>
      </c>
      <c r="U1" s="7" t="s">
        <v>20</v>
      </c>
      <c r="V1" s="9" t="s">
        <v>21</v>
      </c>
      <c r="W1" s="8" t="s">
        <v>22</v>
      </c>
      <c r="X1" s="10" t="s">
        <v>23</v>
      </c>
      <c r="Y1" s="11" t="s">
        <v>24</v>
      </c>
      <c r="Z1" s="12" t="str">
        <f>IF(COUNTIF(Z2:Z9824,"*&lt;*")+COUNTIF(Z2:Z9824,"*muž?")+COUNTIF(Z2:Z9824,"*žena?")+COUNTIF(Z2:Z9824,"doplň*")=0,"OK",CONCATENATE("Evidence obsahuje ",IF(COUNTIF(Z2:Z9824,"*&lt;*")+COUNTIF(Z2:Z9824,"doplň*")&gt;0,CONCATENATE(COUNTIF(Z2:Z9824,"*&lt;*")+COUNTIF(Z2:Z9824,"doplň*"),IF(COUNTIF(Z2:Z9824,"*&lt;*")+COUNTIF(Z2:Z9824,"doplň*")=1," chybu",IF(COUNTIF(Z2:Z9824,"*&lt;*")+COUNTIF(Z2:Z9824,"doplň*")&lt;5," chyby"," chyb"))),""),IF(COUNTIF(Z2:Z9824,"*muž?")+COUNTIF(Z2:Z9824,"*žena?")=0,"",CONCATENATE(IF(COUNTIF(Z2:Z9824,"*&lt;*")+COUNTIF(Z2:Z9824,"doplň*")=0,""," a "),COUNTIF(Z2:Z9824,"*muž?")+COUNTIF(Z2:Z9824,"*žena?"),IF(COUNTIF(Z2:Z9824,"*muž?")+COUNTIF(Z2:Z9824,"*žena?")=1," dotaz",IF(COUNTIF(Z2:Z9824,"*muž?")+COUNTIF(Z2:Z9824,"*žena?")&lt;5," dotazy"," dotazů"))))))</f>
        <v>OK</v>
      </c>
      <c r="AA1" s="13" t="s">
        <v>25</v>
      </c>
    </row>
    <row r="2" spans="1:27" ht="16" x14ac:dyDescent="0.35">
      <c r="A2" s="14" t="str">
        <f t="shared" ref="A2:A65" si="0">CONCATENATE(B2," ",UPPER(D2)," ",C2)</f>
        <v xml:space="preserve">  </v>
      </c>
      <c r="B2" s="15"/>
      <c r="C2" s="16"/>
      <c r="D2" s="16"/>
      <c r="E2" s="17"/>
      <c r="F2" s="18"/>
      <c r="G2" s="19"/>
      <c r="H2" s="20" t="str">
        <f>IF(G2="","",IF(F2="žena",ROMAN(MATCH(G2+1,'[1]Normy VP'!$Y$27:$Y$33,-1)),ROMAN(MATCH(G2+1,'[1]Normy VP'!$Y$19:$Y$25,-1))))</f>
        <v/>
      </c>
      <c r="I2" s="21"/>
      <c r="J2" s="22"/>
      <c r="K2" s="23"/>
      <c r="L2" s="23"/>
      <c r="M2" s="23"/>
      <c r="N2" s="22"/>
      <c r="O2" s="22"/>
      <c r="P2" s="24" t="str">
        <f>IF(OR($J2="",$J2="odešel"),IF(K2="","",IF($F2="žena",CHOOSE(_xlfn.ARABIC($H2),MATCH(K2+1,'[1]Normy VP'!$C$25:$F$25,-1),MATCH(K2+1,'[1]Normy VP'!$C$26:$F$26,-1),MATCH(K2+1,'[1]Normy VP'!$C$27:$F$27,-1),MATCH(K2+1,'[1]Normy VP'!$C$28:$F$28,-1),MATCH(K2+1,'[1]Normy VP'!$C$29:$F$29,-1),"muž"),CHOOSE(_xlfn.ARABIC($H2),MATCH(K2+1,'[1]Normy VP'!$C$10:$F$10,-1),MATCH(K2+1,'[1]Normy VP'!$C$11:$F$11,-1),MATCH(K2+1,'[1]Normy VP'!$C$12:$F$12,-1),MATCH(K2+1,'[1]Normy VP'!$C$13:$F$13,-1),MATCH(K2+1,'[1]Normy VP'!$C$14:$F$14,-1),""))),"O")</f>
        <v/>
      </c>
      <c r="Q2" s="24" t="str">
        <f>IF(OR($J2="",$J2="odešel"),IF($F2="žena","",IF(L2="","",(CHOOSE(_xlfn.ARABIC($H2),MATCH(L2+1,'[1]Normy VP'!$G$10:$J$10,-1),MATCH(L2+1,'[1]Normy VP'!$G$11:$J$11,-1),MATCH(L2+1,'[1]Normy VP'!$G$12:$J$12,-1),MATCH(L2+1,'[1]Normy VP'!$G$13:$J$13,-1),MATCH(L2+1,'[1]Normy VP'!$G$14:$J$14,-1),"")))),"O")</f>
        <v/>
      </c>
      <c r="R2" s="25" t="str">
        <f t="shared" ref="R2:R65" si="1">IF(F2="žena",IF(P2="","N",P2),IF(AND(P2="",Q2=""),"N",IF(OR(P2="",Q2=""),4,MAX(P2,Q2))))</f>
        <v>N</v>
      </c>
      <c r="S2" s="24" t="str">
        <f>IF(OR($J2="",$J2="odešel"),IF(M2="","N",IF($F2="žena",CHOOSE(_xlfn.ARABIC($H2),MATCH(M2+1,'[1]Normy VP'!$G$25:$J$25,-1),MATCH(M2+1,'[1]Normy VP'!$G$26:$J$26,-1),MATCH(M2+1,'[1]Normy VP'!$G$27:$J$27,-1),MATCH(M2+1,'[1]Normy VP'!$G$28:$J$28,-1),MATCH(M2+1,'[1]Normy VP'!$G$29:$J$29,-1),"muž"),(CHOOSE(_xlfn.ARABIC($H2),MATCH(M2+1,'[1]Normy VP'!$K$10:$N$10,-1),MATCH(M2+1,'[1]Normy VP'!$K$11:$N$11,-1),MATCH(M2+1,'[1]Normy VP'!$K$12:$N$12,-1),MATCH(M2+1,'[1]Normy VP'!$K$13:$N$13,-1),MATCH(M2+1,'[1]Normy VP'!$K$14:$N$14,-1),"")))),"O")</f>
        <v>N</v>
      </c>
      <c r="T2" s="25" t="str">
        <f t="shared" ref="T2:T65" si="2">IF(_xlfn.ARABIC(H2)=6,W2,IF(AND(R2="N",S2="N"),"N",MIN(R2,S2)))</f>
        <v>N</v>
      </c>
      <c r="U2" s="24" t="str">
        <f>IF(OR($J2="",$J2="odešel"),IF(N2="","N",IF($F2="žena",CHOOSE(_xlfn.ARABIC($H2),MATCH(N2+1,'[1]Normy VP'!$K$25:$N$25,-1),MATCH(N2+1,'[1]Normy VP'!$K$26:$N$26,-1),MATCH(N2+1,'[1]Normy VP'!$K$27:$N$27,-1),MATCH(N2+1,'[1]Normy VP'!$K$28:$N$28,-1),MATCH(N2+1,'[1]Normy VP'!$K$29:$N$29,-1),MATCH(N2+1,'[1]Normy VP'!$K$30:$N$30,-1)),CHOOSE(_xlfn.ARABIC($H2),MATCH(N2+1,'[1]Normy VP'!$O$10:$R$10,-1),MATCH(N2+1,'[1]Normy VP'!$O$11:$R$11,-1),MATCH(N2+1,'[1]Normy VP'!$O$12:$R$12,-1),MATCH(N2+1,'[1]Normy VP'!$O$13:$R$13,-1),MATCH(N2+1,'[1]Normy VP'!$O$14:$R$14,-1),MATCH(N2+1,'[1]Normy VP'!$O$15:$R$15,-1)))),"O")</f>
        <v>N</v>
      </c>
      <c r="V2" s="26" t="str">
        <f>IF(OR($J2="",$J2="odešel"),IF(O2="","N",IF($F2="žena",CHOOSE(_xlfn.ARABIC($H2),MATCH(O2-1,'[1]Normy VP'!$O$25:$R$25),MATCH(O2-1,'[1]Normy VP'!$O$26:$R$26),MATCH(O2-1,'[1]Normy VP'!$O$27:$R$27),MATCH(O2-1,'[1]Normy VP'!$O$28:$R$28),MATCH(O2-1,'[1]Normy VP'!$O$29:$R$29),MATCH(O2-1,'[1]Normy VP'!$O$30:$R$30)),CHOOSE(_xlfn.ARABIC($H2),MATCH(O2-1,'[1]Normy VP'!$S$10:$V$10),MATCH(O2-1,'[1]Normy VP'!$S$11:$V$11),MATCH(O2-1,'[1]Normy VP'!$S$12:$V$12),MATCH(O2-1,'[1]Normy VP'!$S$13:$V$13),MATCH(O2-1,'[1]Normy VP'!$S$14:$V$14),MATCH(O2-1,'[1]Normy VP'!$S$15:$V$15)))),"O")</f>
        <v>N</v>
      </c>
      <c r="W2" s="25" t="str">
        <f t="shared" ref="W2:W65" si="3">IF(AND(U2="N",V2="N"),"N",MIN(U2,V2))</f>
        <v>N</v>
      </c>
      <c r="X2" s="27" t="str">
        <f>IF(COUNTIF(B2:G2,"")&gt;0,"",IF(COUNTIF([1]PP!$A:$A,A2)=0,"neni v PP",IF(OR(Y2="odešel",VLOOKUP(A2,[1]PP!$A:$W,22,FALSE)="odešel"),"odešel",IF(OR(Y2="N",VLOOKUP(A2,[1]PP!$A:$W,22,FALSE)="N"),"N",IF(OR(Y2="C",VLOOKUP(A2,[1]PP!$A:$W,22,FALSE)="C"),"C",IF(OR(Y2="DZO",VLOOKUP(A2,[1]PP!$A:$W,22,FALSE)="DZO"),"DZO",IF(OR(Y2="mise",Y2="disp.",Y2="končí",Y2="DSC",VLOOKUP(A2,[1]PP!$A:$W,22,FALSE)="mise",VLOOKUP(A2,[1]PP!$A:$W,22,FALSE)="disp.",VLOOKUP(A2,[1]PP!$A:$W,22,FALSE)="končí",VLOOKUP(A2,[1]PP!$A:$W,22,FALSE)="DSC"),"jiné",IF(OR(Y2=4,VLOOKUP(A2,[1]PP!$A:$W,22,FALSE)=4),4,IF(OR(Y2=3,VLOOKUP(A2,[1]PP!$A:$W,22,FALSE)=3),3,IF(OR(Y2=2,VLOOKUP(A2,[1]PP!$A:$W,22,FALSE)=2),2,IF(AND(Y2=1,VLOOKUP(A2,[1]PP!$A:$W,22,FALSE)=1),1)))))))))))</f>
        <v/>
      </c>
      <c r="Y2" s="28" t="str">
        <f>IF(COUNTIF(B2:G2,"")&gt;0,"",IF(COUNTIF([1]PP!$A:$A,A2)=0,"neni v PP",IF(VLOOKUP(A2,[1]PP!$A:$W,8,FALSE)="odešel","odešel",IF(F2="","",IF(J2="",IF(OR(T2=4,W2=4),4,IF(AND(T2="N",W2="N"),"N",IF(OR(T2="N",W2="N"),4,ROUND(AVERAGE(T2,W2),0)))),J2)))))</f>
        <v/>
      </c>
      <c r="Z2" s="29" t="str">
        <f>IF(COUNTIF(B2:G2,"")=0,IF(X2="neni v PP",CONCATENATE("ID: &lt;",A2,"&gt; se neshoduje s žádným IDem v kartě PP"),IF(COUNTIF($A:$A,A2)&gt;1,CONCATENATE("ID: &lt;",A2,"&gt; se v kartě VP opakuje. Je nutné tyto IDy od sebe odlišit, např. mezerou za příjmením."),IF(COUNTIF([1]PP!A:A,A2)&gt;1,CONCATENATE("ID: &lt;",A2,"&gt; se v kartě PP opakuje. Je nutné tyto IDy od sebe odlišit, např. mezerou za příjmením."),IF(VLOOKUP(A2,[1]PP!$A:$W,5,FALSE)&lt;&gt;E2,CONCATENATE($E$4," &lt;",E2,"&gt; se neshoduje s jednotkou v kartě PP"," &lt;",VLOOKUP(A2,[1]PP!$A:$W,5,FALSE),"&gt;"),IF(AND(COUNTIF(K2:O2,"")&lt;5,J2="",I2=""),CONCATENATE("Doplň: ",$I$4),IF(AND(YEAR(I2)&lt;&gt;$E$2,COUNTIF(I2,"")=0),CONCATENATE("špatně uveden &lt;",$D$2,"&gt; nebo &lt;",$I$4,"&gt;"),IF(OR(AND(OR(COUNTIF(C2,"*a"),COUNTIF(C2,"*ie"),COUNTIF(C2,"*ine"),COUNTIF(D2,"*Á")),F2="muž"),AND(AND(COUNTIF(C2,"&lt;&gt;"&amp;"*a"),COUNTIF(C2,"&lt;&gt;"&amp;"*ie"),COUNTIF(C2,"&lt;&gt;"&amp;"*ine"),COUNTIF(D2,"&lt;&gt;"&amp;"*Á")),F2="žena")),CONCATENATE(C2," ",D2," je ",F2,"?"),""))))))),IF(COUNTIF(B2:O2,"")=14,"",CONCATENATE("Doplň: ",IF(B2="",CONCATENATE($B$4,IF(COUNTIF(C2:G2,"")=0,"",", ")),""),IF(C2="",CONCATENATE($C$4,IF(COUNTIF(D2:G2,"")=0,"",", ")),""),IF(D2="",CONCATENATE($D$4,IF(COUNTIF(E2:G2,"")=0,"",", ")),""),IF(E2="",CONCATENATE($E$4,IF(COUNTIF(F2:G2,"")=0,"",", ")),""),IF(F2="",CONCATENATE($F$4,IF(G2="",", ","")),""),IF(G2="",$G$4,""))))</f>
        <v/>
      </c>
      <c r="AA2" s="30"/>
    </row>
    <row r="3" spans="1:27" ht="16" x14ac:dyDescent="0.35">
      <c r="A3" s="14" t="str">
        <f t="shared" si="0"/>
        <v xml:space="preserve">  </v>
      </c>
      <c r="B3" s="15"/>
      <c r="C3" s="31"/>
      <c r="D3" s="31"/>
      <c r="E3" s="17"/>
      <c r="F3" s="18"/>
      <c r="G3" s="32"/>
      <c r="H3" s="33" t="str">
        <f>IF(G3="","",IF(F3="žena",ROMAN(MATCH(G3+1,'[1]Normy VP'!$Y$27:$Y$33,-1)),ROMAN(MATCH(G3+1,'[1]Normy VP'!$Y$19:$Y$25,-1))))</f>
        <v/>
      </c>
      <c r="I3" s="21"/>
      <c r="J3" s="22"/>
      <c r="K3" s="23"/>
      <c r="L3" s="23"/>
      <c r="M3" s="23"/>
      <c r="N3" s="22"/>
      <c r="O3" s="22"/>
      <c r="P3" s="24" t="str">
        <f>IF(OR($J3="",$J3="odešel"),IF(K3="","",IF($F3="žena",CHOOSE(_xlfn.ARABIC($H3),MATCH(K3+1,'[1]Normy VP'!$C$25:$F$25,-1),MATCH(K3+1,'[1]Normy VP'!$C$26:$F$26,-1),MATCH(K3+1,'[1]Normy VP'!$C$27:$F$27,-1),MATCH(K3+1,'[1]Normy VP'!$C$28:$F$28,-1),MATCH(K3+1,'[1]Normy VP'!$C$29:$F$29,-1),"muž"),CHOOSE(_xlfn.ARABIC($H3),MATCH(K3+1,'[1]Normy VP'!$C$10:$F$10,-1),MATCH(K3+1,'[1]Normy VP'!$C$11:$F$11,-1),MATCH(K3+1,'[1]Normy VP'!$C$12:$F$12,-1),MATCH(K3+1,'[1]Normy VP'!$C$13:$F$13,-1),MATCH(K3+1,'[1]Normy VP'!$C$14:$F$14,-1),""))),"O")</f>
        <v/>
      </c>
      <c r="Q3" s="24" t="str">
        <f>IF(OR($J3="",$J3="odešel"),IF($F3="žena","",IF(L3="","",(CHOOSE(_xlfn.ARABIC($H3),MATCH(L3+1,'[1]Normy VP'!$G$10:$J$10,-1),MATCH(L3+1,'[1]Normy VP'!$G$11:$J$11,-1),MATCH(L3+1,'[1]Normy VP'!$G$12:$J$12,-1),MATCH(L3+1,'[1]Normy VP'!$G$13:$J$13,-1),MATCH(L3+1,'[1]Normy VP'!$G$14:$J$14,-1),"")))),"O")</f>
        <v/>
      </c>
      <c r="R3" s="34" t="str">
        <f t="shared" si="1"/>
        <v>N</v>
      </c>
      <c r="S3" s="24" t="str">
        <f>IF(OR($J3="",$J3="odešel"),IF(M3="","N",IF($F3="žena",CHOOSE(_xlfn.ARABIC($H3),MATCH(M3+1,'[1]Normy VP'!$G$25:$J$25,-1),MATCH(M3+1,'[1]Normy VP'!$G$26:$J$26,-1),MATCH(M3+1,'[1]Normy VP'!$G$27:$J$27,-1),MATCH(M3+1,'[1]Normy VP'!$G$28:$J$28,-1),MATCH(M3+1,'[1]Normy VP'!$G$29:$J$29,-1),"muž"),(CHOOSE(_xlfn.ARABIC($H3),MATCH(M3+1,'[1]Normy VP'!$K$10:$N$10,-1),MATCH(M3+1,'[1]Normy VP'!$K$11:$N$11,-1),MATCH(M3+1,'[1]Normy VP'!$K$12:$N$12,-1),MATCH(M3+1,'[1]Normy VP'!$K$13:$N$13,-1),MATCH(M3+1,'[1]Normy VP'!$K$14:$N$14,-1),"")))),"O")</f>
        <v>N</v>
      </c>
      <c r="T3" s="34" t="str">
        <f t="shared" si="2"/>
        <v>N</v>
      </c>
      <c r="U3" s="24" t="str">
        <f>IF(OR($J3="",$J3="odešel"),IF(N3="","N",IF($F3="žena",CHOOSE(_xlfn.ARABIC($H3),MATCH(N3+1,'[1]Normy VP'!$K$25:$N$25,-1),MATCH(N3+1,'[1]Normy VP'!$K$26:$N$26,-1),MATCH(N3+1,'[1]Normy VP'!$K$27:$N$27,-1),MATCH(N3+1,'[1]Normy VP'!$K$28:$N$28,-1),MATCH(N3+1,'[1]Normy VP'!$K$29:$N$29,-1),MATCH(N3+1,'[1]Normy VP'!$K$30:$N$30,-1)),CHOOSE(_xlfn.ARABIC($H3),MATCH(N3+1,'[1]Normy VP'!$O$10:$R$10,-1),MATCH(N3+1,'[1]Normy VP'!$O$11:$R$11,-1),MATCH(N3+1,'[1]Normy VP'!$O$12:$R$12,-1),MATCH(N3+1,'[1]Normy VP'!$O$13:$R$13,-1),MATCH(N3+1,'[1]Normy VP'!$O$14:$R$14,-1),MATCH(N3+1,'[1]Normy VP'!$O$15:$R$15,-1)))),"O")</f>
        <v>N</v>
      </c>
      <c r="V3" s="26" t="str">
        <f>IF(OR($J3="",$J3="odešel"),IF(O3="","N",IF($F3="žena",CHOOSE(_xlfn.ARABIC($H3),MATCH(O3-1,'[1]Normy VP'!$O$25:$R$25),MATCH(O3-1,'[1]Normy VP'!$O$26:$R$26),MATCH(O3-1,'[1]Normy VP'!$O$27:$R$27),MATCH(O3-1,'[1]Normy VP'!$O$28:$R$28),MATCH(O3-1,'[1]Normy VP'!$O$29:$R$29),MATCH(O3-1,'[1]Normy VP'!$O$30:$R$30)),CHOOSE(_xlfn.ARABIC($H3),MATCH(O3-1,'[1]Normy VP'!$S$10:$V$10),MATCH(O3-1,'[1]Normy VP'!$S$11:$V$11),MATCH(O3-1,'[1]Normy VP'!$S$12:$V$12),MATCH(O3-1,'[1]Normy VP'!$S$13:$V$13),MATCH(O3-1,'[1]Normy VP'!$S$14:$V$14),MATCH(O3-1,'[1]Normy VP'!$S$15:$V$15)))),"O")</f>
        <v>N</v>
      </c>
      <c r="W3" s="34" t="str">
        <f t="shared" si="3"/>
        <v>N</v>
      </c>
      <c r="X3" s="27" t="str">
        <f>IF(COUNTIF(B3:G3,"")&gt;0,"",IF(COUNTIF([1]PP!$A:$A,A3)=0,"neni v PP",IF(OR(Y3="odešel",VLOOKUP(A3,[1]PP!$A:$W,22,FALSE)="odešel"),"odešel",IF(OR(Y3="N",VLOOKUP(A3,[1]PP!$A:$W,22,FALSE)="N"),"N",IF(OR(Y3="C",VLOOKUP(A3,[1]PP!$A:$W,22,FALSE)="C"),"C",IF(OR(Y3="DZO",VLOOKUP(A3,[1]PP!$A:$W,22,FALSE)="DZO"),"DZO",IF(OR(Y3="mise",Y3="disp.",Y3="končí",Y3="DSC",VLOOKUP(A3,[1]PP!$A:$W,22,FALSE)="mise",VLOOKUP(A3,[1]PP!$A:$W,22,FALSE)="disp.",VLOOKUP(A3,[1]PP!$A:$W,22,FALSE)="končí",VLOOKUP(A3,[1]PP!$A:$W,22,FALSE)="DSC"),"jiné",IF(OR(Y3=4,VLOOKUP(A3,[1]PP!$A:$W,22,FALSE)=4),4,IF(OR(Y3=3,VLOOKUP(A3,[1]PP!$A:$W,22,FALSE)=3),3,IF(OR(Y3=2,VLOOKUP(A3,[1]PP!$A:$W,22,FALSE)=2),2,IF(AND(Y3=1,VLOOKUP(A3,[1]PP!$A:$W,22,FALSE)=1),1)))))))))))</f>
        <v/>
      </c>
      <c r="Y3" s="28" t="str">
        <f>IF(COUNTIF(B3:G3,"")&gt;0,"",IF(COUNTIF([1]PP!$A:$A,A3)=0,"neni v PP",IF(VLOOKUP(A3,[1]PP!$A:$W,8,FALSE)="odešel","odešel",IF(F3="","",IF(J3="",IF(OR(T3=4,W3=4),4,IF(AND(T3="N",W3="N"),"N",IF(OR(T3="N",W3="N"),4,ROUND(AVERAGE(T3,W3),0)))),J3)))))</f>
        <v/>
      </c>
      <c r="Z3" s="29" t="str">
        <f>IF(COUNTIF(B3:G3,"")=0,IF(X3="neni v PP",CONCATENATE("ID: &lt;",A3,"&gt; se neshoduje s žádným IDem v kartě PP"),IF(COUNTIF($A:$A,A3)&gt;1,CONCATENATE("ID: &lt;",A3,"&gt; se v kartě VP opakuje. Je nutné tyto IDy od sebe odlišit, např. mezerou za příjmením."),IF(COUNTIF([1]PP!A:A,A3)&gt;1,CONCATENATE("ID: &lt;",A3,"&gt; se v kartě PP opakuje. Je nutné tyto IDy od sebe odlišit, např. mezerou za příjmením."),IF(VLOOKUP(A3,[1]PP!$A:$W,5,FALSE)&lt;&gt;E3,CONCATENATE($E$4," &lt;",E3,"&gt; se neshoduje s jednotkou v kartě PP"," &lt;",VLOOKUP(A3,[1]PP!$A:$W,5,FALSE),"&gt;"),IF(AND(COUNTIF(K3:O3,"")&lt;5,J3="",I3=""),CONCATENATE("Doplň: ",$I$4),IF(AND(YEAR(I3)&lt;&gt;$E$2,COUNTIF(I3,"")=0),CONCATENATE("špatně uveden &lt;",$D$2,"&gt; nebo &lt;",$I$4,"&gt;"),IF(OR(AND(OR(COUNTIF(C3,"*a"),COUNTIF(C3,"*ie"),COUNTIF(C3,"*ine"),COUNTIF(D3,"*Á")),F3="muž"),AND(AND(COUNTIF(C3,"&lt;&gt;"&amp;"*a"),COUNTIF(C3,"&lt;&gt;"&amp;"*ie"),COUNTIF(C3,"&lt;&gt;"&amp;"*ine"),COUNTIF(D3,"&lt;&gt;"&amp;"*Á")),F3="žena")),CONCATENATE(C3," ",D3," je ",F3,"?"),""))))))),IF(COUNTIF(B3:O3,"")=14,"",CONCATENATE("Doplň: ",IF(B3="",CONCATENATE($B$4,IF(COUNTIF(C3:G3,"")=0,"",", ")),""),IF(C3="",CONCATENATE($C$4,IF(COUNTIF(D3:G3,"")=0,"",", ")),""),IF(D3="",CONCATENATE($D$4,IF(COUNTIF(E3:G3,"")=0,"",", ")),""),IF(E3="",CONCATENATE($E$4,IF(COUNTIF(F3:G3,"")=0,"",", ")),""),IF(F3="",CONCATENATE($F$4,IF(G3="",", ","")),""),IF(G3="",$G$4,""))))</f>
        <v/>
      </c>
      <c r="AA3" s="30"/>
    </row>
    <row r="4" spans="1:27" ht="16" x14ac:dyDescent="0.35">
      <c r="A4" s="14" t="str">
        <f t="shared" si="0"/>
        <v xml:space="preserve">  </v>
      </c>
      <c r="B4" s="15"/>
      <c r="C4" s="31"/>
      <c r="D4" s="31"/>
      <c r="E4" s="17"/>
      <c r="F4" s="18"/>
      <c r="G4" s="32"/>
      <c r="H4" s="33" t="str">
        <f>IF(G4="","",IF(F4="žena",ROMAN(MATCH(G4+1,'[1]Normy VP'!$Y$27:$Y$33,-1)),ROMAN(MATCH(G4+1,'[1]Normy VP'!$Y$19:$Y$25,-1))))</f>
        <v/>
      </c>
      <c r="I4" s="21"/>
      <c r="J4" s="22"/>
      <c r="K4" s="23"/>
      <c r="L4" s="23"/>
      <c r="M4" s="23"/>
      <c r="N4" s="22"/>
      <c r="O4" s="22"/>
      <c r="P4" s="24" t="str">
        <f>IF(OR($J4="",$J4="odešel"),IF(K4="","",IF($F4="žena",CHOOSE(_xlfn.ARABIC($H4),MATCH(K4+1,'[1]Normy VP'!$C$25:$F$25,-1),MATCH(K4+1,'[1]Normy VP'!$C$26:$F$26,-1),MATCH(K4+1,'[1]Normy VP'!$C$27:$F$27,-1),MATCH(K4+1,'[1]Normy VP'!$C$28:$F$28,-1),MATCH(K4+1,'[1]Normy VP'!$C$29:$F$29,-1),"muž"),CHOOSE(_xlfn.ARABIC($H4),MATCH(K4+1,'[1]Normy VP'!$C$10:$F$10,-1),MATCH(K4+1,'[1]Normy VP'!$C$11:$F$11,-1),MATCH(K4+1,'[1]Normy VP'!$C$12:$F$12,-1),MATCH(K4+1,'[1]Normy VP'!$C$13:$F$13,-1),MATCH(K4+1,'[1]Normy VP'!$C$14:$F$14,-1),""))),"O")</f>
        <v/>
      </c>
      <c r="Q4" s="24" t="str">
        <f>IF(OR($J4="",$J4="odešel"),IF($F4="žena","",IF(L4="","",(CHOOSE(_xlfn.ARABIC($H4),MATCH(L4+1,'[1]Normy VP'!$G$10:$J$10,-1),MATCH(L4+1,'[1]Normy VP'!$G$11:$J$11,-1),MATCH(L4+1,'[1]Normy VP'!$G$12:$J$12,-1),MATCH(L4+1,'[1]Normy VP'!$G$13:$J$13,-1),MATCH(L4+1,'[1]Normy VP'!$G$14:$J$14,-1),"")))),"O")</f>
        <v/>
      </c>
      <c r="R4" s="34" t="str">
        <f t="shared" si="1"/>
        <v>N</v>
      </c>
      <c r="S4" s="24" t="str">
        <f>IF(OR($J4="",$J4="odešel"),IF(M4="","N",IF($F4="žena",CHOOSE(_xlfn.ARABIC($H4),MATCH(M4+1,'[1]Normy VP'!$G$25:$J$25,-1),MATCH(M4+1,'[1]Normy VP'!$G$26:$J$26,-1),MATCH(M4+1,'[1]Normy VP'!$G$27:$J$27,-1),MATCH(M4+1,'[1]Normy VP'!$G$28:$J$28,-1),MATCH(M4+1,'[1]Normy VP'!$G$29:$J$29,-1),"muž"),(CHOOSE(_xlfn.ARABIC($H4),MATCH(M4+1,'[1]Normy VP'!$K$10:$N$10,-1),MATCH(M4+1,'[1]Normy VP'!$K$11:$N$11,-1),MATCH(M4+1,'[1]Normy VP'!$K$12:$N$12,-1),MATCH(M4+1,'[1]Normy VP'!$K$13:$N$13,-1),MATCH(M4+1,'[1]Normy VP'!$K$14:$N$14,-1),"")))),"O")</f>
        <v>N</v>
      </c>
      <c r="T4" s="34" t="str">
        <f t="shared" si="2"/>
        <v>N</v>
      </c>
      <c r="U4" s="24" t="str">
        <f>IF(OR($J4="",$J4="odešel"),IF(N4="","N",IF($F4="žena",CHOOSE(_xlfn.ARABIC($H4),MATCH(N4+1,'[1]Normy VP'!$K$25:$N$25,-1),MATCH(N4+1,'[1]Normy VP'!$K$26:$N$26,-1),MATCH(N4+1,'[1]Normy VP'!$K$27:$N$27,-1),MATCH(N4+1,'[1]Normy VP'!$K$28:$N$28,-1),MATCH(N4+1,'[1]Normy VP'!$K$29:$N$29,-1),MATCH(N4+1,'[1]Normy VP'!$K$30:$N$30,-1)),CHOOSE(_xlfn.ARABIC($H4),MATCH(N4+1,'[1]Normy VP'!$O$10:$R$10,-1),MATCH(N4+1,'[1]Normy VP'!$O$11:$R$11,-1),MATCH(N4+1,'[1]Normy VP'!$O$12:$R$12,-1),MATCH(N4+1,'[1]Normy VP'!$O$13:$R$13,-1),MATCH(N4+1,'[1]Normy VP'!$O$14:$R$14,-1),MATCH(N4+1,'[1]Normy VP'!$O$15:$R$15,-1)))),"O")</f>
        <v>N</v>
      </c>
      <c r="V4" s="26" t="str">
        <f>IF(OR($J4="",$J4="odešel"),IF(O4="","N",IF($F4="žena",CHOOSE(_xlfn.ARABIC($H4),MATCH(O4-1,'[1]Normy VP'!$O$25:$R$25),MATCH(O4-1,'[1]Normy VP'!$O$26:$R$26),MATCH(O4-1,'[1]Normy VP'!$O$27:$R$27),MATCH(O4-1,'[1]Normy VP'!$O$28:$R$28),MATCH(O4-1,'[1]Normy VP'!$O$29:$R$29),MATCH(O4-1,'[1]Normy VP'!$O$30:$R$30)),CHOOSE(_xlfn.ARABIC($H4),MATCH(O4-1,'[1]Normy VP'!$S$10:$V$10),MATCH(O4-1,'[1]Normy VP'!$S$11:$V$11),MATCH(O4-1,'[1]Normy VP'!$S$12:$V$12),MATCH(O4-1,'[1]Normy VP'!$S$13:$V$13),MATCH(O4-1,'[1]Normy VP'!$S$14:$V$14),MATCH(O4-1,'[1]Normy VP'!$S$15:$V$15)))),"O")</f>
        <v>N</v>
      </c>
      <c r="W4" s="34" t="str">
        <f t="shared" si="3"/>
        <v>N</v>
      </c>
      <c r="X4" s="27" t="str">
        <f>IF(COUNTIF(B4:G4,"")&gt;0,"",IF(COUNTIF([1]PP!$A:$A,A4)=0,"neni v PP",IF(OR(Y4="odešel",VLOOKUP(A4,[1]PP!$A:$W,22,FALSE)="odešel"),"odešel",IF(OR(Y4="N",VLOOKUP(A4,[1]PP!$A:$W,22,FALSE)="N"),"N",IF(OR(Y4="C",VLOOKUP(A4,[1]PP!$A:$W,22,FALSE)="C"),"C",IF(OR(Y4="DZO",VLOOKUP(A4,[1]PP!$A:$W,22,FALSE)="DZO"),"DZO",IF(OR(Y4="mise",Y4="disp.",Y4="končí",Y4="DSC",VLOOKUP(A4,[1]PP!$A:$W,22,FALSE)="mise",VLOOKUP(A4,[1]PP!$A:$W,22,FALSE)="disp.",VLOOKUP(A4,[1]PP!$A:$W,22,FALSE)="končí",VLOOKUP(A4,[1]PP!$A:$W,22,FALSE)="DSC"),"jiné",IF(OR(Y4=4,VLOOKUP(A4,[1]PP!$A:$W,22,FALSE)=4),4,IF(OR(Y4=3,VLOOKUP(A4,[1]PP!$A:$W,22,FALSE)=3),3,IF(OR(Y4=2,VLOOKUP(A4,[1]PP!$A:$W,22,FALSE)=2),2,IF(AND(Y4=1,VLOOKUP(A4,[1]PP!$A:$W,22,FALSE)=1),1)))))))))))</f>
        <v/>
      </c>
      <c r="Y4" s="28" t="str">
        <f>IF(COUNTIF(B4:G4,"")&gt;0,"",IF(COUNTIF([1]PP!$A:$A,A4)=0,"neni v PP",IF(VLOOKUP(A4,[1]PP!$A:$W,8,FALSE)="odešel","odešel",IF(F4="","",IF(J4="",IF(OR(T4=4,W4=4),4,IF(AND(T4="N",W4="N"),"N",IF(OR(T4="N",W4="N"),4,ROUND(AVERAGE(T4,W4),0)))),J4)))))</f>
        <v/>
      </c>
      <c r="Z4" s="29" t="str">
        <f>IF(COUNTIF(B4:G4,"")=0,IF(X4="neni v PP",CONCATENATE("ID: &lt;",A4,"&gt; se neshoduje s žádným IDem v kartě PP"),IF(COUNTIF($A:$A,A4)&gt;1,CONCATENATE("ID: &lt;",A4,"&gt; se v kartě VP opakuje. Je nutné tyto IDy od sebe odlišit, např. mezerou za příjmením."),IF(COUNTIF([1]PP!A:A,A4)&gt;1,CONCATENATE("ID: &lt;",A4,"&gt; se v kartě PP opakuje. Je nutné tyto IDy od sebe odlišit, např. mezerou za příjmením."),IF(VLOOKUP(A4,[1]PP!$A:$W,5,FALSE)&lt;&gt;E4,CONCATENATE($E$4," &lt;",E4,"&gt; se neshoduje s jednotkou v kartě PP"," &lt;",VLOOKUP(A4,[1]PP!$A:$W,5,FALSE),"&gt;"),IF(AND(COUNTIF(K4:O4,"")&lt;5,J4="",I4=""),CONCATENATE("Doplň: ",$I$4),IF(AND(YEAR(I4)&lt;&gt;$E$2,COUNTIF(I4,"")=0),CONCATENATE("špatně uveden &lt;",$D$2,"&gt; nebo &lt;",$I$4,"&gt;"),IF(OR(AND(OR(COUNTIF(C4,"*a"),COUNTIF(C4,"*ie"),COUNTIF(C4,"*ine"),COUNTIF(D4,"*Á")),F4="muž"),AND(AND(COUNTIF(C4,"&lt;&gt;"&amp;"*a"),COUNTIF(C4,"&lt;&gt;"&amp;"*ie"),COUNTIF(C4,"&lt;&gt;"&amp;"*ine"),COUNTIF(D4,"&lt;&gt;"&amp;"*Á")),F4="žena")),CONCATENATE(C4," ",D4," je ",F4,"?"),""))))))),IF(COUNTIF(B4:O4,"")=14,"",CONCATENATE("Doplň: ",IF(B4="",CONCATENATE($B$4,IF(COUNTIF(C4:G4,"")=0,"",", ")),""),IF(C4="",CONCATENATE($C$4,IF(COUNTIF(D4:G4,"")=0,"",", ")),""),IF(D4="",CONCATENATE($D$4,IF(COUNTIF(E4:G4,"")=0,"",", ")),""),IF(E4="",CONCATENATE($E$4,IF(COUNTIF(F4:G4,"")=0,"",", ")),""),IF(F4="",CONCATENATE($F$4,IF(G4="",", ","")),""),IF(G4="",$G$4,""))))</f>
        <v/>
      </c>
      <c r="AA4" s="30"/>
    </row>
    <row r="5" spans="1:27" ht="16" x14ac:dyDescent="0.35">
      <c r="A5" s="14" t="str">
        <f t="shared" si="0"/>
        <v xml:space="preserve">  </v>
      </c>
      <c r="B5" s="15"/>
      <c r="C5" s="31"/>
      <c r="D5" s="31"/>
      <c r="E5" s="17"/>
      <c r="F5" s="18"/>
      <c r="G5" s="32"/>
      <c r="H5" s="33" t="str">
        <f>IF(G5="","",IF(F5="žena",ROMAN(MATCH(G5+1,'[1]Normy VP'!$Y$27:$Y$33,-1)),ROMAN(MATCH(G5+1,'[1]Normy VP'!$Y$19:$Y$25,-1))))</f>
        <v/>
      </c>
      <c r="I5" s="21"/>
      <c r="J5" s="22"/>
      <c r="K5" s="23"/>
      <c r="L5" s="23"/>
      <c r="M5" s="23"/>
      <c r="N5" s="22"/>
      <c r="O5" s="22"/>
      <c r="P5" s="24" t="str">
        <f>IF(OR($J5="",$J5="odešel"),IF(K5="","",IF($F5="žena",CHOOSE(_xlfn.ARABIC($H5),MATCH(K5+1,'[1]Normy VP'!$C$25:$F$25,-1),MATCH(K5+1,'[1]Normy VP'!$C$26:$F$26,-1),MATCH(K5+1,'[1]Normy VP'!$C$27:$F$27,-1),MATCH(K5+1,'[1]Normy VP'!$C$28:$F$28,-1),MATCH(K5+1,'[1]Normy VP'!$C$29:$F$29,-1),"muž"),CHOOSE(_xlfn.ARABIC($H5),MATCH(K5+1,'[1]Normy VP'!$C$10:$F$10,-1),MATCH(K5+1,'[1]Normy VP'!$C$11:$F$11,-1),MATCH(K5+1,'[1]Normy VP'!$C$12:$F$12,-1),MATCH(K5+1,'[1]Normy VP'!$C$13:$F$13,-1),MATCH(K5+1,'[1]Normy VP'!$C$14:$F$14,-1),""))),"O")</f>
        <v/>
      </c>
      <c r="Q5" s="24" t="str">
        <f>IF(OR($J5="",$J5="odešel"),IF($F5="žena","",IF(L5="","",(CHOOSE(_xlfn.ARABIC($H5),MATCH(L5+1,'[1]Normy VP'!$G$10:$J$10,-1),MATCH(L5+1,'[1]Normy VP'!$G$11:$J$11,-1),MATCH(L5+1,'[1]Normy VP'!$G$12:$J$12,-1),MATCH(L5+1,'[1]Normy VP'!$G$13:$J$13,-1),MATCH(L5+1,'[1]Normy VP'!$G$14:$J$14,-1),"")))),"O")</f>
        <v/>
      </c>
      <c r="R5" s="34" t="str">
        <f t="shared" si="1"/>
        <v>N</v>
      </c>
      <c r="S5" s="24" t="str">
        <f>IF(OR($J5="",$J5="odešel"),IF(M5="","N",IF($F5="žena",CHOOSE(_xlfn.ARABIC($H5),MATCH(M5+1,'[1]Normy VP'!$G$25:$J$25,-1),MATCH(M5+1,'[1]Normy VP'!$G$26:$J$26,-1),MATCH(M5+1,'[1]Normy VP'!$G$27:$J$27,-1),MATCH(M5+1,'[1]Normy VP'!$G$28:$J$28,-1),MATCH(M5+1,'[1]Normy VP'!$G$29:$J$29,-1),"muž"),(CHOOSE(_xlfn.ARABIC($H5),MATCH(M5+1,'[1]Normy VP'!$K$10:$N$10,-1),MATCH(M5+1,'[1]Normy VP'!$K$11:$N$11,-1),MATCH(M5+1,'[1]Normy VP'!$K$12:$N$12,-1),MATCH(M5+1,'[1]Normy VP'!$K$13:$N$13,-1),MATCH(M5+1,'[1]Normy VP'!$K$14:$N$14,-1),"")))),"O")</f>
        <v>N</v>
      </c>
      <c r="T5" s="34" t="str">
        <f t="shared" si="2"/>
        <v>N</v>
      </c>
      <c r="U5" s="24" t="str">
        <f>IF(OR($J5="",$J5="odešel"),IF(N5="","N",IF($F5="žena",CHOOSE(_xlfn.ARABIC($H5),MATCH(N5+1,'[1]Normy VP'!$K$25:$N$25,-1),MATCH(N5+1,'[1]Normy VP'!$K$26:$N$26,-1),MATCH(N5+1,'[1]Normy VP'!$K$27:$N$27,-1),MATCH(N5+1,'[1]Normy VP'!$K$28:$N$28,-1),MATCH(N5+1,'[1]Normy VP'!$K$29:$N$29,-1),MATCH(N5+1,'[1]Normy VP'!$K$30:$N$30,-1)),CHOOSE(_xlfn.ARABIC($H5),MATCH(N5+1,'[1]Normy VP'!$O$10:$R$10,-1),MATCH(N5+1,'[1]Normy VP'!$O$11:$R$11,-1),MATCH(N5+1,'[1]Normy VP'!$O$12:$R$12,-1),MATCH(N5+1,'[1]Normy VP'!$O$13:$R$13,-1),MATCH(N5+1,'[1]Normy VP'!$O$14:$R$14,-1),MATCH(N5+1,'[1]Normy VP'!$O$15:$R$15,-1)))),"O")</f>
        <v>N</v>
      </c>
      <c r="V5" s="26" t="str">
        <f>IF(OR($J5="",$J5="odešel"),IF(O5="","N",IF($F5="žena",CHOOSE(_xlfn.ARABIC($H5),MATCH(O5-1,'[1]Normy VP'!$O$25:$R$25),MATCH(O5-1,'[1]Normy VP'!$O$26:$R$26),MATCH(O5-1,'[1]Normy VP'!$O$27:$R$27),MATCH(O5-1,'[1]Normy VP'!$O$28:$R$28),MATCH(O5-1,'[1]Normy VP'!$O$29:$R$29),MATCH(O5-1,'[1]Normy VP'!$O$30:$R$30)),CHOOSE(_xlfn.ARABIC($H5),MATCH(O5-1,'[1]Normy VP'!$S$10:$V$10),MATCH(O5-1,'[1]Normy VP'!$S$11:$V$11),MATCH(O5-1,'[1]Normy VP'!$S$12:$V$12),MATCH(O5-1,'[1]Normy VP'!$S$13:$V$13),MATCH(O5-1,'[1]Normy VP'!$S$14:$V$14),MATCH(O5-1,'[1]Normy VP'!$S$15:$V$15)))),"O")</f>
        <v>N</v>
      </c>
      <c r="W5" s="34" t="str">
        <f t="shared" si="3"/>
        <v>N</v>
      </c>
      <c r="X5" s="27" t="str">
        <f>IF(COUNTIF(B5:G5,"")&gt;0,"",IF(COUNTIF([1]PP!$A:$A,A5)=0,"neni v PP",IF(OR(Y5="odešel",VLOOKUP(A5,[1]PP!$A:$W,22,FALSE)="odešel"),"odešel",IF(OR(Y5="N",VLOOKUP(A5,[1]PP!$A:$W,22,FALSE)="N"),"N",IF(OR(Y5="C",VLOOKUP(A5,[1]PP!$A:$W,22,FALSE)="C"),"C",IF(OR(Y5="DZO",VLOOKUP(A5,[1]PP!$A:$W,22,FALSE)="DZO"),"DZO",IF(OR(Y5="mise",Y5="disp.",Y5="končí",Y5="DSC",VLOOKUP(A5,[1]PP!$A:$W,22,FALSE)="mise",VLOOKUP(A5,[1]PP!$A:$W,22,FALSE)="disp.",VLOOKUP(A5,[1]PP!$A:$W,22,FALSE)="končí",VLOOKUP(A5,[1]PP!$A:$W,22,FALSE)="DSC"),"jiné",IF(OR(Y5=4,VLOOKUP(A5,[1]PP!$A:$W,22,FALSE)=4),4,IF(OR(Y5=3,VLOOKUP(A5,[1]PP!$A:$W,22,FALSE)=3),3,IF(OR(Y5=2,VLOOKUP(A5,[1]PP!$A:$W,22,FALSE)=2),2,IF(AND(Y5=1,VLOOKUP(A5,[1]PP!$A:$W,22,FALSE)=1),1)))))))))))</f>
        <v/>
      </c>
      <c r="Y5" s="28" t="str">
        <f>IF(COUNTIF(B5:G5,"")&gt;0,"",IF(COUNTIF([1]PP!$A:$A,A5)=0,"neni v PP",IF(VLOOKUP(A5,[1]PP!$A:$W,8,FALSE)="odešel","odešel",IF(F5="","",IF(J5="",IF(OR(T5=4,W5=4),4,IF(AND(T5="N",W5="N"),"N",IF(OR(T5="N",W5="N"),4,ROUND(AVERAGE(T5,W5),0)))),J5)))))</f>
        <v/>
      </c>
      <c r="Z5" s="29" t="str">
        <f>IF(COUNTIF(B5:G5,"")=0,IF(X5="neni v PP",CONCATENATE("ID: &lt;",A5,"&gt; se neshoduje s žádným IDem v kartě PP"),IF(COUNTIF($A:$A,A5)&gt;1,CONCATENATE("ID: &lt;",A5,"&gt; se v kartě VP opakuje. Je nutné tyto IDy od sebe odlišit, např. mezerou za příjmením."),IF(COUNTIF([1]PP!A:A,A5)&gt;1,CONCATENATE("ID: &lt;",A5,"&gt; se v kartě PP opakuje. Je nutné tyto IDy od sebe odlišit, např. mezerou za příjmením."),IF(VLOOKUP(A5,[1]PP!$A:$W,5,FALSE)&lt;&gt;E5,CONCATENATE($E$4," &lt;",E5,"&gt; se neshoduje s jednotkou v kartě PP"," &lt;",VLOOKUP(A5,[1]PP!$A:$W,5,FALSE),"&gt;"),IF(AND(COUNTIF(K5:O5,"")&lt;5,J5="",I5=""),CONCATENATE("Doplň: ",$I$4),IF(AND(YEAR(I5)&lt;&gt;$E$2,COUNTIF(I5,"")=0),CONCATENATE("špatně uveden &lt;",$D$2,"&gt; nebo &lt;",$I$4,"&gt;"),IF(OR(AND(OR(COUNTIF(C5,"*a"),COUNTIF(C5,"*ie"),COUNTIF(C5,"*ine"),COUNTIF(D5,"*Á")),F5="muž"),AND(AND(COUNTIF(C5,"&lt;&gt;"&amp;"*a"),COUNTIF(C5,"&lt;&gt;"&amp;"*ie"),COUNTIF(C5,"&lt;&gt;"&amp;"*ine"),COUNTIF(D5,"&lt;&gt;"&amp;"*Á")),F5="žena")),CONCATENATE(C5," ",D5," je ",F5,"?"),""))))))),IF(COUNTIF(B5:O5,"")=14,"",CONCATENATE("Doplň: ",IF(B5="",CONCATENATE($B$4,IF(COUNTIF(C5:G5,"")=0,"",", ")),""),IF(C5="",CONCATENATE($C$4,IF(COUNTIF(D5:G5,"")=0,"",", ")),""),IF(D5="",CONCATENATE($D$4,IF(COUNTIF(E5:G5,"")=0,"",", ")),""),IF(E5="",CONCATENATE($E$4,IF(COUNTIF(F5:G5,"")=0,"",", ")),""),IF(F5="",CONCATENATE($F$4,IF(G5="",", ","")),""),IF(G5="",$G$4,""))))</f>
        <v/>
      </c>
      <c r="AA5" s="30"/>
    </row>
    <row r="6" spans="1:27" ht="16" x14ac:dyDescent="0.35">
      <c r="A6" s="14" t="str">
        <f t="shared" si="0"/>
        <v xml:space="preserve">  </v>
      </c>
      <c r="B6" s="15"/>
      <c r="C6" s="31"/>
      <c r="D6" s="31"/>
      <c r="E6" s="17"/>
      <c r="F6" s="18"/>
      <c r="G6" s="32"/>
      <c r="H6" s="33" t="str">
        <f>IF(G6="","",IF(F6="žena",ROMAN(MATCH(G6+1,'[1]Normy VP'!$Y$27:$Y$33,-1)),ROMAN(MATCH(G6+1,'[1]Normy VP'!$Y$19:$Y$25,-1))))</f>
        <v/>
      </c>
      <c r="I6" s="21"/>
      <c r="J6" s="22"/>
      <c r="K6" s="23"/>
      <c r="L6" s="23"/>
      <c r="M6" s="23"/>
      <c r="N6" s="22"/>
      <c r="O6" s="22"/>
      <c r="P6" s="24" t="str">
        <f>IF(OR($J6="",$J6="odešel"),IF(K6="","",IF($F6="žena",CHOOSE(_xlfn.ARABIC($H6),MATCH(K6+1,'[1]Normy VP'!$C$25:$F$25,-1),MATCH(K6+1,'[1]Normy VP'!$C$26:$F$26,-1),MATCH(K6+1,'[1]Normy VP'!$C$27:$F$27,-1),MATCH(K6+1,'[1]Normy VP'!$C$28:$F$28,-1),MATCH(K6+1,'[1]Normy VP'!$C$29:$F$29,-1),"muž"),CHOOSE(_xlfn.ARABIC($H6),MATCH(K6+1,'[1]Normy VP'!$C$10:$F$10,-1),MATCH(K6+1,'[1]Normy VP'!$C$11:$F$11,-1),MATCH(K6+1,'[1]Normy VP'!$C$12:$F$12,-1),MATCH(K6+1,'[1]Normy VP'!$C$13:$F$13,-1),MATCH(K6+1,'[1]Normy VP'!$C$14:$F$14,-1),""))),"O")</f>
        <v/>
      </c>
      <c r="Q6" s="24" t="str">
        <f>IF(OR($J6="",$J6="odešel"),IF($F6="žena","",IF(L6="","",(CHOOSE(_xlfn.ARABIC($H6),MATCH(L6+1,'[1]Normy VP'!$G$10:$J$10,-1),MATCH(L6+1,'[1]Normy VP'!$G$11:$J$11,-1),MATCH(L6+1,'[1]Normy VP'!$G$12:$J$12,-1),MATCH(L6+1,'[1]Normy VP'!$G$13:$J$13,-1),MATCH(L6+1,'[1]Normy VP'!$G$14:$J$14,-1),"")))),"O")</f>
        <v/>
      </c>
      <c r="R6" s="34" t="str">
        <f t="shared" si="1"/>
        <v>N</v>
      </c>
      <c r="S6" s="24" t="str">
        <f>IF(OR($J6="",$J6="odešel"),IF(M6="","N",IF($F6="žena",CHOOSE(_xlfn.ARABIC($H6),MATCH(M6+1,'[1]Normy VP'!$G$25:$J$25,-1),MATCH(M6+1,'[1]Normy VP'!$G$26:$J$26,-1),MATCH(M6+1,'[1]Normy VP'!$G$27:$J$27,-1),MATCH(M6+1,'[1]Normy VP'!$G$28:$J$28,-1),MATCH(M6+1,'[1]Normy VP'!$G$29:$J$29,-1),"muž"),(CHOOSE(_xlfn.ARABIC($H6),MATCH(M6+1,'[1]Normy VP'!$K$10:$N$10,-1),MATCH(M6+1,'[1]Normy VP'!$K$11:$N$11,-1),MATCH(M6+1,'[1]Normy VP'!$K$12:$N$12,-1),MATCH(M6+1,'[1]Normy VP'!$K$13:$N$13,-1),MATCH(M6+1,'[1]Normy VP'!$K$14:$N$14,-1),"")))),"O")</f>
        <v>N</v>
      </c>
      <c r="T6" s="34" t="str">
        <f t="shared" si="2"/>
        <v>N</v>
      </c>
      <c r="U6" s="24" t="str">
        <f>IF(OR($J6="",$J6="odešel"),IF(N6="","N",IF($F6="žena",CHOOSE(_xlfn.ARABIC($H6),MATCH(N6+1,'[1]Normy VP'!$K$25:$N$25,-1),MATCH(N6+1,'[1]Normy VP'!$K$26:$N$26,-1),MATCH(N6+1,'[1]Normy VP'!$K$27:$N$27,-1),MATCH(N6+1,'[1]Normy VP'!$K$28:$N$28,-1),MATCH(N6+1,'[1]Normy VP'!$K$29:$N$29,-1),MATCH(N6+1,'[1]Normy VP'!$K$30:$N$30,-1)),CHOOSE(_xlfn.ARABIC($H6),MATCH(N6+1,'[1]Normy VP'!$O$10:$R$10,-1),MATCH(N6+1,'[1]Normy VP'!$O$11:$R$11,-1),MATCH(N6+1,'[1]Normy VP'!$O$12:$R$12,-1),MATCH(N6+1,'[1]Normy VP'!$O$13:$R$13,-1),MATCH(N6+1,'[1]Normy VP'!$O$14:$R$14,-1),MATCH(N6+1,'[1]Normy VP'!$O$15:$R$15,-1)))),"O")</f>
        <v>N</v>
      </c>
      <c r="V6" s="26" t="str">
        <f>IF(OR($J6="",$J6="odešel"),IF(O6="","N",IF($F6="žena",CHOOSE(_xlfn.ARABIC($H6),MATCH(O6-1,'[1]Normy VP'!$O$25:$R$25),MATCH(O6-1,'[1]Normy VP'!$O$26:$R$26),MATCH(O6-1,'[1]Normy VP'!$O$27:$R$27),MATCH(O6-1,'[1]Normy VP'!$O$28:$R$28),MATCH(O6-1,'[1]Normy VP'!$O$29:$R$29),MATCH(O6-1,'[1]Normy VP'!$O$30:$R$30)),CHOOSE(_xlfn.ARABIC($H6),MATCH(O6-1,'[1]Normy VP'!$S$10:$V$10),MATCH(O6-1,'[1]Normy VP'!$S$11:$V$11),MATCH(O6-1,'[1]Normy VP'!$S$12:$V$12),MATCH(O6-1,'[1]Normy VP'!$S$13:$V$13),MATCH(O6-1,'[1]Normy VP'!$S$14:$V$14),MATCH(O6-1,'[1]Normy VP'!$S$15:$V$15)))),"O")</f>
        <v>N</v>
      </c>
      <c r="W6" s="34" t="str">
        <f t="shared" si="3"/>
        <v>N</v>
      </c>
      <c r="X6" s="27" t="str">
        <f>IF(COUNTIF(B6:G6,"")&gt;0,"",IF(COUNTIF([1]PP!$A:$A,A6)=0,"neni v PP",IF(OR(Y6="odešel",VLOOKUP(A6,[1]PP!$A:$W,22,FALSE)="odešel"),"odešel",IF(OR(Y6="N",VLOOKUP(A6,[1]PP!$A:$W,22,FALSE)="N"),"N",IF(OR(Y6="C",VLOOKUP(A6,[1]PP!$A:$W,22,FALSE)="C"),"C",IF(OR(Y6="DZO",VLOOKUP(A6,[1]PP!$A:$W,22,FALSE)="DZO"),"DZO",IF(OR(Y6="mise",Y6="disp.",Y6="končí",Y6="DSC",VLOOKUP(A6,[1]PP!$A:$W,22,FALSE)="mise",VLOOKUP(A6,[1]PP!$A:$W,22,FALSE)="disp.",VLOOKUP(A6,[1]PP!$A:$W,22,FALSE)="končí",VLOOKUP(A6,[1]PP!$A:$W,22,FALSE)="DSC"),"jiné",IF(OR(Y6=4,VLOOKUP(A6,[1]PP!$A:$W,22,FALSE)=4),4,IF(OR(Y6=3,VLOOKUP(A6,[1]PP!$A:$W,22,FALSE)=3),3,IF(OR(Y6=2,VLOOKUP(A6,[1]PP!$A:$W,22,FALSE)=2),2,IF(AND(Y6=1,VLOOKUP(A6,[1]PP!$A:$W,22,FALSE)=1),1)))))))))))</f>
        <v/>
      </c>
      <c r="Y6" s="28" t="str">
        <f>IF(COUNTIF(B6:G6,"")&gt;0,"",IF(COUNTIF([1]PP!$A:$A,A6)=0,"neni v PP",IF(VLOOKUP(A6,[1]PP!$A:$W,8,FALSE)="odešel","odešel",IF(F6="","",IF(J6="",IF(OR(T6=4,W6=4),4,IF(AND(T6="N",W6="N"),"N",IF(OR(T6="N",W6="N"),4,ROUND(AVERAGE(T6,W6),0)))),J6)))))</f>
        <v/>
      </c>
      <c r="Z6" s="29" t="str">
        <f>IF(COUNTIF(B6:G6,"")=0,IF(X6="neni v PP",CONCATENATE("ID: &lt;",A6,"&gt; se neshoduje s žádným IDem v kartě PP"),IF(COUNTIF($A:$A,A6)&gt;1,CONCATENATE("ID: &lt;",A6,"&gt; se v kartě VP opakuje. Je nutné tyto IDy od sebe odlišit, např. mezerou za příjmením."),IF(COUNTIF([1]PP!A:A,A6)&gt;1,CONCATENATE("ID: &lt;",A6,"&gt; se v kartě PP opakuje. Je nutné tyto IDy od sebe odlišit, např. mezerou za příjmením."),IF(VLOOKUP(A6,[1]PP!$A:$W,5,FALSE)&lt;&gt;E6,CONCATENATE($E$4," &lt;",E6,"&gt; se neshoduje s jednotkou v kartě PP"," &lt;",VLOOKUP(A6,[1]PP!$A:$W,5,FALSE),"&gt;"),IF(AND(COUNTIF(K6:O6,"")&lt;5,J6="",I6=""),CONCATENATE("Doplň: ",$I$4),IF(AND(YEAR(I6)&lt;&gt;$E$2,COUNTIF(I6,"")=0),CONCATENATE("špatně uveden &lt;",$D$2,"&gt; nebo &lt;",$I$4,"&gt;"),IF(OR(AND(OR(COUNTIF(C6,"*a"),COUNTIF(C6,"*ie"),COUNTIF(C6,"*ine"),COUNTIF(D6,"*Á")),F6="muž"),AND(AND(COUNTIF(C6,"&lt;&gt;"&amp;"*a"),COUNTIF(C6,"&lt;&gt;"&amp;"*ie"),COUNTIF(C6,"&lt;&gt;"&amp;"*ine"),COUNTIF(D6,"&lt;&gt;"&amp;"*Á")),F6="žena")),CONCATENATE(C6," ",D6," je ",F6,"?"),""))))))),IF(COUNTIF(B6:O6,"")=14,"",CONCATENATE("Doplň: ",IF(B6="",CONCATENATE($B$4,IF(COUNTIF(C6:G6,"")=0,"",", ")),""),IF(C6="",CONCATENATE($C$4,IF(COUNTIF(D6:G6,"")=0,"",", ")),""),IF(D6="",CONCATENATE($D$4,IF(COUNTIF(E6:G6,"")=0,"",", ")),""),IF(E6="",CONCATENATE($E$4,IF(COUNTIF(F6:G6,"")=0,"",", ")),""),IF(F6="",CONCATENATE($F$4,IF(G6="",", ","")),""),IF(G6="",$G$4,""))))</f>
        <v/>
      </c>
      <c r="AA6" s="30"/>
    </row>
    <row r="7" spans="1:27" ht="16" x14ac:dyDescent="0.35">
      <c r="A7" s="14" t="str">
        <f t="shared" si="0"/>
        <v xml:space="preserve">  </v>
      </c>
      <c r="B7" s="15"/>
      <c r="C7" s="31"/>
      <c r="D7" s="31"/>
      <c r="E7" s="17"/>
      <c r="F7" s="18"/>
      <c r="G7" s="32"/>
      <c r="H7" s="33" t="str">
        <f>IF(G7="","",IF(F7="žena",ROMAN(MATCH(G7+1,'[1]Normy VP'!$Y$27:$Y$33,-1)),ROMAN(MATCH(G7+1,'[1]Normy VP'!$Y$19:$Y$25,-1))))</f>
        <v/>
      </c>
      <c r="I7" s="21"/>
      <c r="J7" s="22"/>
      <c r="K7" s="23"/>
      <c r="L7" s="23"/>
      <c r="M7" s="23"/>
      <c r="N7" s="22"/>
      <c r="O7" s="22"/>
      <c r="P7" s="24" t="str">
        <f>IF(OR($J7="",$J7="odešel"),IF(K7="","",IF($F7="žena",CHOOSE(_xlfn.ARABIC($H7),MATCH(K7+1,'[1]Normy VP'!$C$25:$F$25,-1),MATCH(K7+1,'[1]Normy VP'!$C$26:$F$26,-1),MATCH(K7+1,'[1]Normy VP'!$C$27:$F$27,-1),MATCH(K7+1,'[1]Normy VP'!$C$28:$F$28,-1),MATCH(K7+1,'[1]Normy VP'!$C$29:$F$29,-1),"muž"),CHOOSE(_xlfn.ARABIC($H7),MATCH(K7+1,'[1]Normy VP'!$C$10:$F$10,-1),MATCH(K7+1,'[1]Normy VP'!$C$11:$F$11,-1),MATCH(K7+1,'[1]Normy VP'!$C$12:$F$12,-1),MATCH(K7+1,'[1]Normy VP'!$C$13:$F$13,-1),MATCH(K7+1,'[1]Normy VP'!$C$14:$F$14,-1),""))),"O")</f>
        <v/>
      </c>
      <c r="Q7" s="24" t="str">
        <f>IF(OR($J7="",$J7="odešel"),IF($F7="žena","",IF(L7="","",(CHOOSE(_xlfn.ARABIC($H7),MATCH(L7+1,'[1]Normy VP'!$G$10:$J$10,-1),MATCH(L7+1,'[1]Normy VP'!$G$11:$J$11,-1),MATCH(L7+1,'[1]Normy VP'!$G$12:$J$12,-1),MATCH(L7+1,'[1]Normy VP'!$G$13:$J$13,-1),MATCH(L7+1,'[1]Normy VP'!$G$14:$J$14,-1),"")))),"O")</f>
        <v/>
      </c>
      <c r="R7" s="34" t="str">
        <f t="shared" si="1"/>
        <v>N</v>
      </c>
      <c r="S7" s="24" t="str">
        <f>IF(OR($J7="",$J7="odešel"),IF(M7="","N",IF($F7="žena",CHOOSE(_xlfn.ARABIC($H7),MATCH(M7+1,'[1]Normy VP'!$G$25:$J$25,-1),MATCH(M7+1,'[1]Normy VP'!$G$26:$J$26,-1),MATCH(M7+1,'[1]Normy VP'!$G$27:$J$27,-1),MATCH(M7+1,'[1]Normy VP'!$G$28:$J$28,-1),MATCH(M7+1,'[1]Normy VP'!$G$29:$J$29,-1),"muž"),(CHOOSE(_xlfn.ARABIC($H7),MATCH(M7+1,'[1]Normy VP'!$K$10:$N$10,-1),MATCH(M7+1,'[1]Normy VP'!$K$11:$N$11,-1),MATCH(M7+1,'[1]Normy VP'!$K$12:$N$12,-1),MATCH(M7+1,'[1]Normy VP'!$K$13:$N$13,-1),MATCH(M7+1,'[1]Normy VP'!$K$14:$N$14,-1),"")))),"O")</f>
        <v>N</v>
      </c>
      <c r="T7" s="34" t="str">
        <f t="shared" si="2"/>
        <v>N</v>
      </c>
      <c r="U7" s="24" t="str">
        <f>IF(OR($J7="",$J7="odešel"),IF(N7="","N",IF($F7="žena",CHOOSE(_xlfn.ARABIC($H7),MATCH(N7+1,'[1]Normy VP'!$K$25:$N$25,-1),MATCH(N7+1,'[1]Normy VP'!$K$26:$N$26,-1),MATCH(N7+1,'[1]Normy VP'!$K$27:$N$27,-1),MATCH(N7+1,'[1]Normy VP'!$K$28:$N$28,-1),MATCH(N7+1,'[1]Normy VP'!$K$29:$N$29,-1),MATCH(N7+1,'[1]Normy VP'!$K$30:$N$30,-1)),CHOOSE(_xlfn.ARABIC($H7),MATCH(N7+1,'[1]Normy VP'!$O$10:$R$10,-1),MATCH(N7+1,'[1]Normy VP'!$O$11:$R$11,-1),MATCH(N7+1,'[1]Normy VP'!$O$12:$R$12,-1),MATCH(N7+1,'[1]Normy VP'!$O$13:$R$13,-1),MATCH(N7+1,'[1]Normy VP'!$O$14:$R$14,-1),MATCH(N7+1,'[1]Normy VP'!$O$15:$R$15,-1)))),"O")</f>
        <v>N</v>
      </c>
      <c r="V7" s="26" t="str">
        <f>IF(OR($J7="",$J7="odešel"),IF(O7="","N",IF($F7="žena",CHOOSE(_xlfn.ARABIC($H7),MATCH(O7-1,'[1]Normy VP'!$O$25:$R$25),MATCH(O7-1,'[1]Normy VP'!$O$26:$R$26),MATCH(O7-1,'[1]Normy VP'!$O$27:$R$27),MATCH(O7-1,'[1]Normy VP'!$O$28:$R$28),MATCH(O7-1,'[1]Normy VP'!$O$29:$R$29),MATCH(O7-1,'[1]Normy VP'!$O$30:$R$30)),CHOOSE(_xlfn.ARABIC($H7),MATCH(O7-1,'[1]Normy VP'!$S$10:$V$10),MATCH(O7-1,'[1]Normy VP'!$S$11:$V$11),MATCH(O7-1,'[1]Normy VP'!$S$12:$V$12),MATCH(O7-1,'[1]Normy VP'!$S$13:$V$13),MATCH(O7-1,'[1]Normy VP'!$S$14:$V$14),MATCH(O7-1,'[1]Normy VP'!$S$15:$V$15)))),"O")</f>
        <v>N</v>
      </c>
      <c r="W7" s="34" t="str">
        <f t="shared" si="3"/>
        <v>N</v>
      </c>
      <c r="X7" s="27" t="str">
        <f>IF(COUNTIF(B7:G7,"")&gt;0,"",IF(COUNTIF([1]PP!$A:$A,A7)=0,"neni v PP",IF(OR(Y7="odešel",VLOOKUP(A7,[1]PP!$A:$W,22,FALSE)="odešel"),"odešel",IF(OR(Y7="N",VLOOKUP(A7,[1]PP!$A:$W,22,FALSE)="N"),"N",IF(OR(Y7="C",VLOOKUP(A7,[1]PP!$A:$W,22,FALSE)="C"),"C",IF(OR(Y7="DZO",VLOOKUP(A7,[1]PP!$A:$W,22,FALSE)="DZO"),"DZO",IF(OR(Y7="mise",Y7="disp.",Y7="končí",Y7="DSC",VLOOKUP(A7,[1]PP!$A:$W,22,FALSE)="mise",VLOOKUP(A7,[1]PP!$A:$W,22,FALSE)="disp.",VLOOKUP(A7,[1]PP!$A:$W,22,FALSE)="končí",VLOOKUP(A7,[1]PP!$A:$W,22,FALSE)="DSC"),"jiné",IF(OR(Y7=4,VLOOKUP(A7,[1]PP!$A:$W,22,FALSE)=4),4,IF(OR(Y7=3,VLOOKUP(A7,[1]PP!$A:$W,22,FALSE)=3),3,IF(OR(Y7=2,VLOOKUP(A7,[1]PP!$A:$W,22,FALSE)=2),2,IF(AND(Y7=1,VLOOKUP(A7,[1]PP!$A:$W,22,FALSE)=1),1)))))))))))</f>
        <v/>
      </c>
      <c r="Y7" s="28" t="str">
        <f>IF(COUNTIF(B7:G7,"")&gt;0,"",IF(COUNTIF([1]PP!$A:$A,A7)=0,"neni v PP",IF(VLOOKUP(A7,[1]PP!$A:$W,8,FALSE)="odešel","odešel",IF(F7="","",IF(J7="",IF(OR(T7=4,W7=4),4,IF(AND(T7="N",W7="N"),"N",IF(OR(T7="N",W7="N"),4,ROUND(AVERAGE(T7,W7),0)))),J7)))))</f>
        <v/>
      </c>
      <c r="Z7" s="29" t="str">
        <f>IF(COUNTIF(B7:G7,"")=0,IF(X7="neni v PP",CONCATENATE("ID: &lt;",A7,"&gt; se neshoduje s žádným IDem v kartě PP"),IF(COUNTIF($A:$A,A7)&gt;1,CONCATENATE("ID: &lt;",A7,"&gt; se v kartě VP opakuje. Je nutné tyto IDy od sebe odlišit, např. mezerou za příjmením."),IF(COUNTIF([1]PP!A:A,A7)&gt;1,CONCATENATE("ID: &lt;",A7,"&gt; se v kartě PP opakuje. Je nutné tyto IDy od sebe odlišit, např. mezerou za příjmením."),IF(VLOOKUP(A7,[1]PP!$A:$W,5,FALSE)&lt;&gt;E7,CONCATENATE($E$4," &lt;",E7,"&gt; se neshoduje s jednotkou v kartě PP"," &lt;",VLOOKUP(A7,[1]PP!$A:$W,5,FALSE),"&gt;"),IF(AND(COUNTIF(K7:O7,"")&lt;5,J7="",I7=""),CONCATENATE("Doplň: ",$I$4),IF(AND(YEAR(I7)&lt;&gt;$E$2,COUNTIF(I7,"")=0),CONCATENATE("špatně uveden &lt;",$D$2,"&gt; nebo &lt;",$I$4,"&gt;"),IF(OR(AND(OR(COUNTIF(C7,"*a"),COUNTIF(C7,"*ie"),COUNTIF(C7,"*ine"),COUNTIF(D7,"*Á")),F7="muž"),AND(AND(COUNTIF(C7,"&lt;&gt;"&amp;"*a"),COUNTIF(C7,"&lt;&gt;"&amp;"*ie"),COUNTIF(C7,"&lt;&gt;"&amp;"*ine"),COUNTIF(D7,"&lt;&gt;"&amp;"*Á")),F7="žena")),CONCATENATE(C7," ",D7," je ",F7,"?"),""))))))),IF(COUNTIF(B7:O7,"")=14,"",CONCATENATE("Doplň: ",IF(B7="",CONCATENATE($B$4,IF(COUNTIF(C7:G7,"")=0,"",", ")),""),IF(C7="",CONCATENATE($C$4,IF(COUNTIF(D7:G7,"")=0,"",", ")),""),IF(D7="",CONCATENATE($D$4,IF(COUNTIF(E7:G7,"")=0,"",", ")),""),IF(E7="",CONCATENATE($E$4,IF(COUNTIF(F7:G7,"")=0,"",", ")),""),IF(F7="",CONCATENATE($F$4,IF(G7="",", ","")),""),IF(G7="",$G$4,""))))</f>
        <v/>
      </c>
      <c r="AA7" s="30"/>
    </row>
    <row r="8" spans="1:27" ht="16" x14ac:dyDescent="0.35">
      <c r="A8" s="14" t="str">
        <f t="shared" si="0"/>
        <v xml:space="preserve">  </v>
      </c>
      <c r="B8" s="15"/>
      <c r="C8" s="31"/>
      <c r="D8" s="31"/>
      <c r="E8" s="17"/>
      <c r="F8" s="18"/>
      <c r="G8" s="32"/>
      <c r="H8" s="33" t="str">
        <f>IF(G8="","",IF(F8="žena",ROMAN(MATCH(G8+1,'[1]Normy VP'!$Y$27:$Y$33,-1)),ROMAN(MATCH(G8+1,'[1]Normy VP'!$Y$19:$Y$25,-1))))</f>
        <v/>
      </c>
      <c r="I8" s="21"/>
      <c r="J8" s="22"/>
      <c r="K8" s="23"/>
      <c r="L8" s="23"/>
      <c r="M8" s="23"/>
      <c r="N8" s="22"/>
      <c r="O8" s="22"/>
      <c r="P8" s="24" t="str">
        <f>IF(OR($J8="",$J8="odešel"),IF(K8="","",IF($F8="žena",CHOOSE(_xlfn.ARABIC($H8),MATCH(K8+1,'[1]Normy VP'!$C$25:$F$25,-1),MATCH(K8+1,'[1]Normy VP'!$C$26:$F$26,-1),MATCH(K8+1,'[1]Normy VP'!$C$27:$F$27,-1),MATCH(K8+1,'[1]Normy VP'!$C$28:$F$28,-1),MATCH(K8+1,'[1]Normy VP'!$C$29:$F$29,-1),"muž"),CHOOSE(_xlfn.ARABIC($H8),MATCH(K8+1,'[1]Normy VP'!$C$10:$F$10,-1),MATCH(K8+1,'[1]Normy VP'!$C$11:$F$11,-1),MATCH(K8+1,'[1]Normy VP'!$C$12:$F$12,-1),MATCH(K8+1,'[1]Normy VP'!$C$13:$F$13,-1),MATCH(K8+1,'[1]Normy VP'!$C$14:$F$14,-1),""))),"O")</f>
        <v/>
      </c>
      <c r="Q8" s="24" t="str">
        <f>IF(OR($J8="",$J8="odešel"),IF($F8="žena","",IF(L8="","",(CHOOSE(_xlfn.ARABIC($H8),MATCH(L8+1,'[1]Normy VP'!$G$10:$J$10,-1),MATCH(L8+1,'[1]Normy VP'!$G$11:$J$11,-1),MATCH(L8+1,'[1]Normy VP'!$G$12:$J$12,-1),MATCH(L8+1,'[1]Normy VP'!$G$13:$J$13,-1),MATCH(L8+1,'[1]Normy VP'!$G$14:$J$14,-1),"")))),"O")</f>
        <v/>
      </c>
      <c r="R8" s="34" t="str">
        <f t="shared" si="1"/>
        <v>N</v>
      </c>
      <c r="S8" s="24" t="str">
        <f>IF(OR($J8="",$J8="odešel"),IF(M8="","N",IF($F8="žena",CHOOSE(_xlfn.ARABIC($H8),MATCH(M8+1,'[1]Normy VP'!$G$25:$J$25,-1),MATCH(M8+1,'[1]Normy VP'!$G$26:$J$26,-1),MATCH(M8+1,'[1]Normy VP'!$G$27:$J$27,-1),MATCH(M8+1,'[1]Normy VP'!$G$28:$J$28,-1),MATCH(M8+1,'[1]Normy VP'!$G$29:$J$29,-1),"muž"),(CHOOSE(_xlfn.ARABIC($H8),MATCH(M8+1,'[1]Normy VP'!$K$10:$N$10,-1),MATCH(M8+1,'[1]Normy VP'!$K$11:$N$11,-1),MATCH(M8+1,'[1]Normy VP'!$K$12:$N$12,-1),MATCH(M8+1,'[1]Normy VP'!$K$13:$N$13,-1),MATCH(M8+1,'[1]Normy VP'!$K$14:$N$14,-1),"")))),"O")</f>
        <v>N</v>
      </c>
      <c r="T8" s="34" t="str">
        <f t="shared" si="2"/>
        <v>N</v>
      </c>
      <c r="U8" s="24" t="str">
        <f>IF(OR($J8="",$J8="odešel"),IF(N8="","N",IF($F8="žena",CHOOSE(_xlfn.ARABIC($H8),MATCH(N8+1,'[1]Normy VP'!$K$25:$N$25,-1),MATCH(N8+1,'[1]Normy VP'!$K$26:$N$26,-1),MATCH(N8+1,'[1]Normy VP'!$K$27:$N$27,-1),MATCH(N8+1,'[1]Normy VP'!$K$28:$N$28,-1),MATCH(N8+1,'[1]Normy VP'!$K$29:$N$29,-1),MATCH(N8+1,'[1]Normy VP'!$K$30:$N$30,-1)),CHOOSE(_xlfn.ARABIC($H8),MATCH(N8+1,'[1]Normy VP'!$O$10:$R$10,-1),MATCH(N8+1,'[1]Normy VP'!$O$11:$R$11,-1),MATCH(N8+1,'[1]Normy VP'!$O$12:$R$12,-1),MATCH(N8+1,'[1]Normy VP'!$O$13:$R$13,-1),MATCH(N8+1,'[1]Normy VP'!$O$14:$R$14,-1),MATCH(N8+1,'[1]Normy VP'!$O$15:$R$15,-1)))),"O")</f>
        <v>N</v>
      </c>
      <c r="V8" s="26" t="str">
        <f>IF(OR($J8="",$J8="odešel"),IF(O8="","N",IF($F8="žena",CHOOSE(_xlfn.ARABIC($H8),MATCH(O8-1,'[1]Normy VP'!$O$25:$R$25),MATCH(O8-1,'[1]Normy VP'!$O$26:$R$26),MATCH(O8-1,'[1]Normy VP'!$O$27:$R$27),MATCH(O8-1,'[1]Normy VP'!$O$28:$R$28),MATCH(O8-1,'[1]Normy VP'!$O$29:$R$29),MATCH(O8-1,'[1]Normy VP'!$O$30:$R$30)),CHOOSE(_xlfn.ARABIC($H8),MATCH(O8-1,'[1]Normy VP'!$S$10:$V$10),MATCH(O8-1,'[1]Normy VP'!$S$11:$V$11),MATCH(O8-1,'[1]Normy VP'!$S$12:$V$12),MATCH(O8-1,'[1]Normy VP'!$S$13:$V$13),MATCH(O8-1,'[1]Normy VP'!$S$14:$V$14),MATCH(O8-1,'[1]Normy VP'!$S$15:$V$15)))),"O")</f>
        <v>N</v>
      </c>
      <c r="W8" s="34" t="str">
        <f t="shared" si="3"/>
        <v>N</v>
      </c>
      <c r="X8" s="27" t="str">
        <f>IF(COUNTIF(B8:G8,"")&gt;0,"",IF(COUNTIF([1]PP!$A:$A,A8)=0,"neni v PP",IF(OR(Y8="odešel",VLOOKUP(A8,[1]PP!$A:$W,22,FALSE)="odešel"),"odešel",IF(OR(Y8="N",VLOOKUP(A8,[1]PP!$A:$W,22,FALSE)="N"),"N",IF(OR(Y8="C",VLOOKUP(A8,[1]PP!$A:$W,22,FALSE)="C"),"C",IF(OR(Y8="DZO",VLOOKUP(A8,[1]PP!$A:$W,22,FALSE)="DZO"),"DZO",IF(OR(Y8="mise",Y8="disp.",Y8="končí",Y8="DSC",VLOOKUP(A8,[1]PP!$A:$W,22,FALSE)="mise",VLOOKUP(A8,[1]PP!$A:$W,22,FALSE)="disp.",VLOOKUP(A8,[1]PP!$A:$W,22,FALSE)="končí",VLOOKUP(A8,[1]PP!$A:$W,22,FALSE)="DSC"),"jiné",IF(OR(Y8=4,VLOOKUP(A8,[1]PP!$A:$W,22,FALSE)=4),4,IF(OR(Y8=3,VLOOKUP(A8,[1]PP!$A:$W,22,FALSE)=3),3,IF(OR(Y8=2,VLOOKUP(A8,[1]PP!$A:$W,22,FALSE)=2),2,IF(AND(Y8=1,VLOOKUP(A8,[1]PP!$A:$W,22,FALSE)=1),1)))))))))))</f>
        <v/>
      </c>
      <c r="Y8" s="28" t="str">
        <f>IF(COUNTIF(B8:G8,"")&gt;0,"",IF(COUNTIF([1]PP!$A:$A,A8)=0,"neni v PP",IF(VLOOKUP(A8,[1]PP!$A:$W,8,FALSE)="odešel","odešel",IF(F8="","",IF(J8="",IF(OR(T8=4,W8=4),4,IF(AND(T8="N",W8="N"),"N",IF(OR(T8="N",W8="N"),4,ROUND(AVERAGE(T8,W8),0)))),J8)))))</f>
        <v/>
      </c>
      <c r="Z8" s="29" t="str">
        <f>IF(COUNTIF(B8:G8,"")=0,IF(X8="neni v PP",CONCATENATE("ID: &lt;",A8,"&gt; se neshoduje s žádným IDem v kartě PP"),IF(COUNTIF($A:$A,A8)&gt;1,CONCATENATE("ID: &lt;",A8,"&gt; se v kartě VP opakuje. Je nutné tyto IDy od sebe odlišit, např. mezerou za příjmením."),IF(COUNTIF([1]PP!A:A,A8)&gt;1,CONCATENATE("ID: &lt;",A8,"&gt; se v kartě PP opakuje. Je nutné tyto IDy od sebe odlišit, např. mezerou za příjmením."),IF(VLOOKUP(A8,[1]PP!$A:$W,5,FALSE)&lt;&gt;E8,CONCATENATE($E$4," &lt;",E8,"&gt; se neshoduje s jednotkou v kartě PP"," &lt;",VLOOKUP(A8,[1]PP!$A:$W,5,FALSE),"&gt;"),IF(AND(COUNTIF(K8:O8,"")&lt;5,J8="",I8=""),CONCATENATE("Doplň: ",$I$4),IF(AND(YEAR(I8)&lt;&gt;$E$2,COUNTIF(I8,"")=0),CONCATENATE("špatně uveden &lt;",$D$2,"&gt; nebo &lt;",$I$4,"&gt;"),IF(OR(AND(OR(COUNTIF(C8,"*a"),COUNTIF(C8,"*ie"),COUNTIF(C8,"*ine"),COUNTIF(D8,"*Á")),F8="muž"),AND(AND(COUNTIF(C8,"&lt;&gt;"&amp;"*a"),COUNTIF(C8,"&lt;&gt;"&amp;"*ie"),COUNTIF(C8,"&lt;&gt;"&amp;"*ine"),COUNTIF(D8,"&lt;&gt;"&amp;"*Á")),F8="žena")),CONCATENATE(C8," ",D8," je ",F8,"?"),""))))))),IF(COUNTIF(B8:O8,"")=14,"",CONCATENATE("Doplň: ",IF(B8="",CONCATENATE($B$4,IF(COUNTIF(C8:G8,"")=0,"",", ")),""),IF(C8="",CONCATENATE($C$4,IF(COUNTIF(D8:G8,"")=0,"",", ")),""),IF(D8="",CONCATENATE($D$4,IF(COUNTIF(E8:G8,"")=0,"",", ")),""),IF(E8="",CONCATENATE($E$4,IF(COUNTIF(F8:G8,"")=0,"",", ")),""),IF(F8="",CONCATENATE($F$4,IF(G8="",", ","")),""),IF(G8="",$G$4,""))))</f>
        <v/>
      </c>
      <c r="AA8" s="30"/>
    </row>
    <row r="9" spans="1:27" ht="16" x14ac:dyDescent="0.35">
      <c r="A9" s="14" t="str">
        <f t="shared" si="0"/>
        <v xml:space="preserve">  </v>
      </c>
      <c r="B9" s="15"/>
      <c r="C9" s="31"/>
      <c r="D9" s="31"/>
      <c r="E9" s="17"/>
      <c r="F9" s="18"/>
      <c r="G9" s="32"/>
      <c r="H9" s="33" t="str">
        <f>IF(G9="","",IF(F9="žena",ROMAN(MATCH(G9+1,'[1]Normy VP'!$Y$27:$Y$33,-1)),ROMAN(MATCH(G9+1,'[1]Normy VP'!$Y$19:$Y$25,-1))))</f>
        <v/>
      </c>
      <c r="I9" s="21"/>
      <c r="J9" s="22"/>
      <c r="K9" s="23"/>
      <c r="L9" s="23"/>
      <c r="M9" s="23"/>
      <c r="N9" s="22"/>
      <c r="O9" s="22"/>
      <c r="P9" s="24" t="str">
        <f>IF(OR($J9="",$J9="odešel"),IF(K9="","",IF($F9="žena",CHOOSE(_xlfn.ARABIC($H9),MATCH(K9+1,'[1]Normy VP'!$C$25:$F$25,-1),MATCH(K9+1,'[1]Normy VP'!$C$26:$F$26,-1),MATCH(K9+1,'[1]Normy VP'!$C$27:$F$27,-1),MATCH(K9+1,'[1]Normy VP'!$C$28:$F$28,-1),MATCH(K9+1,'[1]Normy VP'!$C$29:$F$29,-1),"muž"),CHOOSE(_xlfn.ARABIC($H9),MATCH(K9+1,'[1]Normy VP'!$C$10:$F$10,-1),MATCH(K9+1,'[1]Normy VP'!$C$11:$F$11,-1),MATCH(K9+1,'[1]Normy VP'!$C$12:$F$12,-1),MATCH(K9+1,'[1]Normy VP'!$C$13:$F$13,-1),MATCH(K9+1,'[1]Normy VP'!$C$14:$F$14,-1),""))),"O")</f>
        <v/>
      </c>
      <c r="Q9" s="24" t="str">
        <f>IF(OR($J9="",$J9="odešel"),IF($F9="žena","",IF(L9="","",(CHOOSE(_xlfn.ARABIC($H9),MATCH(L9+1,'[1]Normy VP'!$G$10:$J$10,-1),MATCH(L9+1,'[1]Normy VP'!$G$11:$J$11,-1),MATCH(L9+1,'[1]Normy VP'!$G$12:$J$12,-1),MATCH(L9+1,'[1]Normy VP'!$G$13:$J$13,-1),MATCH(L9+1,'[1]Normy VP'!$G$14:$J$14,-1),"")))),"O")</f>
        <v/>
      </c>
      <c r="R9" s="34" t="str">
        <f t="shared" si="1"/>
        <v>N</v>
      </c>
      <c r="S9" s="24" t="str">
        <f>IF(OR($J9="",$J9="odešel"),IF(M9="","N",IF($F9="žena",CHOOSE(_xlfn.ARABIC($H9),MATCH(M9+1,'[1]Normy VP'!$G$25:$J$25,-1),MATCH(M9+1,'[1]Normy VP'!$G$26:$J$26,-1),MATCH(M9+1,'[1]Normy VP'!$G$27:$J$27,-1),MATCH(M9+1,'[1]Normy VP'!$G$28:$J$28,-1),MATCH(M9+1,'[1]Normy VP'!$G$29:$J$29,-1),"muž"),(CHOOSE(_xlfn.ARABIC($H9),MATCH(M9+1,'[1]Normy VP'!$K$10:$N$10,-1),MATCH(M9+1,'[1]Normy VP'!$K$11:$N$11,-1),MATCH(M9+1,'[1]Normy VP'!$K$12:$N$12,-1),MATCH(M9+1,'[1]Normy VP'!$K$13:$N$13,-1),MATCH(M9+1,'[1]Normy VP'!$K$14:$N$14,-1),"")))),"O")</f>
        <v>N</v>
      </c>
      <c r="T9" s="34" t="str">
        <f t="shared" si="2"/>
        <v>N</v>
      </c>
      <c r="U9" s="24" t="str">
        <f>IF(OR($J9="",$J9="odešel"),IF(N9="","N",IF($F9="žena",CHOOSE(_xlfn.ARABIC($H9),MATCH(N9+1,'[1]Normy VP'!$K$25:$N$25,-1),MATCH(N9+1,'[1]Normy VP'!$K$26:$N$26,-1),MATCH(N9+1,'[1]Normy VP'!$K$27:$N$27,-1),MATCH(N9+1,'[1]Normy VP'!$K$28:$N$28,-1),MATCH(N9+1,'[1]Normy VP'!$K$29:$N$29,-1),MATCH(N9+1,'[1]Normy VP'!$K$30:$N$30,-1)),CHOOSE(_xlfn.ARABIC($H9),MATCH(N9+1,'[1]Normy VP'!$O$10:$R$10,-1),MATCH(N9+1,'[1]Normy VP'!$O$11:$R$11,-1),MATCH(N9+1,'[1]Normy VP'!$O$12:$R$12,-1),MATCH(N9+1,'[1]Normy VP'!$O$13:$R$13,-1),MATCH(N9+1,'[1]Normy VP'!$O$14:$R$14,-1),MATCH(N9+1,'[1]Normy VP'!$O$15:$R$15,-1)))),"O")</f>
        <v>N</v>
      </c>
      <c r="V9" s="26" t="str">
        <f>IF(OR($J9="",$J9="odešel"),IF(O9="","N",IF($F9="žena",CHOOSE(_xlfn.ARABIC($H9),MATCH(O9-1,'[1]Normy VP'!$O$25:$R$25),MATCH(O9-1,'[1]Normy VP'!$O$26:$R$26),MATCH(O9-1,'[1]Normy VP'!$O$27:$R$27),MATCH(O9-1,'[1]Normy VP'!$O$28:$R$28),MATCH(O9-1,'[1]Normy VP'!$O$29:$R$29),MATCH(O9-1,'[1]Normy VP'!$O$30:$R$30)),CHOOSE(_xlfn.ARABIC($H9),MATCH(O9-1,'[1]Normy VP'!$S$10:$V$10),MATCH(O9-1,'[1]Normy VP'!$S$11:$V$11),MATCH(O9-1,'[1]Normy VP'!$S$12:$V$12),MATCH(O9-1,'[1]Normy VP'!$S$13:$V$13),MATCH(O9-1,'[1]Normy VP'!$S$14:$V$14),MATCH(O9-1,'[1]Normy VP'!$S$15:$V$15)))),"O")</f>
        <v>N</v>
      </c>
      <c r="W9" s="34" t="str">
        <f t="shared" si="3"/>
        <v>N</v>
      </c>
      <c r="X9" s="27" t="str">
        <f>IF(COUNTIF(B9:G9,"")&gt;0,"",IF(COUNTIF([1]PP!$A:$A,A9)=0,"neni v PP",IF(OR(Y9="odešel",VLOOKUP(A9,[1]PP!$A:$W,22,FALSE)="odešel"),"odešel",IF(OR(Y9="N",VLOOKUP(A9,[1]PP!$A:$W,22,FALSE)="N"),"N",IF(OR(Y9="C",VLOOKUP(A9,[1]PP!$A:$W,22,FALSE)="C"),"C",IF(OR(Y9="DZO",VLOOKUP(A9,[1]PP!$A:$W,22,FALSE)="DZO"),"DZO",IF(OR(Y9="mise",Y9="disp.",Y9="končí",Y9="DSC",VLOOKUP(A9,[1]PP!$A:$W,22,FALSE)="mise",VLOOKUP(A9,[1]PP!$A:$W,22,FALSE)="disp.",VLOOKUP(A9,[1]PP!$A:$W,22,FALSE)="končí",VLOOKUP(A9,[1]PP!$A:$W,22,FALSE)="DSC"),"jiné",IF(OR(Y9=4,VLOOKUP(A9,[1]PP!$A:$W,22,FALSE)=4),4,IF(OR(Y9=3,VLOOKUP(A9,[1]PP!$A:$W,22,FALSE)=3),3,IF(OR(Y9=2,VLOOKUP(A9,[1]PP!$A:$W,22,FALSE)=2),2,IF(AND(Y9=1,VLOOKUP(A9,[1]PP!$A:$W,22,FALSE)=1),1)))))))))))</f>
        <v/>
      </c>
      <c r="Y9" s="28" t="str">
        <f>IF(COUNTIF(B9:G9,"")&gt;0,"",IF(COUNTIF([1]PP!$A:$A,A9)=0,"neni v PP",IF(VLOOKUP(A9,[1]PP!$A:$W,8,FALSE)="odešel","odešel",IF(F9="","",IF(J9="",IF(OR(T9=4,W9=4),4,IF(AND(T9="N",W9="N"),"N",IF(OR(T9="N",W9="N"),4,ROUND(AVERAGE(T9,W9),0)))),J9)))))</f>
        <v/>
      </c>
      <c r="Z9" s="29" t="str">
        <f>IF(COUNTIF(B9:G9,"")=0,IF(X9="neni v PP",CONCATENATE("ID: &lt;",A9,"&gt; se neshoduje s žádným IDem v kartě PP"),IF(COUNTIF($A:$A,A9)&gt;1,CONCATENATE("ID: &lt;",A9,"&gt; se v kartě VP opakuje. Je nutné tyto IDy od sebe odlišit, např. mezerou za příjmením."),IF(COUNTIF([1]PP!A:A,A9)&gt;1,CONCATENATE("ID: &lt;",A9,"&gt; se v kartě PP opakuje. Je nutné tyto IDy od sebe odlišit, např. mezerou za příjmením."),IF(VLOOKUP(A9,[1]PP!$A:$W,5,FALSE)&lt;&gt;E9,CONCATENATE($E$4," &lt;",E9,"&gt; se neshoduje s jednotkou v kartě PP"," &lt;",VLOOKUP(A9,[1]PP!$A:$W,5,FALSE),"&gt;"),IF(AND(COUNTIF(K9:O9,"")&lt;5,J9="",I9=""),CONCATENATE("Doplň: ",$I$4),IF(AND(YEAR(I9)&lt;&gt;$E$2,COUNTIF(I9,"")=0),CONCATENATE("špatně uveden &lt;",$D$2,"&gt; nebo &lt;",$I$4,"&gt;"),IF(OR(AND(OR(COUNTIF(C9,"*a"),COUNTIF(C9,"*ie"),COUNTIF(C9,"*ine"),COUNTIF(D9,"*Á")),F9="muž"),AND(AND(COUNTIF(C9,"&lt;&gt;"&amp;"*a"),COUNTIF(C9,"&lt;&gt;"&amp;"*ie"),COUNTIF(C9,"&lt;&gt;"&amp;"*ine"),COUNTIF(D9,"&lt;&gt;"&amp;"*Á")),F9="žena")),CONCATENATE(C9," ",D9," je ",F9,"?"),""))))))),IF(COUNTIF(B9:O9,"")=14,"",CONCATENATE("Doplň: ",IF(B9="",CONCATENATE($B$4,IF(COUNTIF(C9:G9,"")=0,"",", ")),""),IF(C9="",CONCATENATE($C$4,IF(COUNTIF(D9:G9,"")=0,"",", ")),""),IF(D9="",CONCATENATE($D$4,IF(COUNTIF(E9:G9,"")=0,"",", ")),""),IF(E9="",CONCATENATE($E$4,IF(COUNTIF(F9:G9,"")=0,"",", ")),""),IF(F9="",CONCATENATE($F$4,IF(G9="",", ","")),""),IF(G9="",$G$4,""))))</f>
        <v/>
      </c>
      <c r="AA9" s="30"/>
    </row>
    <row r="10" spans="1:27" ht="16" x14ac:dyDescent="0.35">
      <c r="A10" s="14" t="str">
        <f t="shared" si="0"/>
        <v xml:space="preserve">  </v>
      </c>
      <c r="B10" s="15"/>
      <c r="C10" s="31"/>
      <c r="D10" s="31"/>
      <c r="E10" s="17"/>
      <c r="F10" s="18"/>
      <c r="G10" s="32"/>
      <c r="H10" s="33" t="str">
        <f>IF(G10="","",IF(F10="žena",ROMAN(MATCH(G10+1,'[1]Normy VP'!$Y$27:$Y$33,-1)),ROMAN(MATCH(G10+1,'[1]Normy VP'!$Y$19:$Y$25,-1))))</f>
        <v/>
      </c>
      <c r="I10" s="21"/>
      <c r="J10" s="22"/>
      <c r="K10" s="23"/>
      <c r="L10" s="23"/>
      <c r="M10" s="23"/>
      <c r="N10" s="22"/>
      <c r="O10" s="22"/>
      <c r="P10" s="24" t="str">
        <f>IF(OR($J10="",$J10="odešel"),IF(K10="","",IF($F10="žena",CHOOSE(_xlfn.ARABIC($H10),MATCH(K10+1,'[1]Normy VP'!$C$25:$F$25,-1),MATCH(K10+1,'[1]Normy VP'!$C$26:$F$26,-1),MATCH(K10+1,'[1]Normy VP'!$C$27:$F$27,-1),MATCH(K10+1,'[1]Normy VP'!$C$28:$F$28,-1),MATCH(K10+1,'[1]Normy VP'!$C$29:$F$29,-1),"muž"),CHOOSE(_xlfn.ARABIC($H10),MATCH(K10+1,'[1]Normy VP'!$C$10:$F$10,-1),MATCH(K10+1,'[1]Normy VP'!$C$11:$F$11,-1),MATCH(K10+1,'[1]Normy VP'!$C$12:$F$12,-1),MATCH(K10+1,'[1]Normy VP'!$C$13:$F$13,-1),MATCH(K10+1,'[1]Normy VP'!$C$14:$F$14,-1),""))),"O")</f>
        <v/>
      </c>
      <c r="Q10" s="24" t="str">
        <f>IF(OR($J10="",$J10="odešel"),IF($F10="žena","",IF(L10="","",(CHOOSE(_xlfn.ARABIC($H10),MATCH(L10+1,'[1]Normy VP'!$G$10:$J$10,-1),MATCH(L10+1,'[1]Normy VP'!$G$11:$J$11,-1),MATCH(L10+1,'[1]Normy VP'!$G$12:$J$12,-1),MATCH(L10+1,'[1]Normy VP'!$G$13:$J$13,-1),MATCH(L10+1,'[1]Normy VP'!$G$14:$J$14,-1),"")))),"O")</f>
        <v/>
      </c>
      <c r="R10" s="34" t="str">
        <f t="shared" si="1"/>
        <v>N</v>
      </c>
      <c r="S10" s="24" t="str">
        <f>IF(OR($J10="",$J10="odešel"),IF(M10="","N",IF($F10="žena",CHOOSE(_xlfn.ARABIC($H10),MATCH(M10+1,'[1]Normy VP'!$G$25:$J$25,-1),MATCH(M10+1,'[1]Normy VP'!$G$26:$J$26,-1),MATCH(M10+1,'[1]Normy VP'!$G$27:$J$27,-1),MATCH(M10+1,'[1]Normy VP'!$G$28:$J$28,-1),MATCH(M10+1,'[1]Normy VP'!$G$29:$J$29,-1),"muž"),(CHOOSE(_xlfn.ARABIC($H10),MATCH(M10+1,'[1]Normy VP'!$K$10:$N$10,-1),MATCH(M10+1,'[1]Normy VP'!$K$11:$N$11,-1),MATCH(M10+1,'[1]Normy VP'!$K$12:$N$12,-1),MATCH(M10+1,'[1]Normy VP'!$K$13:$N$13,-1),MATCH(M10+1,'[1]Normy VP'!$K$14:$N$14,-1),"")))),"O")</f>
        <v>N</v>
      </c>
      <c r="T10" s="34" t="str">
        <f t="shared" si="2"/>
        <v>N</v>
      </c>
      <c r="U10" s="24" t="str">
        <f>IF(OR($J10="",$J10="odešel"),IF(N10="","N",IF($F10="žena",CHOOSE(_xlfn.ARABIC($H10),MATCH(N10+1,'[1]Normy VP'!$K$25:$N$25,-1),MATCH(N10+1,'[1]Normy VP'!$K$26:$N$26,-1),MATCH(N10+1,'[1]Normy VP'!$K$27:$N$27,-1),MATCH(N10+1,'[1]Normy VP'!$K$28:$N$28,-1),MATCH(N10+1,'[1]Normy VP'!$K$29:$N$29,-1),MATCH(N10+1,'[1]Normy VP'!$K$30:$N$30,-1)),CHOOSE(_xlfn.ARABIC($H10),MATCH(N10+1,'[1]Normy VP'!$O$10:$R$10,-1),MATCH(N10+1,'[1]Normy VP'!$O$11:$R$11,-1),MATCH(N10+1,'[1]Normy VP'!$O$12:$R$12,-1),MATCH(N10+1,'[1]Normy VP'!$O$13:$R$13,-1),MATCH(N10+1,'[1]Normy VP'!$O$14:$R$14,-1),MATCH(N10+1,'[1]Normy VP'!$O$15:$R$15,-1)))),"O")</f>
        <v>N</v>
      </c>
      <c r="V10" s="26" t="str">
        <f>IF(OR($J10="",$J10="odešel"),IF(O10="","N",IF($F10="žena",CHOOSE(_xlfn.ARABIC($H10),MATCH(O10-1,'[1]Normy VP'!$O$25:$R$25),MATCH(O10-1,'[1]Normy VP'!$O$26:$R$26),MATCH(O10-1,'[1]Normy VP'!$O$27:$R$27),MATCH(O10-1,'[1]Normy VP'!$O$28:$R$28),MATCH(O10-1,'[1]Normy VP'!$O$29:$R$29),MATCH(O10-1,'[1]Normy VP'!$O$30:$R$30)),CHOOSE(_xlfn.ARABIC($H10),MATCH(O10-1,'[1]Normy VP'!$S$10:$V$10),MATCH(O10-1,'[1]Normy VP'!$S$11:$V$11),MATCH(O10-1,'[1]Normy VP'!$S$12:$V$12),MATCH(O10-1,'[1]Normy VP'!$S$13:$V$13),MATCH(O10-1,'[1]Normy VP'!$S$14:$V$14),MATCH(O10-1,'[1]Normy VP'!$S$15:$V$15)))),"O")</f>
        <v>N</v>
      </c>
      <c r="W10" s="34" t="str">
        <f t="shared" si="3"/>
        <v>N</v>
      </c>
      <c r="X10" s="27" t="str">
        <f>IF(COUNTIF(B10:G10,"")&gt;0,"",IF(COUNTIF([1]PP!$A:$A,A10)=0,"neni v PP",IF(OR(Y10="odešel",VLOOKUP(A10,[1]PP!$A:$W,22,FALSE)="odešel"),"odešel",IF(OR(Y10="N",VLOOKUP(A10,[1]PP!$A:$W,22,FALSE)="N"),"N",IF(OR(Y10="C",VLOOKUP(A10,[1]PP!$A:$W,22,FALSE)="C"),"C",IF(OR(Y10="DZO",VLOOKUP(A10,[1]PP!$A:$W,22,FALSE)="DZO"),"DZO",IF(OR(Y10="mise",Y10="disp.",Y10="končí",Y10="DSC",VLOOKUP(A10,[1]PP!$A:$W,22,FALSE)="mise",VLOOKUP(A10,[1]PP!$A:$W,22,FALSE)="disp.",VLOOKUP(A10,[1]PP!$A:$W,22,FALSE)="končí",VLOOKUP(A10,[1]PP!$A:$W,22,FALSE)="DSC"),"jiné",IF(OR(Y10=4,VLOOKUP(A10,[1]PP!$A:$W,22,FALSE)=4),4,IF(OR(Y10=3,VLOOKUP(A10,[1]PP!$A:$W,22,FALSE)=3),3,IF(OR(Y10=2,VLOOKUP(A10,[1]PP!$A:$W,22,FALSE)=2),2,IF(AND(Y10=1,VLOOKUP(A10,[1]PP!$A:$W,22,FALSE)=1),1)))))))))))</f>
        <v/>
      </c>
      <c r="Y10" s="28" t="str">
        <f>IF(COUNTIF(B10:G10,"")&gt;0,"",IF(COUNTIF([1]PP!$A:$A,A10)=0,"neni v PP",IF(VLOOKUP(A10,[1]PP!$A:$W,8,FALSE)="odešel","odešel",IF(F10="","",IF(J10="",IF(OR(T10=4,W10=4),4,IF(AND(T10="N",W10="N"),"N",IF(OR(T10="N",W10="N"),4,ROUND(AVERAGE(T10,W10),0)))),J10)))))</f>
        <v/>
      </c>
      <c r="Z10" s="29" t="str">
        <f>IF(COUNTIF(B10:G10,"")=0,IF(X10="neni v PP",CONCATENATE("ID: &lt;",A10,"&gt; se neshoduje s žádným IDem v kartě PP"),IF(COUNTIF($A:$A,A10)&gt;1,CONCATENATE("ID: &lt;",A10,"&gt; se v kartě VP opakuje. Je nutné tyto IDy od sebe odlišit, např. mezerou za příjmením."),IF(COUNTIF([1]PP!A:A,A10)&gt;1,CONCATENATE("ID: &lt;",A10,"&gt; se v kartě PP opakuje. Je nutné tyto IDy od sebe odlišit, např. mezerou za příjmením."),IF(VLOOKUP(A10,[1]PP!$A:$W,5,FALSE)&lt;&gt;E10,CONCATENATE($E$4," &lt;",E10,"&gt; se neshoduje s jednotkou v kartě PP"," &lt;",VLOOKUP(A10,[1]PP!$A:$W,5,FALSE),"&gt;"),IF(AND(COUNTIF(K10:O10,"")&lt;5,J10="",I10=""),CONCATENATE("Doplň: ",$I$4),IF(AND(YEAR(I10)&lt;&gt;$E$2,COUNTIF(I10,"")=0),CONCATENATE("špatně uveden &lt;",$D$2,"&gt; nebo &lt;",$I$4,"&gt;"),IF(OR(AND(OR(COUNTIF(C10,"*a"),COUNTIF(C10,"*ie"),COUNTIF(C10,"*ine"),COUNTIF(D10,"*Á")),F10="muž"),AND(AND(COUNTIF(C10,"&lt;&gt;"&amp;"*a"),COUNTIF(C10,"&lt;&gt;"&amp;"*ie"),COUNTIF(C10,"&lt;&gt;"&amp;"*ine"),COUNTIF(D10,"&lt;&gt;"&amp;"*Á")),F10="žena")),CONCATENATE(C10," ",D10," je ",F10,"?"),""))))))),IF(COUNTIF(B10:O10,"")=14,"",CONCATENATE("Doplň: ",IF(B10="",CONCATENATE($B$4,IF(COUNTIF(C10:G10,"")=0,"",", ")),""),IF(C10="",CONCATENATE($C$4,IF(COUNTIF(D10:G10,"")=0,"",", ")),""),IF(D10="",CONCATENATE($D$4,IF(COUNTIF(E10:G10,"")=0,"",", ")),""),IF(E10="",CONCATENATE($E$4,IF(COUNTIF(F10:G10,"")=0,"",", ")),""),IF(F10="",CONCATENATE($F$4,IF(G10="",", ","")),""),IF(G10="",$G$4,""))))</f>
        <v/>
      </c>
      <c r="AA10" s="30"/>
    </row>
    <row r="11" spans="1:27" ht="16" x14ac:dyDescent="0.35">
      <c r="A11" s="14" t="str">
        <f t="shared" si="0"/>
        <v xml:space="preserve">  </v>
      </c>
      <c r="B11" s="15"/>
      <c r="C11" s="31"/>
      <c r="D11" s="31"/>
      <c r="E11" s="17"/>
      <c r="F11" s="18"/>
      <c r="G11" s="32"/>
      <c r="H11" s="33" t="str">
        <f>IF(G11="","",IF(F11="žena",ROMAN(MATCH(G11+1,'[1]Normy VP'!$Y$27:$Y$33,-1)),ROMAN(MATCH(G11+1,'[1]Normy VP'!$Y$19:$Y$25,-1))))</f>
        <v/>
      </c>
      <c r="I11" s="21"/>
      <c r="J11" s="22"/>
      <c r="K11" s="23"/>
      <c r="L11" s="23"/>
      <c r="M11" s="23"/>
      <c r="N11" s="22"/>
      <c r="O11" s="22"/>
      <c r="P11" s="24" t="str">
        <f>IF(OR($J11="",$J11="odešel"),IF(K11="","",IF($F11="žena",CHOOSE(_xlfn.ARABIC($H11),MATCH(K11+1,'[1]Normy VP'!$C$25:$F$25,-1),MATCH(K11+1,'[1]Normy VP'!$C$26:$F$26,-1),MATCH(K11+1,'[1]Normy VP'!$C$27:$F$27,-1),MATCH(K11+1,'[1]Normy VP'!$C$28:$F$28,-1),MATCH(K11+1,'[1]Normy VP'!$C$29:$F$29,-1),"muž"),CHOOSE(_xlfn.ARABIC($H11),MATCH(K11+1,'[1]Normy VP'!$C$10:$F$10,-1),MATCH(K11+1,'[1]Normy VP'!$C$11:$F$11,-1),MATCH(K11+1,'[1]Normy VP'!$C$12:$F$12,-1),MATCH(K11+1,'[1]Normy VP'!$C$13:$F$13,-1),MATCH(K11+1,'[1]Normy VP'!$C$14:$F$14,-1),""))),"O")</f>
        <v/>
      </c>
      <c r="Q11" s="24" t="str">
        <f>IF(OR($J11="",$J11="odešel"),IF($F11="žena","",IF(L11="","",(CHOOSE(_xlfn.ARABIC($H11),MATCH(L11+1,'[1]Normy VP'!$G$10:$J$10,-1),MATCH(L11+1,'[1]Normy VP'!$G$11:$J$11,-1),MATCH(L11+1,'[1]Normy VP'!$G$12:$J$12,-1),MATCH(L11+1,'[1]Normy VP'!$G$13:$J$13,-1),MATCH(L11+1,'[1]Normy VP'!$G$14:$J$14,-1),"")))),"O")</f>
        <v/>
      </c>
      <c r="R11" s="34" t="str">
        <f t="shared" si="1"/>
        <v>N</v>
      </c>
      <c r="S11" s="24" t="str">
        <f>IF(OR($J11="",$J11="odešel"),IF(M11="","N",IF($F11="žena",CHOOSE(_xlfn.ARABIC($H11),MATCH(M11+1,'[1]Normy VP'!$G$25:$J$25,-1),MATCH(M11+1,'[1]Normy VP'!$G$26:$J$26,-1),MATCH(M11+1,'[1]Normy VP'!$G$27:$J$27,-1),MATCH(M11+1,'[1]Normy VP'!$G$28:$J$28,-1),MATCH(M11+1,'[1]Normy VP'!$G$29:$J$29,-1),"muž"),(CHOOSE(_xlfn.ARABIC($H11),MATCH(M11+1,'[1]Normy VP'!$K$10:$N$10,-1),MATCH(M11+1,'[1]Normy VP'!$K$11:$N$11,-1),MATCH(M11+1,'[1]Normy VP'!$K$12:$N$12,-1),MATCH(M11+1,'[1]Normy VP'!$K$13:$N$13,-1),MATCH(M11+1,'[1]Normy VP'!$K$14:$N$14,-1),"")))),"O")</f>
        <v>N</v>
      </c>
      <c r="T11" s="34" t="str">
        <f t="shared" si="2"/>
        <v>N</v>
      </c>
      <c r="U11" s="24" t="str">
        <f>IF(OR($J11="",$J11="odešel"),IF(N11="","N",IF($F11="žena",CHOOSE(_xlfn.ARABIC($H11),MATCH(N11+1,'[1]Normy VP'!$K$25:$N$25,-1),MATCH(N11+1,'[1]Normy VP'!$K$26:$N$26,-1),MATCH(N11+1,'[1]Normy VP'!$K$27:$N$27,-1),MATCH(N11+1,'[1]Normy VP'!$K$28:$N$28,-1),MATCH(N11+1,'[1]Normy VP'!$K$29:$N$29,-1),MATCH(N11+1,'[1]Normy VP'!$K$30:$N$30,-1)),CHOOSE(_xlfn.ARABIC($H11),MATCH(N11+1,'[1]Normy VP'!$O$10:$R$10,-1),MATCH(N11+1,'[1]Normy VP'!$O$11:$R$11,-1),MATCH(N11+1,'[1]Normy VP'!$O$12:$R$12,-1),MATCH(N11+1,'[1]Normy VP'!$O$13:$R$13,-1),MATCH(N11+1,'[1]Normy VP'!$O$14:$R$14,-1),MATCH(N11+1,'[1]Normy VP'!$O$15:$R$15,-1)))),"O")</f>
        <v>N</v>
      </c>
      <c r="V11" s="26" t="str">
        <f>IF(OR($J11="",$J11="odešel"),IF(O11="","N",IF($F11="žena",CHOOSE(_xlfn.ARABIC($H11),MATCH(O11-1,'[1]Normy VP'!$O$25:$R$25),MATCH(O11-1,'[1]Normy VP'!$O$26:$R$26),MATCH(O11-1,'[1]Normy VP'!$O$27:$R$27),MATCH(O11-1,'[1]Normy VP'!$O$28:$R$28),MATCH(O11-1,'[1]Normy VP'!$O$29:$R$29),MATCH(O11-1,'[1]Normy VP'!$O$30:$R$30)),CHOOSE(_xlfn.ARABIC($H11),MATCH(O11-1,'[1]Normy VP'!$S$10:$V$10),MATCH(O11-1,'[1]Normy VP'!$S$11:$V$11),MATCH(O11-1,'[1]Normy VP'!$S$12:$V$12),MATCH(O11-1,'[1]Normy VP'!$S$13:$V$13),MATCH(O11-1,'[1]Normy VP'!$S$14:$V$14),MATCH(O11-1,'[1]Normy VP'!$S$15:$V$15)))),"O")</f>
        <v>N</v>
      </c>
      <c r="W11" s="34" t="str">
        <f t="shared" si="3"/>
        <v>N</v>
      </c>
      <c r="X11" s="27" t="str">
        <f>IF(COUNTIF(B11:G11,"")&gt;0,"",IF(COUNTIF([1]PP!$A:$A,A11)=0,"neni v PP",IF(OR(Y11="odešel",VLOOKUP(A11,[1]PP!$A:$W,22,FALSE)="odešel"),"odešel",IF(OR(Y11="N",VLOOKUP(A11,[1]PP!$A:$W,22,FALSE)="N"),"N",IF(OR(Y11="C",VLOOKUP(A11,[1]PP!$A:$W,22,FALSE)="C"),"C",IF(OR(Y11="DZO",VLOOKUP(A11,[1]PP!$A:$W,22,FALSE)="DZO"),"DZO",IF(OR(Y11="mise",Y11="disp.",Y11="končí",Y11="DSC",VLOOKUP(A11,[1]PP!$A:$W,22,FALSE)="mise",VLOOKUP(A11,[1]PP!$A:$W,22,FALSE)="disp.",VLOOKUP(A11,[1]PP!$A:$W,22,FALSE)="končí",VLOOKUP(A11,[1]PP!$A:$W,22,FALSE)="DSC"),"jiné",IF(OR(Y11=4,VLOOKUP(A11,[1]PP!$A:$W,22,FALSE)=4),4,IF(OR(Y11=3,VLOOKUP(A11,[1]PP!$A:$W,22,FALSE)=3),3,IF(OR(Y11=2,VLOOKUP(A11,[1]PP!$A:$W,22,FALSE)=2),2,IF(AND(Y11=1,VLOOKUP(A11,[1]PP!$A:$W,22,FALSE)=1),1)))))))))))</f>
        <v/>
      </c>
      <c r="Y11" s="28" t="str">
        <f>IF(COUNTIF(B11:G11,"")&gt;0,"",IF(COUNTIF([1]PP!$A:$A,A11)=0,"neni v PP",IF(VLOOKUP(A11,[1]PP!$A:$W,8,FALSE)="odešel","odešel",IF(F11="","",IF(J11="",IF(OR(T11=4,W11=4),4,IF(AND(T11="N",W11="N"),"N",IF(OR(T11="N",W11="N"),4,ROUND(AVERAGE(T11,W11),0)))),J11)))))</f>
        <v/>
      </c>
      <c r="Z11" s="29" t="str">
        <f>IF(COUNTIF(B11:G11,"")=0,IF(X11="neni v PP",CONCATENATE("ID: &lt;",A11,"&gt; se neshoduje s žádným IDem v kartě PP"),IF(COUNTIF($A:$A,A11)&gt;1,CONCATENATE("ID: &lt;",A11,"&gt; se v kartě VP opakuje. Je nutné tyto IDy od sebe odlišit, např. mezerou za příjmením."),IF(COUNTIF([1]PP!A:A,A11)&gt;1,CONCATENATE("ID: &lt;",A11,"&gt; se v kartě PP opakuje. Je nutné tyto IDy od sebe odlišit, např. mezerou za příjmením."),IF(VLOOKUP(A11,[1]PP!$A:$W,5,FALSE)&lt;&gt;E11,CONCATENATE($E$4," &lt;",E11,"&gt; se neshoduje s jednotkou v kartě PP"," &lt;",VLOOKUP(A11,[1]PP!$A:$W,5,FALSE),"&gt;"),IF(AND(COUNTIF(K11:O11,"")&lt;5,J11="",I11=""),CONCATENATE("Doplň: ",$I$4),IF(AND(YEAR(I11)&lt;&gt;$E$2,COUNTIF(I11,"")=0),CONCATENATE("špatně uveden &lt;",$D$2,"&gt; nebo &lt;",$I$4,"&gt;"),IF(OR(AND(OR(COUNTIF(C11,"*a"),COUNTIF(C11,"*ie"),COUNTIF(C11,"*ine"),COUNTIF(D11,"*Á")),F11="muž"),AND(AND(COUNTIF(C11,"&lt;&gt;"&amp;"*a"),COUNTIF(C11,"&lt;&gt;"&amp;"*ie"),COUNTIF(C11,"&lt;&gt;"&amp;"*ine"),COUNTIF(D11,"&lt;&gt;"&amp;"*Á")),F11="žena")),CONCATENATE(C11," ",D11," je ",F11,"?"),""))))))),IF(COUNTIF(B11:O11,"")=14,"",CONCATENATE("Doplň: ",IF(B11="",CONCATENATE($B$4,IF(COUNTIF(C11:G11,"")=0,"",", ")),""),IF(C11="",CONCATENATE($C$4,IF(COUNTIF(D11:G11,"")=0,"",", ")),""),IF(D11="",CONCATENATE($D$4,IF(COUNTIF(E11:G11,"")=0,"",", ")),""),IF(E11="",CONCATENATE($E$4,IF(COUNTIF(F11:G11,"")=0,"",", ")),""),IF(F11="",CONCATENATE($F$4,IF(G11="",", ","")),""),IF(G11="",$G$4,""))))</f>
        <v/>
      </c>
      <c r="AA11" s="30"/>
    </row>
    <row r="12" spans="1:27" ht="16" x14ac:dyDescent="0.35">
      <c r="A12" s="14" t="str">
        <f t="shared" si="0"/>
        <v xml:space="preserve">  </v>
      </c>
      <c r="B12" s="15"/>
      <c r="C12" s="31"/>
      <c r="D12" s="31"/>
      <c r="E12" s="17"/>
      <c r="F12" s="18"/>
      <c r="G12" s="32"/>
      <c r="H12" s="33" t="str">
        <f>IF(G12="","",IF(F12="žena",ROMAN(MATCH(G12+1,'[1]Normy VP'!$Y$27:$Y$33,-1)),ROMAN(MATCH(G12+1,'[1]Normy VP'!$Y$19:$Y$25,-1))))</f>
        <v/>
      </c>
      <c r="I12" s="21"/>
      <c r="J12" s="22"/>
      <c r="K12" s="23"/>
      <c r="L12" s="23"/>
      <c r="M12" s="23"/>
      <c r="N12" s="22"/>
      <c r="O12" s="22"/>
      <c r="P12" s="24" t="str">
        <f>IF(OR($J12="",$J12="odešel"),IF(K12="","",IF($F12="žena",CHOOSE(_xlfn.ARABIC($H12),MATCH(K12+1,'[1]Normy VP'!$C$25:$F$25,-1),MATCH(K12+1,'[1]Normy VP'!$C$26:$F$26,-1),MATCH(K12+1,'[1]Normy VP'!$C$27:$F$27,-1),MATCH(K12+1,'[1]Normy VP'!$C$28:$F$28,-1),MATCH(K12+1,'[1]Normy VP'!$C$29:$F$29,-1),"muž"),CHOOSE(_xlfn.ARABIC($H12),MATCH(K12+1,'[1]Normy VP'!$C$10:$F$10,-1),MATCH(K12+1,'[1]Normy VP'!$C$11:$F$11,-1),MATCH(K12+1,'[1]Normy VP'!$C$12:$F$12,-1),MATCH(K12+1,'[1]Normy VP'!$C$13:$F$13,-1),MATCH(K12+1,'[1]Normy VP'!$C$14:$F$14,-1),""))),"O")</f>
        <v/>
      </c>
      <c r="Q12" s="24" t="str">
        <f>IF(OR($J12="",$J12="odešel"),IF($F12="žena","",IF(L12="","",(CHOOSE(_xlfn.ARABIC($H12),MATCH(L12+1,'[1]Normy VP'!$G$10:$J$10,-1),MATCH(L12+1,'[1]Normy VP'!$G$11:$J$11,-1),MATCH(L12+1,'[1]Normy VP'!$G$12:$J$12,-1),MATCH(L12+1,'[1]Normy VP'!$G$13:$J$13,-1),MATCH(L12+1,'[1]Normy VP'!$G$14:$J$14,-1),"")))),"O")</f>
        <v/>
      </c>
      <c r="R12" s="34" t="str">
        <f t="shared" si="1"/>
        <v>N</v>
      </c>
      <c r="S12" s="24" t="str">
        <f>IF(OR($J12="",$J12="odešel"),IF(M12="","N",IF($F12="žena",CHOOSE(_xlfn.ARABIC($H12),MATCH(M12+1,'[1]Normy VP'!$G$25:$J$25,-1),MATCH(M12+1,'[1]Normy VP'!$G$26:$J$26,-1),MATCH(M12+1,'[1]Normy VP'!$G$27:$J$27,-1),MATCH(M12+1,'[1]Normy VP'!$G$28:$J$28,-1),MATCH(M12+1,'[1]Normy VP'!$G$29:$J$29,-1),"muž"),(CHOOSE(_xlfn.ARABIC($H12),MATCH(M12+1,'[1]Normy VP'!$K$10:$N$10,-1),MATCH(M12+1,'[1]Normy VP'!$K$11:$N$11,-1),MATCH(M12+1,'[1]Normy VP'!$K$12:$N$12,-1),MATCH(M12+1,'[1]Normy VP'!$K$13:$N$13,-1),MATCH(M12+1,'[1]Normy VP'!$K$14:$N$14,-1),"")))),"O")</f>
        <v>N</v>
      </c>
      <c r="T12" s="34" t="str">
        <f t="shared" si="2"/>
        <v>N</v>
      </c>
      <c r="U12" s="24" t="str">
        <f>IF(OR($J12="",$J12="odešel"),IF(N12="","N",IF($F12="žena",CHOOSE(_xlfn.ARABIC($H12),MATCH(N12+1,'[1]Normy VP'!$K$25:$N$25,-1),MATCH(N12+1,'[1]Normy VP'!$K$26:$N$26,-1),MATCH(N12+1,'[1]Normy VP'!$K$27:$N$27,-1),MATCH(N12+1,'[1]Normy VP'!$K$28:$N$28,-1),MATCH(N12+1,'[1]Normy VP'!$K$29:$N$29,-1),MATCH(N12+1,'[1]Normy VP'!$K$30:$N$30,-1)),CHOOSE(_xlfn.ARABIC($H12),MATCH(N12+1,'[1]Normy VP'!$O$10:$R$10,-1),MATCH(N12+1,'[1]Normy VP'!$O$11:$R$11,-1),MATCH(N12+1,'[1]Normy VP'!$O$12:$R$12,-1),MATCH(N12+1,'[1]Normy VP'!$O$13:$R$13,-1),MATCH(N12+1,'[1]Normy VP'!$O$14:$R$14,-1),MATCH(N12+1,'[1]Normy VP'!$O$15:$R$15,-1)))),"O")</f>
        <v>N</v>
      </c>
      <c r="V12" s="26" t="str">
        <f>IF(OR($J12="",$J12="odešel"),IF(O12="","N",IF($F12="žena",CHOOSE(_xlfn.ARABIC($H12),MATCH(O12-1,'[1]Normy VP'!$O$25:$R$25),MATCH(O12-1,'[1]Normy VP'!$O$26:$R$26),MATCH(O12-1,'[1]Normy VP'!$O$27:$R$27),MATCH(O12-1,'[1]Normy VP'!$O$28:$R$28),MATCH(O12-1,'[1]Normy VP'!$O$29:$R$29),MATCH(O12-1,'[1]Normy VP'!$O$30:$R$30)),CHOOSE(_xlfn.ARABIC($H12),MATCH(O12-1,'[1]Normy VP'!$S$10:$V$10),MATCH(O12-1,'[1]Normy VP'!$S$11:$V$11),MATCH(O12-1,'[1]Normy VP'!$S$12:$V$12),MATCH(O12-1,'[1]Normy VP'!$S$13:$V$13),MATCH(O12-1,'[1]Normy VP'!$S$14:$V$14),MATCH(O12-1,'[1]Normy VP'!$S$15:$V$15)))),"O")</f>
        <v>N</v>
      </c>
      <c r="W12" s="34" t="str">
        <f t="shared" si="3"/>
        <v>N</v>
      </c>
      <c r="X12" s="27" t="str">
        <f>IF(COUNTIF(B12:G12,"")&gt;0,"",IF(COUNTIF([1]PP!$A:$A,A12)=0,"neni v PP",IF(OR(Y12="odešel",VLOOKUP(A12,[1]PP!$A:$W,22,FALSE)="odešel"),"odešel",IF(OR(Y12="N",VLOOKUP(A12,[1]PP!$A:$W,22,FALSE)="N"),"N",IF(OR(Y12="C",VLOOKUP(A12,[1]PP!$A:$W,22,FALSE)="C"),"C",IF(OR(Y12="DZO",VLOOKUP(A12,[1]PP!$A:$W,22,FALSE)="DZO"),"DZO",IF(OR(Y12="mise",Y12="disp.",Y12="končí",Y12="DSC",VLOOKUP(A12,[1]PP!$A:$W,22,FALSE)="mise",VLOOKUP(A12,[1]PP!$A:$W,22,FALSE)="disp.",VLOOKUP(A12,[1]PP!$A:$W,22,FALSE)="končí",VLOOKUP(A12,[1]PP!$A:$W,22,FALSE)="DSC"),"jiné",IF(OR(Y12=4,VLOOKUP(A12,[1]PP!$A:$W,22,FALSE)=4),4,IF(OR(Y12=3,VLOOKUP(A12,[1]PP!$A:$W,22,FALSE)=3),3,IF(OR(Y12=2,VLOOKUP(A12,[1]PP!$A:$W,22,FALSE)=2),2,IF(AND(Y12=1,VLOOKUP(A12,[1]PP!$A:$W,22,FALSE)=1),1)))))))))))</f>
        <v/>
      </c>
      <c r="Y12" s="28" t="str">
        <f>IF(COUNTIF(B12:G12,"")&gt;0,"",IF(COUNTIF([1]PP!$A:$A,A12)=0,"neni v PP",IF(VLOOKUP(A12,[1]PP!$A:$W,8,FALSE)="odešel","odešel",IF(F12="","",IF(J12="",IF(OR(T12=4,W12=4),4,IF(AND(T12="N",W12="N"),"N",IF(OR(T12="N",W12="N"),4,ROUND(AVERAGE(T12,W12),0)))),J12)))))</f>
        <v/>
      </c>
      <c r="Z12" s="29" t="str">
        <f>IF(COUNTIF(B12:G12,"")=0,IF(X12="neni v PP",CONCATENATE("ID: &lt;",A12,"&gt; se neshoduje s žádným IDem v kartě PP"),IF(COUNTIF($A:$A,A12)&gt;1,CONCATENATE("ID: &lt;",A12,"&gt; se v kartě VP opakuje. Je nutné tyto IDy od sebe odlišit, např. mezerou za příjmením."),IF(COUNTIF([1]PP!A:A,A12)&gt;1,CONCATENATE("ID: &lt;",A12,"&gt; se v kartě PP opakuje. Je nutné tyto IDy od sebe odlišit, např. mezerou za příjmením."),IF(VLOOKUP(A12,[1]PP!$A:$W,5,FALSE)&lt;&gt;E12,CONCATENATE($E$4," &lt;",E12,"&gt; se neshoduje s jednotkou v kartě PP"," &lt;",VLOOKUP(A12,[1]PP!$A:$W,5,FALSE),"&gt;"),IF(AND(COUNTIF(K12:O12,"")&lt;5,J12="",I12=""),CONCATENATE("Doplň: ",$I$4),IF(AND(YEAR(I12)&lt;&gt;$E$2,COUNTIF(I12,"")=0),CONCATENATE("špatně uveden &lt;",$D$2,"&gt; nebo &lt;",$I$4,"&gt;"),IF(OR(AND(OR(COUNTIF(C12,"*a"),COUNTIF(C12,"*ie"),COUNTIF(C12,"*ine"),COUNTIF(D12,"*Á")),F12="muž"),AND(AND(COUNTIF(C12,"&lt;&gt;"&amp;"*a"),COUNTIF(C12,"&lt;&gt;"&amp;"*ie"),COUNTIF(C12,"&lt;&gt;"&amp;"*ine"),COUNTIF(D12,"&lt;&gt;"&amp;"*Á")),F12="žena")),CONCATENATE(C12," ",D12," je ",F12,"?"),""))))))),IF(COUNTIF(B12:O12,"")=14,"",CONCATENATE("Doplň: ",IF(B12="",CONCATENATE($B$4,IF(COUNTIF(C12:G12,"")=0,"",", ")),""),IF(C12="",CONCATENATE($C$4,IF(COUNTIF(D12:G12,"")=0,"",", ")),""),IF(D12="",CONCATENATE($D$4,IF(COUNTIF(E12:G12,"")=0,"",", ")),""),IF(E12="",CONCATENATE($E$4,IF(COUNTIF(F12:G12,"")=0,"",", ")),""),IF(F12="",CONCATENATE($F$4,IF(G12="",", ","")),""),IF(G12="",$G$4,""))))</f>
        <v/>
      </c>
      <c r="AA12" s="30"/>
    </row>
    <row r="13" spans="1:27" ht="16" x14ac:dyDescent="0.35">
      <c r="A13" s="14" t="str">
        <f t="shared" si="0"/>
        <v xml:space="preserve">  </v>
      </c>
      <c r="B13" s="15"/>
      <c r="C13" s="31"/>
      <c r="D13" s="31"/>
      <c r="E13" s="17"/>
      <c r="F13" s="18"/>
      <c r="G13" s="32"/>
      <c r="H13" s="33" t="str">
        <f>IF(G13="","",IF(F13="žena",ROMAN(MATCH(G13+1,'[1]Normy VP'!$Y$27:$Y$33,-1)),ROMAN(MATCH(G13+1,'[1]Normy VP'!$Y$19:$Y$25,-1))))</f>
        <v/>
      </c>
      <c r="I13" s="21"/>
      <c r="J13" s="22"/>
      <c r="K13" s="23"/>
      <c r="L13" s="23"/>
      <c r="M13" s="23"/>
      <c r="N13" s="22"/>
      <c r="O13" s="22"/>
      <c r="P13" s="24" t="str">
        <f>IF(OR($J13="",$J13="odešel"),IF(K13="","",IF($F13="žena",CHOOSE(_xlfn.ARABIC($H13),MATCH(K13+1,'[1]Normy VP'!$C$25:$F$25,-1),MATCH(K13+1,'[1]Normy VP'!$C$26:$F$26,-1),MATCH(K13+1,'[1]Normy VP'!$C$27:$F$27,-1),MATCH(K13+1,'[1]Normy VP'!$C$28:$F$28,-1),MATCH(K13+1,'[1]Normy VP'!$C$29:$F$29,-1),"muž"),CHOOSE(_xlfn.ARABIC($H13),MATCH(K13+1,'[1]Normy VP'!$C$10:$F$10,-1),MATCH(K13+1,'[1]Normy VP'!$C$11:$F$11,-1),MATCH(K13+1,'[1]Normy VP'!$C$12:$F$12,-1),MATCH(K13+1,'[1]Normy VP'!$C$13:$F$13,-1),MATCH(K13+1,'[1]Normy VP'!$C$14:$F$14,-1),""))),"O")</f>
        <v/>
      </c>
      <c r="Q13" s="24" t="str">
        <f>IF(OR($J13="",$J13="odešel"),IF($F13="žena","",IF(L13="","",(CHOOSE(_xlfn.ARABIC($H13),MATCH(L13+1,'[1]Normy VP'!$G$10:$J$10,-1),MATCH(L13+1,'[1]Normy VP'!$G$11:$J$11,-1),MATCH(L13+1,'[1]Normy VP'!$G$12:$J$12,-1),MATCH(L13+1,'[1]Normy VP'!$G$13:$J$13,-1),MATCH(L13+1,'[1]Normy VP'!$G$14:$J$14,-1),"")))),"O")</f>
        <v/>
      </c>
      <c r="R13" s="34" t="str">
        <f t="shared" si="1"/>
        <v>N</v>
      </c>
      <c r="S13" s="24" t="str">
        <f>IF(OR($J13="",$J13="odešel"),IF(M13="","N",IF($F13="žena",CHOOSE(_xlfn.ARABIC($H13),MATCH(M13+1,'[1]Normy VP'!$G$25:$J$25,-1),MATCH(M13+1,'[1]Normy VP'!$G$26:$J$26,-1),MATCH(M13+1,'[1]Normy VP'!$G$27:$J$27,-1),MATCH(M13+1,'[1]Normy VP'!$G$28:$J$28,-1),MATCH(M13+1,'[1]Normy VP'!$G$29:$J$29,-1),"muž"),(CHOOSE(_xlfn.ARABIC($H13),MATCH(M13+1,'[1]Normy VP'!$K$10:$N$10,-1),MATCH(M13+1,'[1]Normy VP'!$K$11:$N$11,-1),MATCH(M13+1,'[1]Normy VP'!$K$12:$N$12,-1),MATCH(M13+1,'[1]Normy VP'!$K$13:$N$13,-1),MATCH(M13+1,'[1]Normy VP'!$K$14:$N$14,-1),"")))),"O")</f>
        <v>N</v>
      </c>
      <c r="T13" s="34" t="str">
        <f t="shared" si="2"/>
        <v>N</v>
      </c>
      <c r="U13" s="24" t="str">
        <f>IF(OR($J13="",$J13="odešel"),IF(N13="","N",IF($F13="žena",CHOOSE(_xlfn.ARABIC($H13),MATCH(N13+1,'[1]Normy VP'!$K$25:$N$25,-1),MATCH(N13+1,'[1]Normy VP'!$K$26:$N$26,-1),MATCH(N13+1,'[1]Normy VP'!$K$27:$N$27,-1),MATCH(N13+1,'[1]Normy VP'!$K$28:$N$28,-1),MATCH(N13+1,'[1]Normy VP'!$K$29:$N$29,-1),MATCH(N13+1,'[1]Normy VP'!$K$30:$N$30,-1)),CHOOSE(_xlfn.ARABIC($H13),MATCH(N13+1,'[1]Normy VP'!$O$10:$R$10,-1),MATCH(N13+1,'[1]Normy VP'!$O$11:$R$11,-1),MATCH(N13+1,'[1]Normy VP'!$O$12:$R$12,-1),MATCH(N13+1,'[1]Normy VP'!$O$13:$R$13,-1),MATCH(N13+1,'[1]Normy VP'!$O$14:$R$14,-1),MATCH(N13+1,'[1]Normy VP'!$O$15:$R$15,-1)))),"O")</f>
        <v>N</v>
      </c>
      <c r="V13" s="26" t="str">
        <f>IF(OR($J13="",$J13="odešel"),IF(O13="","N",IF($F13="žena",CHOOSE(_xlfn.ARABIC($H13),MATCH(O13-1,'[1]Normy VP'!$O$25:$R$25),MATCH(O13-1,'[1]Normy VP'!$O$26:$R$26),MATCH(O13-1,'[1]Normy VP'!$O$27:$R$27),MATCH(O13-1,'[1]Normy VP'!$O$28:$R$28),MATCH(O13-1,'[1]Normy VP'!$O$29:$R$29),MATCH(O13-1,'[1]Normy VP'!$O$30:$R$30)),CHOOSE(_xlfn.ARABIC($H13),MATCH(O13-1,'[1]Normy VP'!$S$10:$V$10),MATCH(O13-1,'[1]Normy VP'!$S$11:$V$11),MATCH(O13-1,'[1]Normy VP'!$S$12:$V$12),MATCH(O13-1,'[1]Normy VP'!$S$13:$V$13),MATCH(O13-1,'[1]Normy VP'!$S$14:$V$14),MATCH(O13-1,'[1]Normy VP'!$S$15:$V$15)))),"O")</f>
        <v>N</v>
      </c>
      <c r="W13" s="34" t="str">
        <f t="shared" si="3"/>
        <v>N</v>
      </c>
      <c r="X13" s="27" t="str">
        <f>IF(COUNTIF(B13:G13,"")&gt;0,"",IF(COUNTIF([1]PP!$A:$A,A13)=0,"neni v PP",IF(OR(Y13="odešel",VLOOKUP(A13,[1]PP!$A:$W,22,FALSE)="odešel"),"odešel",IF(OR(Y13="N",VLOOKUP(A13,[1]PP!$A:$W,22,FALSE)="N"),"N",IF(OR(Y13="C",VLOOKUP(A13,[1]PP!$A:$W,22,FALSE)="C"),"C",IF(OR(Y13="DZO",VLOOKUP(A13,[1]PP!$A:$W,22,FALSE)="DZO"),"DZO",IF(OR(Y13="mise",Y13="disp.",Y13="končí",Y13="DSC",VLOOKUP(A13,[1]PP!$A:$W,22,FALSE)="mise",VLOOKUP(A13,[1]PP!$A:$W,22,FALSE)="disp.",VLOOKUP(A13,[1]PP!$A:$W,22,FALSE)="končí",VLOOKUP(A13,[1]PP!$A:$W,22,FALSE)="DSC"),"jiné",IF(OR(Y13=4,VLOOKUP(A13,[1]PP!$A:$W,22,FALSE)=4),4,IF(OR(Y13=3,VLOOKUP(A13,[1]PP!$A:$W,22,FALSE)=3),3,IF(OR(Y13=2,VLOOKUP(A13,[1]PP!$A:$W,22,FALSE)=2),2,IF(AND(Y13=1,VLOOKUP(A13,[1]PP!$A:$W,22,FALSE)=1),1)))))))))))</f>
        <v/>
      </c>
      <c r="Y13" s="28" t="str">
        <f>IF(COUNTIF(B13:G13,"")&gt;0,"",IF(COUNTIF([1]PP!$A:$A,A13)=0,"neni v PP",IF(VLOOKUP(A13,[1]PP!$A:$W,8,FALSE)="odešel","odešel",IF(F13="","",IF(J13="",IF(OR(T13=4,W13=4),4,IF(AND(T13="N",W13="N"),"N",IF(OR(T13="N",W13="N"),4,ROUND(AVERAGE(T13,W13),0)))),J13)))))</f>
        <v/>
      </c>
      <c r="Z13" s="29" t="str">
        <f>IF(COUNTIF(B13:G13,"")=0,IF(X13="neni v PP",CONCATENATE("ID: &lt;",A13,"&gt; se neshoduje s žádným IDem v kartě PP"),IF(COUNTIF($A:$A,A13)&gt;1,CONCATENATE("ID: &lt;",A13,"&gt; se v kartě VP opakuje. Je nutné tyto IDy od sebe odlišit, např. mezerou za příjmením."),IF(COUNTIF([1]PP!A:A,A13)&gt;1,CONCATENATE("ID: &lt;",A13,"&gt; se v kartě PP opakuje. Je nutné tyto IDy od sebe odlišit, např. mezerou za příjmením."),IF(VLOOKUP(A13,[1]PP!$A:$W,5,FALSE)&lt;&gt;E13,CONCATENATE($E$4," &lt;",E13,"&gt; se neshoduje s jednotkou v kartě PP"," &lt;",VLOOKUP(A13,[1]PP!$A:$W,5,FALSE),"&gt;"),IF(AND(COUNTIF(K13:O13,"")&lt;5,J13="",I13=""),CONCATENATE("Doplň: ",$I$4),IF(AND(YEAR(I13)&lt;&gt;$E$2,COUNTIF(I13,"")=0),CONCATENATE("špatně uveden &lt;",$D$2,"&gt; nebo &lt;",$I$4,"&gt;"),IF(OR(AND(OR(COUNTIF(C13,"*a"),COUNTIF(C13,"*ie"),COUNTIF(C13,"*ine"),COUNTIF(D13,"*Á")),F13="muž"),AND(AND(COUNTIF(C13,"&lt;&gt;"&amp;"*a"),COUNTIF(C13,"&lt;&gt;"&amp;"*ie"),COUNTIF(C13,"&lt;&gt;"&amp;"*ine"),COUNTIF(D13,"&lt;&gt;"&amp;"*Á")),F13="žena")),CONCATENATE(C13," ",D13," je ",F13,"?"),""))))))),IF(COUNTIF(B13:O13,"")=14,"",CONCATENATE("Doplň: ",IF(B13="",CONCATENATE($B$4,IF(COUNTIF(C13:G13,"")=0,"",", ")),""),IF(C13="",CONCATENATE($C$4,IF(COUNTIF(D13:G13,"")=0,"",", ")),""),IF(D13="",CONCATENATE($D$4,IF(COUNTIF(E13:G13,"")=0,"",", ")),""),IF(E13="",CONCATENATE($E$4,IF(COUNTIF(F13:G13,"")=0,"",", ")),""),IF(F13="",CONCATENATE($F$4,IF(G13="",", ","")),""),IF(G13="",$G$4,""))))</f>
        <v/>
      </c>
      <c r="AA13" s="30"/>
    </row>
    <row r="14" spans="1:27" ht="16" x14ac:dyDescent="0.35">
      <c r="A14" s="14" t="str">
        <f t="shared" si="0"/>
        <v xml:space="preserve">  </v>
      </c>
      <c r="B14" s="15"/>
      <c r="C14" s="31"/>
      <c r="D14" s="31"/>
      <c r="E14" s="17"/>
      <c r="F14" s="18"/>
      <c r="G14" s="32"/>
      <c r="H14" s="33" t="str">
        <f>IF(G14="","",IF(F14="žena",ROMAN(MATCH(G14+1,'[1]Normy VP'!$Y$27:$Y$33,-1)),ROMAN(MATCH(G14+1,'[1]Normy VP'!$Y$19:$Y$25,-1))))</f>
        <v/>
      </c>
      <c r="I14" s="21"/>
      <c r="J14" s="22"/>
      <c r="K14" s="23"/>
      <c r="L14" s="23"/>
      <c r="M14" s="23"/>
      <c r="N14" s="22"/>
      <c r="O14" s="22"/>
      <c r="P14" s="24" t="str">
        <f>IF(OR($J14="",$J14="odešel"),IF(K14="","",IF($F14="žena",CHOOSE(_xlfn.ARABIC($H14),MATCH(K14+1,'[1]Normy VP'!$C$25:$F$25,-1),MATCH(K14+1,'[1]Normy VP'!$C$26:$F$26,-1),MATCH(K14+1,'[1]Normy VP'!$C$27:$F$27,-1),MATCH(K14+1,'[1]Normy VP'!$C$28:$F$28,-1),MATCH(K14+1,'[1]Normy VP'!$C$29:$F$29,-1),"muž"),CHOOSE(_xlfn.ARABIC($H14),MATCH(K14+1,'[1]Normy VP'!$C$10:$F$10,-1),MATCH(K14+1,'[1]Normy VP'!$C$11:$F$11,-1),MATCH(K14+1,'[1]Normy VP'!$C$12:$F$12,-1),MATCH(K14+1,'[1]Normy VP'!$C$13:$F$13,-1),MATCH(K14+1,'[1]Normy VP'!$C$14:$F$14,-1),""))),"O")</f>
        <v/>
      </c>
      <c r="Q14" s="24" t="str">
        <f>IF(OR($J14="",$J14="odešel"),IF($F14="žena","",IF(L14="","",(CHOOSE(_xlfn.ARABIC($H14),MATCH(L14+1,'[1]Normy VP'!$G$10:$J$10,-1),MATCH(L14+1,'[1]Normy VP'!$G$11:$J$11,-1),MATCH(L14+1,'[1]Normy VP'!$G$12:$J$12,-1),MATCH(L14+1,'[1]Normy VP'!$G$13:$J$13,-1),MATCH(L14+1,'[1]Normy VP'!$G$14:$J$14,-1),"")))),"O")</f>
        <v/>
      </c>
      <c r="R14" s="34" t="str">
        <f t="shared" si="1"/>
        <v>N</v>
      </c>
      <c r="S14" s="24" t="str">
        <f>IF(OR($J14="",$J14="odešel"),IF(M14="","N",IF($F14="žena",CHOOSE(_xlfn.ARABIC($H14),MATCH(M14+1,'[1]Normy VP'!$G$25:$J$25,-1),MATCH(M14+1,'[1]Normy VP'!$G$26:$J$26,-1),MATCH(M14+1,'[1]Normy VP'!$G$27:$J$27,-1),MATCH(M14+1,'[1]Normy VP'!$G$28:$J$28,-1),MATCH(M14+1,'[1]Normy VP'!$G$29:$J$29,-1),"muž"),(CHOOSE(_xlfn.ARABIC($H14),MATCH(M14+1,'[1]Normy VP'!$K$10:$N$10,-1),MATCH(M14+1,'[1]Normy VP'!$K$11:$N$11,-1),MATCH(M14+1,'[1]Normy VP'!$K$12:$N$12,-1),MATCH(M14+1,'[1]Normy VP'!$K$13:$N$13,-1),MATCH(M14+1,'[1]Normy VP'!$K$14:$N$14,-1),"")))),"O")</f>
        <v>N</v>
      </c>
      <c r="T14" s="34" t="str">
        <f t="shared" si="2"/>
        <v>N</v>
      </c>
      <c r="U14" s="24" t="str">
        <f>IF(OR($J14="",$J14="odešel"),IF(N14="","N",IF($F14="žena",CHOOSE(_xlfn.ARABIC($H14),MATCH(N14+1,'[1]Normy VP'!$K$25:$N$25,-1),MATCH(N14+1,'[1]Normy VP'!$K$26:$N$26,-1),MATCH(N14+1,'[1]Normy VP'!$K$27:$N$27,-1),MATCH(N14+1,'[1]Normy VP'!$K$28:$N$28,-1),MATCH(N14+1,'[1]Normy VP'!$K$29:$N$29,-1),MATCH(N14+1,'[1]Normy VP'!$K$30:$N$30,-1)),CHOOSE(_xlfn.ARABIC($H14),MATCH(N14+1,'[1]Normy VP'!$O$10:$R$10,-1),MATCH(N14+1,'[1]Normy VP'!$O$11:$R$11,-1),MATCH(N14+1,'[1]Normy VP'!$O$12:$R$12,-1),MATCH(N14+1,'[1]Normy VP'!$O$13:$R$13,-1),MATCH(N14+1,'[1]Normy VP'!$O$14:$R$14,-1),MATCH(N14+1,'[1]Normy VP'!$O$15:$R$15,-1)))),"O")</f>
        <v>N</v>
      </c>
      <c r="V14" s="26" t="str">
        <f>IF(OR($J14="",$J14="odešel"),IF(O14="","N",IF($F14="žena",CHOOSE(_xlfn.ARABIC($H14),MATCH(O14-1,'[1]Normy VP'!$O$25:$R$25),MATCH(O14-1,'[1]Normy VP'!$O$26:$R$26),MATCH(O14-1,'[1]Normy VP'!$O$27:$R$27),MATCH(O14-1,'[1]Normy VP'!$O$28:$R$28),MATCH(O14-1,'[1]Normy VP'!$O$29:$R$29),MATCH(O14-1,'[1]Normy VP'!$O$30:$R$30)),CHOOSE(_xlfn.ARABIC($H14),MATCH(O14-1,'[1]Normy VP'!$S$10:$V$10),MATCH(O14-1,'[1]Normy VP'!$S$11:$V$11),MATCH(O14-1,'[1]Normy VP'!$S$12:$V$12),MATCH(O14-1,'[1]Normy VP'!$S$13:$V$13),MATCH(O14-1,'[1]Normy VP'!$S$14:$V$14),MATCH(O14-1,'[1]Normy VP'!$S$15:$V$15)))),"O")</f>
        <v>N</v>
      </c>
      <c r="W14" s="34" t="str">
        <f t="shared" si="3"/>
        <v>N</v>
      </c>
      <c r="X14" s="27" t="str">
        <f>IF(COUNTIF(B14:G14,"")&gt;0,"",IF(COUNTIF([1]PP!$A:$A,A14)=0,"neni v PP",IF(OR(Y14="odešel",VLOOKUP(A14,[1]PP!$A:$W,22,FALSE)="odešel"),"odešel",IF(OR(Y14="N",VLOOKUP(A14,[1]PP!$A:$W,22,FALSE)="N"),"N",IF(OR(Y14="C",VLOOKUP(A14,[1]PP!$A:$W,22,FALSE)="C"),"C",IF(OR(Y14="DZO",VLOOKUP(A14,[1]PP!$A:$W,22,FALSE)="DZO"),"DZO",IF(OR(Y14="mise",Y14="disp.",Y14="končí",Y14="DSC",VLOOKUP(A14,[1]PP!$A:$W,22,FALSE)="mise",VLOOKUP(A14,[1]PP!$A:$W,22,FALSE)="disp.",VLOOKUP(A14,[1]PP!$A:$W,22,FALSE)="končí",VLOOKUP(A14,[1]PP!$A:$W,22,FALSE)="DSC"),"jiné",IF(OR(Y14=4,VLOOKUP(A14,[1]PP!$A:$W,22,FALSE)=4),4,IF(OR(Y14=3,VLOOKUP(A14,[1]PP!$A:$W,22,FALSE)=3),3,IF(OR(Y14=2,VLOOKUP(A14,[1]PP!$A:$W,22,FALSE)=2),2,IF(AND(Y14=1,VLOOKUP(A14,[1]PP!$A:$W,22,FALSE)=1),1)))))))))))</f>
        <v/>
      </c>
      <c r="Y14" s="28" t="str">
        <f>IF(COUNTIF(B14:G14,"")&gt;0,"",IF(COUNTIF([1]PP!$A:$A,A14)=0,"neni v PP",IF(VLOOKUP(A14,[1]PP!$A:$W,8,FALSE)="odešel","odešel",IF(F14="","",IF(J14="",IF(OR(T14=4,W14=4),4,IF(AND(T14="N",W14="N"),"N",IF(OR(T14="N",W14="N"),4,ROUND(AVERAGE(T14,W14),0)))),J14)))))</f>
        <v/>
      </c>
      <c r="Z14" s="29" t="str">
        <f>IF(COUNTIF(B14:G14,"")=0,IF(X14="neni v PP",CONCATENATE("ID: &lt;",A14,"&gt; se neshoduje s žádným IDem v kartě PP"),IF(COUNTIF($A:$A,A14)&gt;1,CONCATENATE("ID: &lt;",A14,"&gt; se v kartě VP opakuje. Je nutné tyto IDy od sebe odlišit, např. mezerou za příjmením."),IF(COUNTIF([1]PP!A:A,A14)&gt;1,CONCATENATE("ID: &lt;",A14,"&gt; se v kartě PP opakuje. Je nutné tyto IDy od sebe odlišit, např. mezerou za příjmením."),IF(VLOOKUP(A14,[1]PP!$A:$W,5,FALSE)&lt;&gt;E14,CONCATENATE($E$4," &lt;",E14,"&gt; se neshoduje s jednotkou v kartě PP"," &lt;",VLOOKUP(A14,[1]PP!$A:$W,5,FALSE),"&gt;"),IF(AND(COUNTIF(K14:O14,"")&lt;5,J14="",I14=""),CONCATENATE("Doplň: ",$I$4),IF(AND(YEAR(I14)&lt;&gt;$E$2,COUNTIF(I14,"")=0),CONCATENATE("špatně uveden &lt;",$D$2,"&gt; nebo &lt;",$I$4,"&gt;"),IF(OR(AND(OR(COUNTIF(C14,"*a"),COUNTIF(C14,"*ie"),COUNTIF(C14,"*ine"),COUNTIF(D14,"*Á")),F14="muž"),AND(AND(COUNTIF(C14,"&lt;&gt;"&amp;"*a"),COUNTIF(C14,"&lt;&gt;"&amp;"*ie"),COUNTIF(C14,"&lt;&gt;"&amp;"*ine"),COUNTIF(D14,"&lt;&gt;"&amp;"*Á")),F14="žena")),CONCATENATE(C14," ",D14," je ",F14,"?"),""))))))),IF(COUNTIF(B14:O14,"")=14,"",CONCATENATE("Doplň: ",IF(B14="",CONCATENATE($B$4,IF(COUNTIF(C14:G14,"")=0,"",", ")),""),IF(C14="",CONCATENATE($C$4,IF(COUNTIF(D14:G14,"")=0,"",", ")),""),IF(D14="",CONCATENATE($D$4,IF(COUNTIF(E14:G14,"")=0,"",", ")),""),IF(E14="",CONCATENATE($E$4,IF(COUNTIF(F14:G14,"")=0,"",", ")),""),IF(F14="",CONCATENATE($F$4,IF(G14="",", ","")),""),IF(G14="",$G$4,""))))</f>
        <v/>
      </c>
      <c r="AA14" s="30"/>
    </row>
    <row r="15" spans="1:27" ht="16" x14ac:dyDescent="0.35">
      <c r="A15" s="14" t="str">
        <f t="shared" si="0"/>
        <v xml:space="preserve">  </v>
      </c>
      <c r="B15" s="15"/>
      <c r="C15" s="31"/>
      <c r="D15" s="31"/>
      <c r="E15" s="17"/>
      <c r="F15" s="18"/>
      <c r="G15" s="32"/>
      <c r="H15" s="33" t="str">
        <f>IF(G15="","",IF(F15="žena",ROMAN(MATCH(G15+1,'[1]Normy VP'!$Y$27:$Y$33,-1)),ROMAN(MATCH(G15+1,'[1]Normy VP'!$Y$19:$Y$25,-1))))</f>
        <v/>
      </c>
      <c r="I15" s="21"/>
      <c r="J15" s="22"/>
      <c r="K15" s="23"/>
      <c r="L15" s="23"/>
      <c r="M15" s="23"/>
      <c r="N15" s="22"/>
      <c r="O15" s="22"/>
      <c r="P15" s="24" t="str">
        <f>IF(OR($J15="",$J15="odešel"),IF(K15="","",IF($F15="žena",CHOOSE(_xlfn.ARABIC($H15),MATCH(K15+1,'[1]Normy VP'!$C$25:$F$25,-1),MATCH(K15+1,'[1]Normy VP'!$C$26:$F$26,-1),MATCH(K15+1,'[1]Normy VP'!$C$27:$F$27,-1),MATCH(K15+1,'[1]Normy VP'!$C$28:$F$28,-1),MATCH(K15+1,'[1]Normy VP'!$C$29:$F$29,-1),"muž"),CHOOSE(_xlfn.ARABIC($H15),MATCH(K15+1,'[1]Normy VP'!$C$10:$F$10,-1),MATCH(K15+1,'[1]Normy VP'!$C$11:$F$11,-1),MATCH(K15+1,'[1]Normy VP'!$C$12:$F$12,-1),MATCH(K15+1,'[1]Normy VP'!$C$13:$F$13,-1),MATCH(K15+1,'[1]Normy VP'!$C$14:$F$14,-1),""))),"O")</f>
        <v/>
      </c>
      <c r="Q15" s="24" t="str">
        <f>IF(OR($J15="",$J15="odešel"),IF($F15="žena","",IF(L15="","",(CHOOSE(_xlfn.ARABIC($H15),MATCH(L15+1,'[1]Normy VP'!$G$10:$J$10,-1),MATCH(L15+1,'[1]Normy VP'!$G$11:$J$11,-1),MATCH(L15+1,'[1]Normy VP'!$G$12:$J$12,-1),MATCH(L15+1,'[1]Normy VP'!$G$13:$J$13,-1),MATCH(L15+1,'[1]Normy VP'!$G$14:$J$14,-1),"")))),"O")</f>
        <v/>
      </c>
      <c r="R15" s="34" t="str">
        <f t="shared" si="1"/>
        <v>N</v>
      </c>
      <c r="S15" s="24" t="str">
        <f>IF(OR($J15="",$J15="odešel"),IF(M15="","N",IF($F15="žena",CHOOSE(_xlfn.ARABIC($H15),MATCH(M15+1,'[1]Normy VP'!$G$25:$J$25,-1),MATCH(M15+1,'[1]Normy VP'!$G$26:$J$26,-1),MATCH(M15+1,'[1]Normy VP'!$G$27:$J$27,-1),MATCH(M15+1,'[1]Normy VP'!$G$28:$J$28,-1),MATCH(M15+1,'[1]Normy VP'!$G$29:$J$29,-1),"muž"),(CHOOSE(_xlfn.ARABIC($H15),MATCH(M15+1,'[1]Normy VP'!$K$10:$N$10,-1),MATCH(M15+1,'[1]Normy VP'!$K$11:$N$11,-1),MATCH(M15+1,'[1]Normy VP'!$K$12:$N$12,-1),MATCH(M15+1,'[1]Normy VP'!$K$13:$N$13,-1),MATCH(M15+1,'[1]Normy VP'!$K$14:$N$14,-1),"")))),"O")</f>
        <v>N</v>
      </c>
      <c r="T15" s="34" t="str">
        <f t="shared" si="2"/>
        <v>N</v>
      </c>
      <c r="U15" s="24" t="str">
        <f>IF(OR($J15="",$J15="odešel"),IF(N15="","N",IF($F15="žena",CHOOSE(_xlfn.ARABIC($H15),MATCH(N15+1,'[1]Normy VP'!$K$25:$N$25,-1),MATCH(N15+1,'[1]Normy VP'!$K$26:$N$26,-1),MATCH(N15+1,'[1]Normy VP'!$K$27:$N$27,-1),MATCH(N15+1,'[1]Normy VP'!$K$28:$N$28,-1),MATCH(N15+1,'[1]Normy VP'!$K$29:$N$29,-1),MATCH(N15+1,'[1]Normy VP'!$K$30:$N$30,-1)),CHOOSE(_xlfn.ARABIC($H15),MATCH(N15+1,'[1]Normy VP'!$O$10:$R$10,-1),MATCH(N15+1,'[1]Normy VP'!$O$11:$R$11,-1),MATCH(N15+1,'[1]Normy VP'!$O$12:$R$12,-1),MATCH(N15+1,'[1]Normy VP'!$O$13:$R$13,-1),MATCH(N15+1,'[1]Normy VP'!$O$14:$R$14,-1),MATCH(N15+1,'[1]Normy VP'!$O$15:$R$15,-1)))),"O")</f>
        <v>N</v>
      </c>
      <c r="V15" s="26" t="str">
        <f>IF(OR($J15="",$J15="odešel"),IF(O15="","N",IF($F15="žena",CHOOSE(_xlfn.ARABIC($H15),MATCH(O15-1,'[1]Normy VP'!$O$25:$R$25),MATCH(O15-1,'[1]Normy VP'!$O$26:$R$26),MATCH(O15-1,'[1]Normy VP'!$O$27:$R$27),MATCH(O15-1,'[1]Normy VP'!$O$28:$R$28),MATCH(O15-1,'[1]Normy VP'!$O$29:$R$29),MATCH(O15-1,'[1]Normy VP'!$O$30:$R$30)),CHOOSE(_xlfn.ARABIC($H15),MATCH(O15-1,'[1]Normy VP'!$S$10:$V$10),MATCH(O15-1,'[1]Normy VP'!$S$11:$V$11),MATCH(O15-1,'[1]Normy VP'!$S$12:$V$12),MATCH(O15-1,'[1]Normy VP'!$S$13:$V$13),MATCH(O15-1,'[1]Normy VP'!$S$14:$V$14),MATCH(O15-1,'[1]Normy VP'!$S$15:$V$15)))),"O")</f>
        <v>N</v>
      </c>
      <c r="W15" s="34" t="str">
        <f t="shared" si="3"/>
        <v>N</v>
      </c>
      <c r="X15" s="27" t="str">
        <f>IF(COUNTIF(B15:G15,"")&gt;0,"",IF(COUNTIF([1]PP!$A:$A,A15)=0,"neni v PP",IF(OR(Y15="odešel",VLOOKUP(A15,[1]PP!$A:$W,22,FALSE)="odešel"),"odešel",IF(OR(Y15="N",VLOOKUP(A15,[1]PP!$A:$W,22,FALSE)="N"),"N",IF(OR(Y15="C",VLOOKUP(A15,[1]PP!$A:$W,22,FALSE)="C"),"C",IF(OR(Y15="DZO",VLOOKUP(A15,[1]PP!$A:$W,22,FALSE)="DZO"),"DZO",IF(OR(Y15="mise",Y15="disp.",Y15="končí",Y15="DSC",VLOOKUP(A15,[1]PP!$A:$W,22,FALSE)="mise",VLOOKUP(A15,[1]PP!$A:$W,22,FALSE)="disp.",VLOOKUP(A15,[1]PP!$A:$W,22,FALSE)="končí",VLOOKUP(A15,[1]PP!$A:$W,22,FALSE)="DSC"),"jiné",IF(OR(Y15=4,VLOOKUP(A15,[1]PP!$A:$W,22,FALSE)=4),4,IF(OR(Y15=3,VLOOKUP(A15,[1]PP!$A:$W,22,FALSE)=3),3,IF(OR(Y15=2,VLOOKUP(A15,[1]PP!$A:$W,22,FALSE)=2),2,IF(AND(Y15=1,VLOOKUP(A15,[1]PP!$A:$W,22,FALSE)=1),1)))))))))))</f>
        <v/>
      </c>
      <c r="Y15" s="28" t="str">
        <f>IF(COUNTIF(B15:G15,"")&gt;0,"",IF(COUNTIF([1]PP!$A:$A,A15)=0,"neni v PP",IF(VLOOKUP(A15,[1]PP!$A:$W,8,FALSE)="odešel","odešel",IF(F15="","",IF(J15="",IF(OR(T15=4,W15=4),4,IF(AND(T15="N",W15="N"),"N",IF(OR(T15="N",W15="N"),4,ROUND(AVERAGE(T15,W15),0)))),J15)))))</f>
        <v/>
      </c>
      <c r="Z15" s="29" t="str">
        <f>IF(COUNTIF(B15:G15,"")=0,IF(X15="neni v PP",CONCATENATE("ID: &lt;",A15,"&gt; se neshoduje s žádným IDem v kartě PP"),IF(COUNTIF($A:$A,A15)&gt;1,CONCATENATE("ID: &lt;",A15,"&gt; se v kartě VP opakuje. Je nutné tyto IDy od sebe odlišit, např. mezerou za příjmením."),IF(COUNTIF([1]PP!A:A,A15)&gt;1,CONCATENATE("ID: &lt;",A15,"&gt; se v kartě PP opakuje. Je nutné tyto IDy od sebe odlišit, např. mezerou za příjmením."),IF(VLOOKUP(A15,[1]PP!$A:$W,5,FALSE)&lt;&gt;E15,CONCATENATE($E$4," &lt;",E15,"&gt; se neshoduje s jednotkou v kartě PP"," &lt;",VLOOKUP(A15,[1]PP!$A:$W,5,FALSE),"&gt;"),IF(AND(COUNTIF(K15:O15,"")&lt;5,J15="",I15=""),CONCATENATE("Doplň: ",$I$4),IF(AND(YEAR(I15)&lt;&gt;$E$2,COUNTIF(I15,"")=0),CONCATENATE("špatně uveden &lt;",$D$2,"&gt; nebo &lt;",$I$4,"&gt;"),IF(OR(AND(OR(COUNTIF(C15,"*a"),COUNTIF(C15,"*ie"),COUNTIF(C15,"*ine"),COUNTIF(D15,"*Á")),F15="muž"),AND(AND(COUNTIF(C15,"&lt;&gt;"&amp;"*a"),COUNTIF(C15,"&lt;&gt;"&amp;"*ie"),COUNTIF(C15,"&lt;&gt;"&amp;"*ine"),COUNTIF(D15,"&lt;&gt;"&amp;"*Á")),F15="žena")),CONCATENATE(C15," ",D15," je ",F15,"?"),""))))))),IF(COUNTIF(B15:O15,"")=14,"",CONCATENATE("Doplň: ",IF(B15="",CONCATENATE($B$4,IF(COUNTIF(C15:G15,"")=0,"",", ")),""),IF(C15="",CONCATENATE($C$4,IF(COUNTIF(D15:G15,"")=0,"",", ")),""),IF(D15="",CONCATENATE($D$4,IF(COUNTIF(E15:G15,"")=0,"",", ")),""),IF(E15="",CONCATENATE($E$4,IF(COUNTIF(F15:G15,"")=0,"",", ")),""),IF(F15="",CONCATENATE($F$4,IF(G15="",", ","")),""),IF(G15="",$G$4,""))))</f>
        <v/>
      </c>
      <c r="AA15" s="30"/>
    </row>
    <row r="16" spans="1:27" ht="16" x14ac:dyDescent="0.35">
      <c r="A16" s="14" t="str">
        <f t="shared" si="0"/>
        <v xml:space="preserve">  </v>
      </c>
      <c r="B16" s="15"/>
      <c r="C16" s="31"/>
      <c r="D16" s="31"/>
      <c r="E16" s="17"/>
      <c r="F16" s="18"/>
      <c r="G16" s="32"/>
      <c r="H16" s="33" t="str">
        <f>IF(G16="","",IF(F16="žena",ROMAN(MATCH(G16+1,'[1]Normy VP'!$Y$27:$Y$33,-1)),ROMAN(MATCH(G16+1,'[1]Normy VP'!$Y$19:$Y$25,-1))))</f>
        <v/>
      </c>
      <c r="I16" s="21"/>
      <c r="J16" s="22"/>
      <c r="K16" s="23"/>
      <c r="L16" s="23"/>
      <c r="M16" s="23"/>
      <c r="N16" s="22"/>
      <c r="O16" s="22"/>
      <c r="P16" s="24" t="str">
        <f>IF(OR($J16="",$J16="odešel"),IF(K16="","",IF($F16="žena",CHOOSE(_xlfn.ARABIC($H16),MATCH(K16+1,'[1]Normy VP'!$C$25:$F$25,-1),MATCH(K16+1,'[1]Normy VP'!$C$26:$F$26,-1),MATCH(K16+1,'[1]Normy VP'!$C$27:$F$27,-1),MATCH(K16+1,'[1]Normy VP'!$C$28:$F$28,-1),MATCH(K16+1,'[1]Normy VP'!$C$29:$F$29,-1),"muž"),CHOOSE(_xlfn.ARABIC($H16),MATCH(K16+1,'[1]Normy VP'!$C$10:$F$10,-1),MATCH(K16+1,'[1]Normy VP'!$C$11:$F$11,-1),MATCH(K16+1,'[1]Normy VP'!$C$12:$F$12,-1),MATCH(K16+1,'[1]Normy VP'!$C$13:$F$13,-1),MATCH(K16+1,'[1]Normy VP'!$C$14:$F$14,-1),""))),"O")</f>
        <v/>
      </c>
      <c r="Q16" s="24" t="str">
        <f>IF(OR($J16="",$J16="odešel"),IF($F16="žena","",IF(L16="","",(CHOOSE(_xlfn.ARABIC($H16),MATCH(L16+1,'[1]Normy VP'!$G$10:$J$10,-1),MATCH(L16+1,'[1]Normy VP'!$G$11:$J$11,-1),MATCH(L16+1,'[1]Normy VP'!$G$12:$J$12,-1),MATCH(L16+1,'[1]Normy VP'!$G$13:$J$13,-1),MATCH(L16+1,'[1]Normy VP'!$G$14:$J$14,-1),"")))),"O")</f>
        <v/>
      </c>
      <c r="R16" s="34" t="str">
        <f t="shared" si="1"/>
        <v>N</v>
      </c>
      <c r="S16" s="24" t="str">
        <f>IF(OR($J16="",$J16="odešel"),IF(M16="","N",IF($F16="žena",CHOOSE(_xlfn.ARABIC($H16),MATCH(M16+1,'[1]Normy VP'!$G$25:$J$25,-1),MATCH(M16+1,'[1]Normy VP'!$G$26:$J$26,-1),MATCH(M16+1,'[1]Normy VP'!$G$27:$J$27,-1),MATCH(M16+1,'[1]Normy VP'!$G$28:$J$28,-1),MATCH(M16+1,'[1]Normy VP'!$G$29:$J$29,-1),"muž"),(CHOOSE(_xlfn.ARABIC($H16),MATCH(M16+1,'[1]Normy VP'!$K$10:$N$10,-1),MATCH(M16+1,'[1]Normy VP'!$K$11:$N$11,-1),MATCH(M16+1,'[1]Normy VP'!$K$12:$N$12,-1),MATCH(M16+1,'[1]Normy VP'!$K$13:$N$13,-1),MATCH(M16+1,'[1]Normy VP'!$K$14:$N$14,-1),"")))),"O")</f>
        <v>N</v>
      </c>
      <c r="T16" s="34" t="str">
        <f t="shared" si="2"/>
        <v>N</v>
      </c>
      <c r="U16" s="24" t="str">
        <f>IF(OR($J16="",$J16="odešel"),IF(N16="","N",IF($F16="žena",CHOOSE(_xlfn.ARABIC($H16),MATCH(N16+1,'[1]Normy VP'!$K$25:$N$25,-1),MATCH(N16+1,'[1]Normy VP'!$K$26:$N$26,-1),MATCH(N16+1,'[1]Normy VP'!$K$27:$N$27,-1),MATCH(N16+1,'[1]Normy VP'!$K$28:$N$28,-1),MATCH(N16+1,'[1]Normy VP'!$K$29:$N$29,-1),MATCH(N16+1,'[1]Normy VP'!$K$30:$N$30,-1)),CHOOSE(_xlfn.ARABIC($H16),MATCH(N16+1,'[1]Normy VP'!$O$10:$R$10,-1),MATCH(N16+1,'[1]Normy VP'!$O$11:$R$11,-1),MATCH(N16+1,'[1]Normy VP'!$O$12:$R$12,-1),MATCH(N16+1,'[1]Normy VP'!$O$13:$R$13,-1),MATCH(N16+1,'[1]Normy VP'!$O$14:$R$14,-1),MATCH(N16+1,'[1]Normy VP'!$O$15:$R$15,-1)))),"O")</f>
        <v>N</v>
      </c>
      <c r="V16" s="26" t="str">
        <f>IF(OR($J16="",$J16="odešel"),IF(O16="","N",IF($F16="žena",CHOOSE(_xlfn.ARABIC($H16),MATCH(O16-1,'[1]Normy VP'!$O$25:$R$25),MATCH(O16-1,'[1]Normy VP'!$O$26:$R$26),MATCH(O16-1,'[1]Normy VP'!$O$27:$R$27),MATCH(O16-1,'[1]Normy VP'!$O$28:$R$28),MATCH(O16-1,'[1]Normy VP'!$O$29:$R$29),MATCH(O16-1,'[1]Normy VP'!$O$30:$R$30)),CHOOSE(_xlfn.ARABIC($H16),MATCH(O16-1,'[1]Normy VP'!$S$10:$V$10),MATCH(O16-1,'[1]Normy VP'!$S$11:$V$11),MATCH(O16-1,'[1]Normy VP'!$S$12:$V$12),MATCH(O16-1,'[1]Normy VP'!$S$13:$V$13),MATCH(O16-1,'[1]Normy VP'!$S$14:$V$14),MATCH(O16-1,'[1]Normy VP'!$S$15:$V$15)))),"O")</f>
        <v>N</v>
      </c>
      <c r="W16" s="34" t="str">
        <f t="shared" si="3"/>
        <v>N</v>
      </c>
      <c r="X16" s="27" t="str">
        <f>IF(COUNTIF(B16:G16,"")&gt;0,"",IF(COUNTIF([1]PP!$A:$A,A16)=0,"neni v PP",IF(OR(Y16="odešel",VLOOKUP(A16,[1]PP!$A:$W,22,FALSE)="odešel"),"odešel",IF(OR(Y16="N",VLOOKUP(A16,[1]PP!$A:$W,22,FALSE)="N"),"N",IF(OR(Y16="C",VLOOKUP(A16,[1]PP!$A:$W,22,FALSE)="C"),"C",IF(OR(Y16="DZO",VLOOKUP(A16,[1]PP!$A:$W,22,FALSE)="DZO"),"DZO",IF(OR(Y16="mise",Y16="disp.",Y16="končí",Y16="DSC",VLOOKUP(A16,[1]PP!$A:$W,22,FALSE)="mise",VLOOKUP(A16,[1]PP!$A:$W,22,FALSE)="disp.",VLOOKUP(A16,[1]PP!$A:$W,22,FALSE)="končí",VLOOKUP(A16,[1]PP!$A:$W,22,FALSE)="DSC"),"jiné",IF(OR(Y16=4,VLOOKUP(A16,[1]PP!$A:$W,22,FALSE)=4),4,IF(OR(Y16=3,VLOOKUP(A16,[1]PP!$A:$W,22,FALSE)=3),3,IF(OR(Y16=2,VLOOKUP(A16,[1]PP!$A:$W,22,FALSE)=2),2,IF(AND(Y16=1,VLOOKUP(A16,[1]PP!$A:$W,22,FALSE)=1),1)))))))))))</f>
        <v/>
      </c>
      <c r="Y16" s="28" t="str">
        <f>IF(COUNTIF(B16:G16,"")&gt;0,"",IF(COUNTIF([1]PP!$A:$A,A16)=0,"neni v PP",IF(VLOOKUP(A16,[1]PP!$A:$W,8,FALSE)="odešel","odešel",IF(F16="","",IF(J16="",IF(OR(T16=4,W16=4),4,IF(AND(T16="N",W16="N"),"N",IF(OR(T16="N",W16="N"),4,ROUND(AVERAGE(T16,W16),0)))),J16)))))</f>
        <v/>
      </c>
      <c r="Z16" s="29" t="str">
        <f>IF(COUNTIF(B16:G16,"")=0,IF(X16="neni v PP",CONCATENATE("ID: &lt;",A16,"&gt; se neshoduje s žádným IDem v kartě PP"),IF(COUNTIF($A:$A,A16)&gt;1,CONCATENATE("ID: &lt;",A16,"&gt; se v kartě VP opakuje. Je nutné tyto IDy od sebe odlišit, např. mezerou za příjmením."),IF(COUNTIF([1]PP!A:A,A16)&gt;1,CONCATENATE("ID: &lt;",A16,"&gt; se v kartě PP opakuje. Je nutné tyto IDy od sebe odlišit, např. mezerou za příjmením."),IF(VLOOKUP(A16,[1]PP!$A:$W,5,FALSE)&lt;&gt;E16,CONCATENATE($E$4," &lt;",E16,"&gt; se neshoduje s jednotkou v kartě PP"," &lt;",VLOOKUP(A16,[1]PP!$A:$W,5,FALSE),"&gt;"),IF(AND(COUNTIF(K16:O16,"")&lt;5,J16="",I16=""),CONCATENATE("Doplň: ",$I$4),IF(AND(YEAR(I16)&lt;&gt;$E$2,COUNTIF(I16,"")=0),CONCATENATE("špatně uveden &lt;",$D$2,"&gt; nebo &lt;",$I$4,"&gt;"),IF(OR(AND(OR(COUNTIF(C16,"*a"),COUNTIF(C16,"*ie"),COUNTIF(C16,"*ine"),COUNTIF(D16,"*Á")),F16="muž"),AND(AND(COUNTIF(C16,"&lt;&gt;"&amp;"*a"),COUNTIF(C16,"&lt;&gt;"&amp;"*ie"),COUNTIF(C16,"&lt;&gt;"&amp;"*ine"),COUNTIF(D16,"&lt;&gt;"&amp;"*Á")),F16="žena")),CONCATENATE(C16," ",D16," je ",F16,"?"),""))))))),IF(COUNTIF(B16:O16,"")=14,"",CONCATENATE("Doplň: ",IF(B16="",CONCATENATE($B$4,IF(COUNTIF(C16:G16,"")=0,"",", ")),""),IF(C16="",CONCATENATE($C$4,IF(COUNTIF(D16:G16,"")=0,"",", ")),""),IF(D16="",CONCATENATE($D$4,IF(COUNTIF(E16:G16,"")=0,"",", ")),""),IF(E16="",CONCATENATE($E$4,IF(COUNTIF(F16:G16,"")=0,"",", ")),""),IF(F16="",CONCATENATE($F$4,IF(G16="",", ","")),""),IF(G16="",$G$4,""))))</f>
        <v/>
      </c>
      <c r="AA16" s="30"/>
    </row>
    <row r="17" spans="1:27" ht="16" x14ac:dyDescent="0.35">
      <c r="A17" s="14" t="str">
        <f t="shared" si="0"/>
        <v xml:space="preserve">  </v>
      </c>
      <c r="B17" s="15"/>
      <c r="C17" s="31"/>
      <c r="D17" s="31"/>
      <c r="E17" s="17"/>
      <c r="F17" s="18"/>
      <c r="G17" s="32"/>
      <c r="H17" s="33" t="str">
        <f>IF(G17="","",IF(F17="žena",ROMAN(MATCH(G17+1,'[1]Normy VP'!$Y$27:$Y$33,-1)),ROMAN(MATCH(G17+1,'[1]Normy VP'!$Y$19:$Y$25,-1))))</f>
        <v/>
      </c>
      <c r="I17" s="21"/>
      <c r="J17" s="22"/>
      <c r="K17" s="23"/>
      <c r="L17" s="23"/>
      <c r="M17" s="23"/>
      <c r="N17" s="22"/>
      <c r="O17" s="22"/>
      <c r="P17" s="24" t="str">
        <f>IF(OR($J17="",$J17="odešel"),IF(K17="","",IF($F17="žena",CHOOSE(_xlfn.ARABIC($H17),MATCH(K17+1,'[1]Normy VP'!$C$25:$F$25,-1),MATCH(K17+1,'[1]Normy VP'!$C$26:$F$26,-1),MATCH(K17+1,'[1]Normy VP'!$C$27:$F$27,-1),MATCH(K17+1,'[1]Normy VP'!$C$28:$F$28,-1),MATCH(K17+1,'[1]Normy VP'!$C$29:$F$29,-1),"muž"),CHOOSE(_xlfn.ARABIC($H17),MATCH(K17+1,'[1]Normy VP'!$C$10:$F$10,-1),MATCH(K17+1,'[1]Normy VP'!$C$11:$F$11,-1),MATCH(K17+1,'[1]Normy VP'!$C$12:$F$12,-1),MATCH(K17+1,'[1]Normy VP'!$C$13:$F$13,-1),MATCH(K17+1,'[1]Normy VP'!$C$14:$F$14,-1),""))),"O")</f>
        <v/>
      </c>
      <c r="Q17" s="24" t="str">
        <f>IF(OR($J17="",$J17="odešel"),IF($F17="žena","",IF(L17="","",(CHOOSE(_xlfn.ARABIC($H17),MATCH(L17+1,'[1]Normy VP'!$G$10:$J$10,-1),MATCH(L17+1,'[1]Normy VP'!$G$11:$J$11,-1),MATCH(L17+1,'[1]Normy VP'!$G$12:$J$12,-1),MATCH(L17+1,'[1]Normy VP'!$G$13:$J$13,-1),MATCH(L17+1,'[1]Normy VP'!$G$14:$J$14,-1),"")))),"O")</f>
        <v/>
      </c>
      <c r="R17" s="34" t="str">
        <f t="shared" si="1"/>
        <v>N</v>
      </c>
      <c r="S17" s="24" t="str">
        <f>IF(OR($J17="",$J17="odešel"),IF(M17="","N",IF($F17="žena",CHOOSE(_xlfn.ARABIC($H17),MATCH(M17+1,'[1]Normy VP'!$G$25:$J$25,-1),MATCH(M17+1,'[1]Normy VP'!$G$26:$J$26,-1),MATCH(M17+1,'[1]Normy VP'!$G$27:$J$27,-1),MATCH(M17+1,'[1]Normy VP'!$G$28:$J$28,-1),MATCH(M17+1,'[1]Normy VP'!$G$29:$J$29,-1),"muž"),(CHOOSE(_xlfn.ARABIC($H17),MATCH(M17+1,'[1]Normy VP'!$K$10:$N$10,-1),MATCH(M17+1,'[1]Normy VP'!$K$11:$N$11,-1),MATCH(M17+1,'[1]Normy VP'!$K$12:$N$12,-1),MATCH(M17+1,'[1]Normy VP'!$K$13:$N$13,-1),MATCH(M17+1,'[1]Normy VP'!$K$14:$N$14,-1),"")))),"O")</f>
        <v>N</v>
      </c>
      <c r="T17" s="34" t="str">
        <f t="shared" si="2"/>
        <v>N</v>
      </c>
      <c r="U17" s="24" t="str">
        <f>IF(OR($J17="",$J17="odešel"),IF(N17="","N",IF($F17="žena",CHOOSE(_xlfn.ARABIC($H17),MATCH(N17+1,'[1]Normy VP'!$K$25:$N$25,-1),MATCH(N17+1,'[1]Normy VP'!$K$26:$N$26,-1),MATCH(N17+1,'[1]Normy VP'!$K$27:$N$27,-1),MATCH(N17+1,'[1]Normy VP'!$K$28:$N$28,-1),MATCH(N17+1,'[1]Normy VP'!$K$29:$N$29,-1),MATCH(N17+1,'[1]Normy VP'!$K$30:$N$30,-1)),CHOOSE(_xlfn.ARABIC($H17),MATCH(N17+1,'[1]Normy VP'!$O$10:$R$10,-1),MATCH(N17+1,'[1]Normy VP'!$O$11:$R$11,-1),MATCH(N17+1,'[1]Normy VP'!$O$12:$R$12,-1),MATCH(N17+1,'[1]Normy VP'!$O$13:$R$13,-1),MATCH(N17+1,'[1]Normy VP'!$O$14:$R$14,-1),MATCH(N17+1,'[1]Normy VP'!$O$15:$R$15,-1)))),"O")</f>
        <v>N</v>
      </c>
      <c r="V17" s="26" t="str">
        <f>IF(OR($J17="",$J17="odešel"),IF(O17="","N",IF($F17="žena",CHOOSE(_xlfn.ARABIC($H17),MATCH(O17-1,'[1]Normy VP'!$O$25:$R$25),MATCH(O17-1,'[1]Normy VP'!$O$26:$R$26),MATCH(O17-1,'[1]Normy VP'!$O$27:$R$27),MATCH(O17-1,'[1]Normy VP'!$O$28:$R$28),MATCH(O17-1,'[1]Normy VP'!$O$29:$R$29),MATCH(O17-1,'[1]Normy VP'!$O$30:$R$30)),CHOOSE(_xlfn.ARABIC($H17),MATCH(O17-1,'[1]Normy VP'!$S$10:$V$10),MATCH(O17-1,'[1]Normy VP'!$S$11:$V$11),MATCH(O17-1,'[1]Normy VP'!$S$12:$V$12),MATCH(O17-1,'[1]Normy VP'!$S$13:$V$13),MATCH(O17-1,'[1]Normy VP'!$S$14:$V$14),MATCH(O17-1,'[1]Normy VP'!$S$15:$V$15)))),"O")</f>
        <v>N</v>
      </c>
      <c r="W17" s="34" t="str">
        <f t="shared" si="3"/>
        <v>N</v>
      </c>
      <c r="X17" s="27" t="str">
        <f>IF(COUNTIF(B17:G17,"")&gt;0,"",IF(COUNTIF([1]PP!$A:$A,A17)=0,"neni v PP",IF(OR(Y17="odešel",VLOOKUP(A17,[1]PP!$A:$W,22,FALSE)="odešel"),"odešel",IF(OR(Y17="N",VLOOKUP(A17,[1]PP!$A:$W,22,FALSE)="N"),"N",IF(OR(Y17="C",VLOOKUP(A17,[1]PP!$A:$W,22,FALSE)="C"),"C",IF(OR(Y17="DZO",VLOOKUP(A17,[1]PP!$A:$W,22,FALSE)="DZO"),"DZO",IF(OR(Y17="mise",Y17="disp.",Y17="končí",Y17="DSC",VLOOKUP(A17,[1]PP!$A:$W,22,FALSE)="mise",VLOOKUP(A17,[1]PP!$A:$W,22,FALSE)="disp.",VLOOKUP(A17,[1]PP!$A:$W,22,FALSE)="končí",VLOOKUP(A17,[1]PP!$A:$W,22,FALSE)="DSC"),"jiné",IF(OR(Y17=4,VLOOKUP(A17,[1]PP!$A:$W,22,FALSE)=4),4,IF(OR(Y17=3,VLOOKUP(A17,[1]PP!$A:$W,22,FALSE)=3),3,IF(OR(Y17=2,VLOOKUP(A17,[1]PP!$A:$W,22,FALSE)=2),2,IF(AND(Y17=1,VLOOKUP(A17,[1]PP!$A:$W,22,FALSE)=1),1)))))))))))</f>
        <v/>
      </c>
      <c r="Y17" s="28" t="str">
        <f>IF(COUNTIF(B17:G17,"")&gt;0,"",IF(COUNTIF([1]PP!$A:$A,A17)=0,"neni v PP",IF(VLOOKUP(A17,[1]PP!$A:$W,8,FALSE)="odešel","odešel",IF(F17="","",IF(J17="",IF(OR(T17=4,W17=4),4,IF(AND(T17="N",W17="N"),"N",IF(OR(T17="N",W17="N"),4,ROUND(AVERAGE(T17,W17),0)))),J17)))))</f>
        <v/>
      </c>
      <c r="Z17" s="29" t="str">
        <f>IF(COUNTIF(B17:G17,"")=0,IF(X17="neni v PP",CONCATENATE("ID: &lt;",A17,"&gt; se neshoduje s žádným IDem v kartě PP"),IF(COUNTIF($A:$A,A17)&gt;1,CONCATENATE("ID: &lt;",A17,"&gt; se v kartě VP opakuje. Je nutné tyto IDy od sebe odlišit, např. mezerou za příjmením."),IF(COUNTIF([1]PP!A:A,A17)&gt;1,CONCATENATE("ID: &lt;",A17,"&gt; se v kartě PP opakuje. Je nutné tyto IDy od sebe odlišit, např. mezerou za příjmením."),IF(VLOOKUP(A17,[1]PP!$A:$W,5,FALSE)&lt;&gt;E17,CONCATENATE($E$4," &lt;",E17,"&gt; se neshoduje s jednotkou v kartě PP"," &lt;",VLOOKUP(A17,[1]PP!$A:$W,5,FALSE),"&gt;"),IF(AND(COUNTIF(K17:O17,"")&lt;5,J17="",I17=""),CONCATENATE("Doplň: ",$I$4),IF(AND(YEAR(I17)&lt;&gt;$E$2,COUNTIF(I17,"")=0),CONCATENATE("špatně uveden &lt;",$D$2,"&gt; nebo &lt;",$I$4,"&gt;"),IF(OR(AND(OR(COUNTIF(C17,"*a"),COUNTIF(C17,"*ie"),COUNTIF(C17,"*ine"),COUNTIF(D17,"*Á")),F17="muž"),AND(AND(COUNTIF(C17,"&lt;&gt;"&amp;"*a"),COUNTIF(C17,"&lt;&gt;"&amp;"*ie"),COUNTIF(C17,"&lt;&gt;"&amp;"*ine"),COUNTIF(D17,"&lt;&gt;"&amp;"*Á")),F17="žena")),CONCATENATE(C17," ",D17," je ",F17,"?"),""))))))),IF(COUNTIF(B17:O17,"")=14,"",CONCATENATE("Doplň: ",IF(B17="",CONCATENATE($B$4,IF(COUNTIF(C17:G17,"")=0,"",", ")),""),IF(C17="",CONCATENATE($C$4,IF(COUNTIF(D17:G17,"")=0,"",", ")),""),IF(D17="",CONCATENATE($D$4,IF(COUNTIF(E17:G17,"")=0,"",", ")),""),IF(E17="",CONCATENATE($E$4,IF(COUNTIF(F17:G17,"")=0,"",", ")),""),IF(F17="",CONCATENATE($F$4,IF(G17="",", ","")),""),IF(G17="",$G$4,""))))</f>
        <v/>
      </c>
      <c r="AA17" s="30"/>
    </row>
    <row r="18" spans="1:27" ht="16" x14ac:dyDescent="0.35">
      <c r="A18" s="14" t="str">
        <f t="shared" si="0"/>
        <v xml:space="preserve">  </v>
      </c>
      <c r="B18" s="15"/>
      <c r="C18" s="31"/>
      <c r="D18" s="31"/>
      <c r="E18" s="17"/>
      <c r="F18" s="18"/>
      <c r="G18" s="32"/>
      <c r="H18" s="33" t="str">
        <f>IF(G18="","",IF(F18="žena",ROMAN(MATCH(G18+1,'[1]Normy VP'!$Y$27:$Y$33,-1)),ROMAN(MATCH(G18+1,'[1]Normy VP'!$Y$19:$Y$25,-1))))</f>
        <v/>
      </c>
      <c r="I18" s="21"/>
      <c r="J18" s="22"/>
      <c r="K18" s="23"/>
      <c r="L18" s="23"/>
      <c r="M18" s="23"/>
      <c r="N18" s="22"/>
      <c r="O18" s="22"/>
      <c r="P18" s="24" t="str">
        <f>IF(OR($J18="",$J18="odešel"),IF(K18="","",IF($F18="žena",CHOOSE(_xlfn.ARABIC($H18),MATCH(K18+1,'[1]Normy VP'!$C$25:$F$25,-1),MATCH(K18+1,'[1]Normy VP'!$C$26:$F$26,-1),MATCH(K18+1,'[1]Normy VP'!$C$27:$F$27,-1),MATCH(K18+1,'[1]Normy VP'!$C$28:$F$28,-1),MATCH(K18+1,'[1]Normy VP'!$C$29:$F$29,-1),"muž"),CHOOSE(_xlfn.ARABIC($H18),MATCH(K18+1,'[1]Normy VP'!$C$10:$F$10,-1),MATCH(K18+1,'[1]Normy VP'!$C$11:$F$11,-1),MATCH(K18+1,'[1]Normy VP'!$C$12:$F$12,-1),MATCH(K18+1,'[1]Normy VP'!$C$13:$F$13,-1),MATCH(K18+1,'[1]Normy VP'!$C$14:$F$14,-1),""))),"O")</f>
        <v/>
      </c>
      <c r="Q18" s="24" t="str">
        <f>IF(OR($J18="",$J18="odešel"),IF($F18="žena","",IF(L18="","",(CHOOSE(_xlfn.ARABIC($H18),MATCH(L18+1,'[1]Normy VP'!$G$10:$J$10,-1),MATCH(L18+1,'[1]Normy VP'!$G$11:$J$11,-1),MATCH(L18+1,'[1]Normy VP'!$G$12:$J$12,-1),MATCH(L18+1,'[1]Normy VP'!$G$13:$J$13,-1),MATCH(L18+1,'[1]Normy VP'!$G$14:$J$14,-1),"")))),"O")</f>
        <v/>
      </c>
      <c r="R18" s="34" t="str">
        <f t="shared" si="1"/>
        <v>N</v>
      </c>
      <c r="S18" s="24" t="str">
        <f>IF(OR($J18="",$J18="odešel"),IF(M18="","N",IF($F18="žena",CHOOSE(_xlfn.ARABIC($H18),MATCH(M18+1,'[1]Normy VP'!$G$25:$J$25,-1),MATCH(M18+1,'[1]Normy VP'!$G$26:$J$26,-1),MATCH(M18+1,'[1]Normy VP'!$G$27:$J$27,-1),MATCH(M18+1,'[1]Normy VP'!$G$28:$J$28,-1),MATCH(M18+1,'[1]Normy VP'!$G$29:$J$29,-1),"muž"),(CHOOSE(_xlfn.ARABIC($H18),MATCH(M18+1,'[1]Normy VP'!$K$10:$N$10,-1),MATCH(M18+1,'[1]Normy VP'!$K$11:$N$11,-1),MATCH(M18+1,'[1]Normy VP'!$K$12:$N$12,-1),MATCH(M18+1,'[1]Normy VP'!$K$13:$N$13,-1),MATCH(M18+1,'[1]Normy VP'!$K$14:$N$14,-1),"")))),"O")</f>
        <v>N</v>
      </c>
      <c r="T18" s="34" t="str">
        <f t="shared" si="2"/>
        <v>N</v>
      </c>
      <c r="U18" s="24" t="str">
        <f>IF(OR($J18="",$J18="odešel"),IF(N18="","N",IF($F18="žena",CHOOSE(_xlfn.ARABIC($H18),MATCH(N18+1,'[1]Normy VP'!$K$25:$N$25,-1),MATCH(N18+1,'[1]Normy VP'!$K$26:$N$26,-1),MATCH(N18+1,'[1]Normy VP'!$K$27:$N$27,-1),MATCH(N18+1,'[1]Normy VP'!$K$28:$N$28,-1),MATCH(N18+1,'[1]Normy VP'!$K$29:$N$29,-1),MATCH(N18+1,'[1]Normy VP'!$K$30:$N$30,-1)),CHOOSE(_xlfn.ARABIC($H18),MATCH(N18+1,'[1]Normy VP'!$O$10:$R$10,-1),MATCH(N18+1,'[1]Normy VP'!$O$11:$R$11,-1),MATCH(N18+1,'[1]Normy VP'!$O$12:$R$12,-1),MATCH(N18+1,'[1]Normy VP'!$O$13:$R$13,-1),MATCH(N18+1,'[1]Normy VP'!$O$14:$R$14,-1),MATCH(N18+1,'[1]Normy VP'!$O$15:$R$15,-1)))),"O")</f>
        <v>N</v>
      </c>
      <c r="V18" s="26" t="str">
        <f>IF(OR($J18="",$J18="odešel"),IF(O18="","N",IF($F18="žena",CHOOSE(_xlfn.ARABIC($H18),MATCH(O18-1,'[1]Normy VP'!$O$25:$R$25),MATCH(O18-1,'[1]Normy VP'!$O$26:$R$26),MATCH(O18-1,'[1]Normy VP'!$O$27:$R$27),MATCH(O18-1,'[1]Normy VP'!$O$28:$R$28),MATCH(O18-1,'[1]Normy VP'!$O$29:$R$29),MATCH(O18-1,'[1]Normy VP'!$O$30:$R$30)),CHOOSE(_xlfn.ARABIC($H18),MATCH(O18-1,'[1]Normy VP'!$S$10:$V$10),MATCH(O18-1,'[1]Normy VP'!$S$11:$V$11),MATCH(O18-1,'[1]Normy VP'!$S$12:$V$12),MATCH(O18-1,'[1]Normy VP'!$S$13:$V$13),MATCH(O18-1,'[1]Normy VP'!$S$14:$V$14),MATCH(O18-1,'[1]Normy VP'!$S$15:$V$15)))),"O")</f>
        <v>N</v>
      </c>
      <c r="W18" s="34" t="str">
        <f t="shared" si="3"/>
        <v>N</v>
      </c>
      <c r="X18" s="27" t="str">
        <f>IF(COUNTIF(B18:G18,"")&gt;0,"",IF(COUNTIF([1]PP!$A:$A,A18)=0,"neni v PP",IF(OR(Y18="odešel",VLOOKUP(A18,[1]PP!$A:$W,22,FALSE)="odešel"),"odešel",IF(OR(Y18="N",VLOOKUP(A18,[1]PP!$A:$W,22,FALSE)="N"),"N",IF(OR(Y18="C",VLOOKUP(A18,[1]PP!$A:$W,22,FALSE)="C"),"C",IF(OR(Y18="DZO",VLOOKUP(A18,[1]PP!$A:$W,22,FALSE)="DZO"),"DZO",IF(OR(Y18="mise",Y18="disp.",Y18="končí",Y18="DSC",VLOOKUP(A18,[1]PP!$A:$W,22,FALSE)="mise",VLOOKUP(A18,[1]PP!$A:$W,22,FALSE)="disp.",VLOOKUP(A18,[1]PP!$A:$W,22,FALSE)="končí",VLOOKUP(A18,[1]PP!$A:$W,22,FALSE)="DSC"),"jiné",IF(OR(Y18=4,VLOOKUP(A18,[1]PP!$A:$W,22,FALSE)=4),4,IF(OR(Y18=3,VLOOKUP(A18,[1]PP!$A:$W,22,FALSE)=3),3,IF(OR(Y18=2,VLOOKUP(A18,[1]PP!$A:$W,22,FALSE)=2),2,IF(AND(Y18=1,VLOOKUP(A18,[1]PP!$A:$W,22,FALSE)=1),1)))))))))))</f>
        <v/>
      </c>
      <c r="Y18" s="28" t="str">
        <f>IF(COUNTIF(B18:G18,"")&gt;0,"",IF(COUNTIF([1]PP!$A:$A,A18)=0,"neni v PP",IF(VLOOKUP(A18,[1]PP!$A:$W,8,FALSE)="odešel","odešel",IF(F18="","",IF(J18="",IF(OR(T18=4,W18=4),4,IF(AND(T18="N",W18="N"),"N",IF(OR(T18="N",W18="N"),4,ROUND(AVERAGE(T18,W18),0)))),J18)))))</f>
        <v/>
      </c>
      <c r="Z18" s="29"/>
      <c r="AA18" s="30"/>
    </row>
    <row r="19" spans="1:27" ht="16" x14ac:dyDescent="0.35">
      <c r="A19" s="14" t="str">
        <f t="shared" si="0"/>
        <v xml:space="preserve">  </v>
      </c>
      <c r="B19" s="15"/>
      <c r="C19" s="31"/>
      <c r="D19" s="31"/>
      <c r="E19" s="17"/>
      <c r="F19" s="18"/>
      <c r="G19" s="32"/>
      <c r="H19" s="33" t="str">
        <f>IF(G19="","",IF(F19="žena",ROMAN(MATCH(G19+1,'[1]Normy VP'!$Y$27:$Y$33,-1)),ROMAN(MATCH(G19+1,'[1]Normy VP'!$Y$19:$Y$25,-1))))</f>
        <v/>
      </c>
      <c r="I19" s="21"/>
      <c r="J19" s="22"/>
      <c r="K19" s="23"/>
      <c r="L19" s="23"/>
      <c r="M19" s="23"/>
      <c r="N19" s="22"/>
      <c r="O19" s="22"/>
      <c r="P19" s="24" t="str">
        <f>IF(OR($J19="",$J19="odešel"),IF(K19="","",IF($F19="žena",CHOOSE(_xlfn.ARABIC($H19),MATCH(K19+1,'[1]Normy VP'!$C$25:$F$25,-1),MATCH(K19+1,'[1]Normy VP'!$C$26:$F$26,-1),MATCH(K19+1,'[1]Normy VP'!$C$27:$F$27,-1),MATCH(K19+1,'[1]Normy VP'!$C$28:$F$28,-1),MATCH(K19+1,'[1]Normy VP'!$C$29:$F$29,-1),"muž"),CHOOSE(_xlfn.ARABIC($H19),MATCH(K19+1,'[1]Normy VP'!$C$10:$F$10,-1),MATCH(K19+1,'[1]Normy VP'!$C$11:$F$11,-1),MATCH(K19+1,'[1]Normy VP'!$C$12:$F$12,-1),MATCH(K19+1,'[1]Normy VP'!$C$13:$F$13,-1),MATCH(K19+1,'[1]Normy VP'!$C$14:$F$14,-1),""))),"O")</f>
        <v/>
      </c>
      <c r="Q19" s="24" t="str">
        <f>IF(OR($J19="",$J19="odešel"),IF($F19="žena","",IF(L19="","",(CHOOSE(_xlfn.ARABIC($H19),MATCH(L19+1,'[1]Normy VP'!$G$10:$J$10,-1),MATCH(L19+1,'[1]Normy VP'!$G$11:$J$11,-1),MATCH(L19+1,'[1]Normy VP'!$G$12:$J$12,-1),MATCH(L19+1,'[1]Normy VP'!$G$13:$J$13,-1),MATCH(L19+1,'[1]Normy VP'!$G$14:$J$14,-1),"")))),"O")</f>
        <v/>
      </c>
      <c r="R19" s="34" t="str">
        <f t="shared" si="1"/>
        <v>N</v>
      </c>
      <c r="S19" s="24" t="str">
        <f>IF(OR($J19="",$J19="odešel"),IF(M19="","N",IF($F19="žena",CHOOSE(_xlfn.ARABIC($H19),MATCH(M19+1,'[1]Normy VP'!$G$25:$J$25,-1),MATCH(M19+1,'[1]Normy VP'!$G$26:$J$26,-1),MATCH(M19+1,'[1]Normy VP'!$G$27:$J$27,-1),MATCH(M19+1,'[1]Normy VP'!$G$28:$J$28,-1),MATCH(M19+1,'[1]Normy VP'!$G$29:$J$29,-1),"muž"),(CHOOSE(_xlfn.ARABIC($H19),MATCH(M19+1,'[1]Normy VP'!$K$10:$N$10,-1),MATCH(M19+1,'[1]Normy VP'!$K$11:$N$11,-1),MATCH(M19+1,'[1]Normy VP'!$K$12:$N$12,-1),MATCH(M19+1,'[1]Normy VP'!$K$13:$N$13,-1),MATCH(M19+1,'[1]Normy VP'!$K$14:$N$14,-1),"")))),"O")</f>
        <v>N</v>
      </c>
      <c r="T19" s="34" t="str">
        <f t="shared" si="2"/>
        <v>N</v>
      </c>
      <c r="U19" s="24" t="str">
        <f>IF(OR($J19="",$J19="odešel"),IF(N19="","N",IF($F19="žena",CHOOSE(_xlfn.ARABIC($H19),MATCH(N19+1,'[1]Normy VP'!$K$25:$N$25,-1),MATCH(N19+1,'[1]Normy VP'!$K$26:$N$26,-1),MATCH(N19+1,'[1]Normy VP'!$K$27:$N$27,-1),MATCH(N19+1,'[1]Normy VP'!$K$28:$N$28,-1),MATCH(N19+1,'[1]Normy VP'!$K$29:$N$29,-1),MATCH(N19+1,'[1]Normy VP'!$K$30:$N$30,-1)),CHOOSE(_xlfn.ARABIC($H19),MATCH(N19+1,'[1]Normy VP'!$O$10:$R$10,-1),MATCH(N19+1,'[1]Normy VP'!$O$11:$R$11,-1),MATCH(N19+1,'[1]Normy VP'!$O$12:$R$12,-1),MATCH(N19+1,'[1]Normy VP'!$O$13:$R$13,-1),MATCH(N19+1,'[1]Normy VP'!$O$14:$R$14,-1),MATCH(N19+1,'[1]Normy VP'!$O$15:$R$15,-1)))),"O")</f>
        <v>N</v>
      </c>
      <c r="V19" s="26" t="str">
        <f>IF(OR($J19="",$J19="odešel"),IF(O19="","N",IF($F19="žena",CHOOSE(_xlfn.ARABIC($H19),MATCH(O19-1,'[1]Normy VP'!$O$25:$R$25),MATCH(O19-1,'[1]Normy VP'!$O$26:$R$26),MATCH(O19-1,'[1]Normy VP'!$O$27:$R$27),MATCH(O19-1,'[1]Normy VP'!$O$28:$R$28),MATCH(O19-1,'[1]Normy VP'!$O$29:$R$29),MATCH(O19-1,'[1]Normy VP'!$O$30:$R$30)),CHOOSE(_xlfn.ARABIC($H19),MATCH(O19-1,'[1]Normy VP'!$S$10:$V$10),MATCH(O19-1,'[1]Normy VP'!$S$11:$V$11),MATCH(O19-1,'[1]Normy VP'!$S$12:$V$12),MATCH(O19-1,'[1]Normy VP'!$S$13:$V$13),MATCH(O19-1,'[1]Normy VP'!$S$14:$V$14),MATCH(O19-1,'[1]Normy VP'!$S$15:$V$15)))),"O")</f>
        <v>N</v>
      </c>
      <c r="W19" s="34" t="str">
        <f t="shared" si="3"/>
        <v>N</v>
      </c>
      <c r="X19" s="27" t="str">
        <f>IF(COUNTIF(B19:G19,"")&gt;0,"",IF(COUNTIF([1]PP!$A:$A,A19)=0,"neni v PP",IF(OR(Y19="odešel",VLOOKUP(A19,[1]PP!$A:$W,22,FALSE)="odešel"),"odešel",IF(OR(Y19="N",VLOOKUP(A19,[1]PP!$A:$W,22,FALSE)="N"),"N",IF(OR(Y19="C",VLOOKUP(A19,[1]PP!$A:$W,22,FALSE)="C"),"C",IF(OR(Y19="DZO",VLOOKUP(A19,[1]PP!$A:$W,22,FALSE)="DZO"),"DZO",IF(OR(Y19="mise",Y19="disp.",Y19="končí",Y19="DSC",VLOOKUP(A19,[1]PP!$A:$W,22,FALSE)="mise",VLOOKUP(A19,[1]PP!$A:$W,22,FALSE)="disp.",VLOOKUP(A19,[1]PP!$A:$W,22,FALSE)="končí",VLOOKUP(A19,[1]PP!$A:$W,22,FALSE)="DSC"),"jiné",IF(OR(Y19=4,VLOOKUP(A19,[1]PP!$A:$W,22,FALSE)=4),4,IF(OR(Y19=3,VLOOKUP(A19,[1]PP!$A:$W,22,FALSE)=3),3,IF(OR(Y19=2,VLOOKUP(A19,[1]PP!$A:$W,22,FALSE)=2),2,IF(AND(Y19=1,VLOOKUP(A19,[1]PP!$A:$W,22,FALSE)=1),1)))))))))))</f>
        <v/>
      </c>
      <c r="Y19" s="28" t="str">
        <f>IF(COUNTIF(B19:G19,"")&gt;0,"",IF(COUNTIF([1]PP!$A:$A,A19)=0,"neni v PP",IF(VLOOKUP(A19,[1]PP!$A:$W,8,FALSE)="odešel","odešel",IF(F19="","",IF(J19="",IF(OR(T19=4,W19=4),4,IF(AND(T19="N",W19="N"),"N",IF(OR(T19="N",W19="N"),4,ROUND(AVERAGE(T19,W19),0)))),J19)))))</f>
        <v/>
      </c>
      <c r="Z19" s="29" t="str">
        <f>IF(COUNTIF(B19:G19,"")=0,IF(X19="neni v PP",CONCATENATE("ID: &lt;",A19,"&gt; se neshoduje s žádným IDem v kartě PP"),IF(COUNTIF($A:$A,A19)&gt;1,CONCATENATE("ID: &lt;",A19,"&gt; se v kartě VP opakuje. Je nutné tyto IDy od sebe odlišit, např. mezerou za příjmením."),IF(COUNTIF([1]PP!A:A,A19)&gt;1,CONCATENATE("ID: &lt;",A19,"&gt; se v kartě PP opakuje. Je nutné tyto IDy od sebe odlišit, např. mezerou za příjmením."),IF(VLOOKUP(A19,[1]PP!$A:$W,5,FALSE)&lt;&gt;E19,CONCATENATE($E$4," &lt;",E19,"&gt; se neshoduje s jednotkou v kartě PP"," &lt;",VLOOKUP(A19,[1]PP!$A:$W,5,FALSE),"&gt;"),IF(AND(COUNTIF(K19:O19,"")&lt;5,J19="",I19=""),CONCATENATE("Doplň: ",$I$4),IF(AND(YEAR(I19)&lt;&gt;$E$2,COUNTIF(I19,"")=0),CONCATENATE("špatně uveden &lt;",$D$2,"&gt; nebo &lt;",$I$4,"&gt;"),IF(OR(AND(OR(COUNTIF(C19,"*a"),COUNTIF(C19,"*ie"),COUNTIF(C19,"*ine"),COUNTIF(D19,"*Á")),F19="muž"),AND(AND(COUNTIF(C19,"&lt;&gt;"&amp;"*a"),COUNTIF(C19,"&lt;&gt;"&amp;"*ie"),COUNTIF(C19,"&lt;&gt;"&amp;"*ine"),COUNTIF(D19,"&lt;&gt;"&amp;"*Á")),F19="žena")),CONCATENATE(C19," ",D19," je ",F19,"?"),""))))))),IF(COUNTIF(B19:O19,"")=14,"",CONCATENATE("Doplň: ",IF(B19="",CONCATENATE($B$4,IF(COUNTIF(C19:G19,"")=0,"",", ")),""),IF(C19="",CONCATENATE($C$4,IF(COUNTIF(D19:G19,"")=0,"",", ")),""),IF(D19="",CONCATENATE($D$4,IF(COUNTIF(E19:G19,"")=0,"",", ")),""),IF(E19="",CONCATENATE($E$4,IF(COUNTIF(F19:G19,"")=0,"",", ")),""),IF(F19="",CONCATENATE($F$4,IF(G19="",", ","")),""),IF(G19="",$G$4,""))))</f>
        <v/>
      </c>
      <c r="AA19" s="30"/>
    </row>
    <row r="20" spans="1:27" ht="16" x14ac:dyDescent="0.35">
      <c r="A20" s="14" t="str">
        <f t="shared" si="0"/>
        <v xml:space="preserve">  </v>
      </c>
      <c r="B20" s="15"/>
      <c r="C20" s="31"/>
      <c r="D20" s="31"/>
      <c r="E20" s="17"/>
      <c r="F20" s="18"/>
      <c r="G20" s="32"/>
      <c r="H20" s="33" t="str">
        <f>IF(G20="","",IF(F20="žena",ROMAN(MATCH(G20+1,'[1]Normy VP'!$Y$27:$Y$33,-1)),ROMAN(MATCH(G20+1,'[1]Normy VP'!$Y$19:$Y$25,-1))))</f>
        <v/>
      </c>
      <c r="I20" s="21"/>
      <c r="J20" s="22"/>
      <c r="K20" s="23"/>
      <c r="L20" s="23"/>
      <c r="M20" s="23"/>
      <c r="N20" s="22"/>
      <c r="O20" s="22"/>
      <c r="P20" s="24" t="str">
        <f>IF(OR($J20="",$J20="odešel"),IF(K20="","",IF($F20="žena",CHOOSE(_xlfn.ARABIC($H20),MATCH(K20+1,'[1]Normy VP'!$C$25:$F$25,-1),MATCH(K20+1,'[1]Normy VP'!$C$26:$F$26,-1),MATCH(K20+1,'[1]Normy VP'!$C$27:$F$27,-1),MATCH(K20+1,'[1]Normy VP'!$C$28:$F$28,-1),MATCH(K20+1,'[1]Normy VP'!$C$29:$F$29,-1),"muž"),CHOOSE(_xlfn.ARABIC($H20),MATCH(K20+1,'[1]Normy VP'!$C$10:$F$10,-1),MATCH(K20+1,'[1]Normy VP'!$C$11:$F$11,-1),MATCH(K20+1,'[1]Normy VP'!$C$12:$F$12,-1),MATCH(K20+1,'[1]Normy VP'!$C$13:$F$13,-1),MATCH(K20+1,'[1]Normy VP'!$C$14:$F$14,-1),""))),"O")</f>
        <v/>
      </c>
      <c r="Q20" s="24" t="str">
        <f>IF(OR($J20="",$J20="odešel"),IF($F20="žena","",IF(L20="","",(CHOOSE(_xlfn.ARABIC($H20),MATCH(L20+1,'[1]Normy VP'!$G$10:$J$10,-1),MATCH(L20+1,'[1]Normy VP'!$G$11:$J$11,-1),MATCH(L20+1,'[1]Normy VP'!$G$12:$J$12,-1),MATCH(L20+1,'[1]Normy VP'!$G$13:$J$13,-1),MATCH(L20+1,'[1]Normy VP'!$G$14:$J$14,-1),"")))),"O")</f>
        <v/>
      </c>
      <c r="R20" s="34" t="str">
        <f t="shared" si="1"/>
        <v>N</v>
      </c>
      <c r="S20" s="24" t="str">
        <f>IF(OR($J20="",$J20="odešel"),IF(M20="","N",IF($F20="žena",CHOOSE(_xlfn.ARABIC($H20),MATCH(M20+1,'[1]Normy VP'!$G$25:$J$25,-1),MATCH(M20+1,'[1]Normy VP'!$G$26:$J$26,-1),MATCH(M20+1,'[1]Normy VP'!$G$27:$J$27,-1),MATCH(M20+1,'[1]Normy VP'!$G$28:$J$28,-1),MATCH(M20+1,'[1]Normy VP'!$G$29:$J$29,-1),"muž"),(CHOOSE(_xlfn.ARABIC($H20),MATCH(M20+1,'[1]Normy VP'!$K$10:$N$10,-1),MATCH(M20+1,'[1]Normy VP'!$K$11:$N$11,-1),MATCH(M20+1,'[1]Normy VP'!$K$12:$N$12,-1),MATCH(M20+1,'[1]Normy VP'!$K$13:$N$13,-1),MATCH(M20+1,'[1]Normy VP'!$K$14:$N$14,-1),"")))),"O")</f>
        <v>N</v>
      </c>
      <c r="T20" s="34" t="str">
        <f t="shared" si="2"/>
        <v>N</v>
      </c>
      <c r="U20" s="24" t="str">
        <f>IF(OR($J20="",$J20="odešel"),IF(N20="","N",IF($F20="žena",CHOOSE(_xlfn.ARABIC($H20),MATCH(N20+1,'[1]Normy VP'!$K$25:$N$25,-1),MATCH(N20+1,'[1]Normy VP'!$K$26:$N$26,-1),MATCH(N20+1,'[1]Normy VP'!$K$27:$N$27,-1),MATCH(N20+1,'[1]Normy VP'!$K$28:$N$28,-1),MATCH(N20+1,'[1]Normy VP'!$K$29:$N$29,-1),MATCH(N20+1,'[1]Normy VP'!$K$30:$N$30,-1)),CHOOSE(_xlfn.ARABIC($H20),MATCH(N20+1,'[1]Normy VP'!$O$10:$R$10,-1),MATCH(N20+1,'[1]Normy VP'!$O$11:$R$11,-1),MATCH(N20+1,'[1]Normy VP'!$O$12:$R$12,-1),MATCH(N20+1,'[1]Normy VP'!$O$13:$R$13,-1),MATCH(N20+1,'[1]Normy VP'!$O$14:$R$14,-1),MATCH(N20+1,'[1]Normy VP'!$O$15:$R$15,-1)))),"O")</f>
        <v>N</v>
      </c>
      <c r="V20" s="26" t="str">
        <f>IF(OR($J20="",$J20="odešel"),IF(O20="","N",IF($F20="žena",CHOOSE(_xlfn.ARABIC($H20),MATCH(O20-1,'[1]Normy VP'!$O$25:$R$25),MATCH(O20-1,'[1]Normy VP'!$O$26:$R$26),MATCH(O20-1,'[1]Normy VP'!$O$27:$R$27),MATCH(O20-1,'[1]Normy VP'!$O$28:$R$28),MATCH(O20-1,'[1]Normy VP'!$O$29:$R$29),MATCH(O20-1,'[1]Normy VP'!$O$30:$R$30)),CHOOSE(_xlfn.ARABIC($H20),MATCH(O20-1,'[1]Normy VP'!$S$10:$V$10),MATCH(O20-1,'[1]Normy VP'!$S$11:$V$11),MATCH(O20-1,'[1]Normy VP'!$S$12:$V$12),MATCH(O20-1,'[1]Normy VP'!$S$13:$V$13),MATCH(O20-1,'[1]Normy VP'!$S$14:$V$14),MATCH(O20-1,'[1]Normy VP'!$S$15:$V$15)))),"O")</f>
        <v>N</v>
      </c>
      <c r="W20" s="34" t="str">
        <f t="shared" si="3"/>
        <v>N</v>
      </c>
      <c r="X20" s="27" t="str">
        <f>IF(COUNTIF(B20:G20,"")&gt;0,"",IF(COUNTIF([1]PP!$A:$A,A20)=0,"neni v PP",IF(OR(Y20="odešel",VLOOKUP(A20,[1]PP!$A:$W,22,FALSE)="odešel"),"odešel",IF(OR(Y20="N",VLOOKUP(A20,[1]PP!$A:$W,22,FALSE)="N"),"N",IF(OR(Y20="C",VLOOKUP(A20,[1]PP!$A:$W,22,FALSE)="C"),"C",IF(OR(Y20="DZO",VLOOKUP(A20,[1]PP!$A:$W,22,FALSE)="DZO"),"DZO",IF(OR(Y20="mise",Y20="disp.",Y20="končí",Y20="DSC",VLOOKUP(A20,[1]PP!$A:$W,22,FALSE)="mise",VLOOKUP(A20,[1]PP!$A:$W,22,FALSE)="disp.",VLOOKUP(A20,[1]PP!$A:$W,22,FALSE)="končí",VLOOKUP(A20,[1]PP!$A:$W,22,FALSE)="DSC"),"jiné",IF(OR(Y20=4,VLOOKUP(A20,[1]PP!$A:$W,22,FALSE)=4),4,IF(OR(Y20=3,VLOOKUP(A20,[1]PP!$A:$W,22,FALSE)=3),3,IF(OR(Y20=2,VLOOKUP(A20,[1]PP!$A:$W,22,FALSE)=2),2,IF(AND(Y20=1,VLOOKUP(A20,[1]PP!$A:$W,22,FALSE)=1),1)))))))))))</f>
        <v/>
      </c>
      <c r="Y20" s="28" t="str">
        <f>IF(COUNTIF(B20:G20,"")&gt;0,"",IF(COUNTIF([1]PP!$A:$A,A20)=0,"neni v PP",IF(VLOOKUP(A20,[1]PP!$A:$W,8,FALSE)="odešel","odešel",IF(F20="","",IF(J20="",IF(OR(T20=4,W20=4),4,IF(AND(T20="N",W20="N"),"N",IF(OR(T20="N",W20="N"),4,ROUND(AVERAGE(T20,W20),0)))),J20)))))</f>
        <v/>
      </c>
      <c r="Z20" s="29" t="str">
        <f>IF(COUNTIF(B20:G20,"")=0,IF(X20="neni v PP",CONCATENATE("ID: &lt;",A20,"&gt; se neshoduje s žádným IDem v kartě PP"),IF(COUNTIF($A:$A,A20)&gt;1,CONCATENATE("ID: &lt;",A20,"&gt; se v kartě VP opakuje. Je nutné tyto IDy od sebe odlišit, např. mezerou za příjmením."),IF(COUNTIF([1]PP!A:A,A20)&gt;1,CONCATENATE("ID: &lt;",A20,"&gt; se v kartě PP opakuje. Je nutné tyto IDy od sebe odlišit, např. mezerou za příjmením."),IF(VLOOKUP(A20,[1]PP!$A:$W,5,FALSE)&lt;&gt;E20,CONCATENATE($E$4," &lt;",E20,"&gt; se neshoduje s jednotkou v kartě PP"," &lt;",VLOOKUP(A20,[1]PP!$A:$W,5,FALSE),"&gt;"),IF(AND(COUNTIF(K20:O20,"")&lt;5,J20="",I20=""),CONCATENATE("Doplň: ",$I$4),IF(AND(YEAR(I20)&lt;&gt;$E$2,COUNTIF(I20,"")=0),CONCATENATE("špatně uveden &lt;",$D$2,"&gt; nebo &lt;",$I$4,"&gt;"),IF(OR(AND(OR(COUNTIF(C20,"*a"),COUNTIF(C20,"*ie"),COUNTIF(C20,"*ine"),COUNTIF(D20,"*Á")),F20="muž"),AND(AND(COUNTIF(C20,"&lt;&gt;"&amp;"*a"),COUNTIF(C20,"&lt;&gt;"&amp;"*ie"),COUNTIF(C20,"&lt;&gt;"&amp;"*ine"),COUNTIF(D20,"&lt;&gt;"&amp;"*Á")),F20="žena")),CONCATENATE(C20," ",D20," je ",F20,"?"),""))))))),IF(COUNTIF(B20:O20,"")=14,"",CONCATENATE("Doplň: ",IF(B20="",CONCATENATE($B$4,IF(COUNTIF(C20:G20,"")=0,"",", ")),""),IF(C20="",CONCATENATE($C$4,IF(COUNTIF(D20:G20,"")=0,"",", ")),""),IF(D20="",CONCATENATE($D$4,IF(COUNTIF(E20:G20,"")=0,"",", ")),""),IF(E20="",CONCATENATE($E$4,IF(COUNTIF(F20:G20,"")=0,"",", ")),""),IF(F20="",CONCATENATE($F$4,IF(G20="",", ","")),""),IF(G20="",$G$4,""))))</f>
        <v/>
      </c>
      <c r="AA20" s="30"/>
    </row>
    <row r="21" spans="1:27" ht="16" x14ac:dyDescent="0.35">
      <c r="A21" s="14" t="str">
        <f t="shared" si="0"/>
        <v xml:space="preserve">  </v>
      </c>
      <c r="B21" s="15"/>
      <c r="C21" s="31"/>
      <c r="D21" s="31"/>
      <c r="E21" s="17"/>
      <c r="F21" s="18"/>
      <c r="G21" s="32"/>
      <c r="H21" s="33" t="str">
        <f>IF(G21="","",IF(F21="žena",ROMAN(MATCH(G21+1,'[1]Normy VP'!$Y$27:$Y$33,-1)),ROMAN(MATCH(G21+1,'[1]Normy VP'!$Y$19:$Y$25,-1))))</f>
        <v/>
      </c>
      <c r="I21" s="21"/>
      <c r="J21" s="22"/>
      <c r="K21" s="23"/>
      <c r="L21" s="23"/>
      <c r="M21" s="23"/>
      <c r="N21" s="22"/>
      <c r="O21" s="22"/>
      <c r="P21" s="24" t="str">
        <f>IF(OR($J21="",$J21="odešel"),IF(K21="","",IF($F21="žena",CHOOSE(_xlfn.ARABIC($H21),MATCH(K21+1,'[1]Normy VP'!$C$25:$F$25,-1),MATCH(K21+1,'[1]Normy VP'!$C$26:$F$26,-1),MATCH(K21+1,'[1]Normy VP'!$C$27:$F$27,-1),MATCH(K21+1,'[1]Normy VP'!$C$28:$F$28,-1),MATCH(K21+1,'[1]Normy VP'!$C$29:$F$29,-1),"muž"),CHOOSE(_xlfn.ARABIC($H21),MATCH(K21+1,'[1]Normy VP'!$C$10:$F$10,-1),MATCH(K21+1,'[1]Normy VP'!$C$11:$F$11,-1),MATCH(K21+1,'[1]Normy VP'!$C$12:$F$12,-1),MATCH(K21+1,'[1]Normy VP'!$C$13:$F$13,-1),MATCH(K21+1,'[1]Normy VP'!$C$14:$F$14,-1),""))),"O")</f>
        <v/>
      </c>
      <c r="Q21" s="24" t="str">
        <f>IF(OR($J21="",$J21="odešel"),IF($F21="žena","",IF(L21="","",(CHOOSE(_xlfn.ARABIC($H21),MATCH(L21+1,'[1]Normy VP'!$G$10:$J$10,-1),MATCH(L21+1,'[1]Normy VP'!$G$11:$J$11,-1),MATCH(L21+1,'[1]Normy VP'!$G$12:$J$12,-1),MATCH(L21+1,'[1]Normy VP'!$G$13:$J$13,-1),MATCH(L21+1,'[1]Normy VP'!$G$14:$J$14,-1),"")))),"O")</f>
        <v/>
      </c>
      <c r="R21" s="34" t="str">
        <f t="shared" si="1"/>
        <v>N</v>
      </c>
      <c r="S21" s="24" t="str">
        <f>IF(OR($J21="",$J21="odešel"),IF(M21="","N",IF($F21="žena",CHOOSE(_xlfn.ARABIC($H21),MATCH(M21+1,'[1]Normy VP'!$G$25:$J$25,-1),MATCH(M21+1,'[1]Normy VP'!$G$26:$J$26,-1),MATCH(M21+1,'[1]Normy VP'!$G$27:$J$27,-1),MATCH(M21+1,'[1]Normy VP'!$G$28:$J$28,-1),MATCH(M21+1,'[1]Normy VP'!$G$29:$J$29,-1),"muž"),(CHOOSE(_xlfn.ARABIC($H21),MATCH(M21+1,'[1]Normy VP'!$K$10:$N$10,-1),MATCH(M21+1,'[1]Normy VP'!$K$11:$N$11,-1),MATCH(M21+1,'[1]Normy VP'!$K$12:$N$12,-1),MATCH(M21+1,'[1]Normy VP'!$K$13:$N$13,-1),MATCH(M21+1,'[1]Normy VP'!$K$14:$N$14,-1),"")))),"O")</f>
        <v>N</v>
      </c>
      <c r="T21" s="34" t="str">
        <f t="shared" si="2"/>
        <v>N</v>
      </c>
      <c r="U21" s="24" t="str">
        <f>IF(OR($J21="",$J21="odešel"),IF(N21="","N",IF($F21="žena",CHOOSE(_xlfn.ARABIC($H21),MATCH(N21+1,'[1]Normy VP'!$K$25:$N$25,-1),MATCH(N21+1,'[1]Normy VP'!$K$26:$N$26,-1),MATCH(N21+1,'[1]Normy VP'!$K$27:$N$27,-1),MATCH(N21+1,'[1]Normy VP'!$K$28:$N$28,-1),MATCH(N21+1,'[1]Normy VP'!$K$29:$N$29,-1),MATCH(N21+1,'[1]Normy VP'!$K$30:$N$30,-1)),CHOOSE(_xlfn.ARABIC($H21),MATCH(N21+1,'[1]Normy VP'!$O$10:$R$10,-1),MATCH(N21+1,'[1]Normy VP'!$O$11:$R$11,-1),MATCH(N21+1,'[1]Normy VP'!$O$12:$R$12,-1),MATCH(N21+1,'[1]Normy VP'!$O$13:$R$13,-1),MATCH(N21+1,'[1]Normy VP'!$O$14:$R$14,-1),MATCH(N21+1,'[1]Normy VP'!$O$15:$R$15,-1)))),"O")</f>
        <v>N</v>
      </c>
      <c r="V21" s="26" t="str">
        <f>IF(OR($J21="",$J21="odešel"),IF(O21="","N",IF($F21="žena",CHOOSE(_xlfn.ARABIC($H21),MATCH(O21-1,'[1]Normy VP'!$O$25:$R$25),MATCH(O21-1,'[1]Normy VP'!$O$26:$R$26),MATCH(O21-1,'[1]Normy VP'!$O$27:$R$27),MATCH(O21-1,'[1]Normy VP'!$O$28:$R$28),MATCH(O21-1,'[1]Normy VP'!$O$29:$R$29),MATCH(O21-1,'[1]Normy VP'!$O$30:$R$30)),CHOOSE(_xlfn.ARABIC($H21),MATCH(O21-1,'[1]Normy VP'!$S$10:$V$10),MATCH(O21-1,'[1]Normy VP'!$S$11:$V$11),MATCH(O21-1,'[1]Normy VP'!$S$12:$V$12),MATCH(O21-1,'[1]Normy VP'!$S$13:$V$13),MATCH(O21-1,'[1]Normy VP'!$S$14:$V$14),MATCH(O21-1,'[1]Normy VP'!$S$15:$V$15)))),"O")</f>
        <v>N</v>
      </c>
      <c r="W21" s="34" t="str">
        <f t="shared" si="3"/>
        <v>N</v>
      </c>
      <c r="X21" s="27" t="str">
        <f>IF(COUNTIF(B21:G21,"")&gt;0,"",IF(COUNTIF([1]PP!$A:$A,A21)=0,"neni v PP",IF(OR(Y21="odešel",VLOOKUP(A21,[1]PP!$A:$W,22,FALSE)="odešel"),"odešel",IF(OR(Y21="N",VLOOKUP(A21,[1]PP!$A:$W,22,FALSE)="N"),"N",IF(OR(Y21="C",VLOOKUP(A21,[1]PP!$A:$W,22,FALSE)="C"),"C",IF(OR(Y21="DZO",VLOOKUP(A21,[1]PP!$A:$W,22,FALSE)="DZO"),"DZO",IF(OR(Y21="mise",Y21="disp.",Y21="končí",Y21="DSC",VLOOKUP(A21,[1]PP!$A:$W,22,FALSE)="mise",VLOOKUP(A21,[1]PP!$A:$W,22,FALSE)="disp.",VLOOKUP(A21,[1]PP!$A:$W,22,FALSE)="končí",VLOOKUP(A21,[1]PP!$A:$W,22,FALSE)="DSC"),"jiné",IF(OR(Y21=4,VLOOKUP(A21,[1]PP!$A:$W,22,FALSE)=4),4,IF(OR(Y21=3,VLOOKUP(A21,[1]PP!$A:$W,22,FALSE)=3),3,IF(OR(Y21=2,VLOOKUP(A21,[1]PP!$A:$W,22,FALSE)=2),2,IF(AND(Y21=1,VLOOKUP(A21,[1]PP!$A:$W,22,FALSE)=1),1)))))))))))</f>
        <v/>
      </c>
      <c r="Y21" s="28" t="str">
        <f>IF(COUNTIF(B21:G21,"")&gt;0,"",IF(COUNTIF([1]PP!$A:$A,A21)=0,"neni v PP",IF(VLOOKUP(A21,[1]PP!$A:$W,8,FALSE)="odešel","odešel",IF(F21="","",IF(J21="",IF(OR(T21=4,W21=4),4,IF(AND(T21="N",W21="N"),"N",IF(OR(T21="N",W21="N"),4,ROUND(AVERAGE(T21,W21),0)))),J21)))))</f>
        <v/>
      </c>
      <c r="Z21" s="29" t="str">
        <f>IF(COUNTIF(B21:G21,"")=0,IF(X21="neni v PP",CONCATENATE("ID: &lt;",A21,"&gt; se neshoduje s žádným IDem v kartě PP"),IF(COUNTIF($A:$A,A21)&gt;1,CONCATENATE("ID: &lt;",A21,"&gt; se v kartě VP opakuje. Je nutné tyto IDy od sebe odlišit, např. mezerou za příjmením."),IF(COUNTIF([1]PP!A:A,A21)&gt;1,CONCATENATE("ID: &lt;",A21,"&gt; se v kartě PP opakuje. Je nutné tyto IDy od sebe odlišit, např. mezerou za příjmením."),IF(VLOOKUP(A21,[1]PP!$A:$W,5,FALSE)&lt;&gt;E21,CONCATENATE($E$4," &lt;",E21,"&gt; se neshoduje s jednotkou v kartě PP"," &lt;",VLOOKUP(A21,[1]PP!$A:$W,5,FALSE),"&gt;"),IF(AND(COUNTIF(K21:O21,"")&lt;5,J21="",I21=""),CONCATENATE("Doplň: ",$I$4),IF(AND(YEAR(I21)&lt;&gt;$E$2,COUNTIF(I21,"")=0),CONCATENATE("špatně uveden &lt;",$D$2,"&gt; nebo &lt;",$I$4,"&gt;"),IF(OR(AND(OR(COUNTIF(C21,"*a"),COUNTIF(C21,"*ie"),COUNTIF(C21,"*ine"),COUNTIF(D21,"*Á")),F21="muž"),AND(AND(COUNTIF(C21,"&lt;&gt;"&amp;"*a"),COUNTIF(C21,"&lt;&gt;"&amp;"*ie"),COUNTIF(C21,"&lt;&gt;"&amp;"*ine"),COUNTIF(D21,"&lt;&gt;"&amp;"*Á")),F21="žena")),CONCATENATE(C21," ",D21," je ",F21,"?"),""))))))),IF(COUNTIF(B21:O21,"")=14,"",CONCATENATE("Doplň: ",IF(B21="",CONCATENATE($B$4,IF(COUNTIF(C21:G21,"")=0,"",", ")),""),IF(C21="",CONCATENATE($C$4,IF(COUNTIF(D21:G21,"")=0,"",", ")),""),IF(D21="",CONCATENATE($D$4,IF(COUNTIF(E21:G21,"")=0,"",", ")),""),IF(E21="",CONCATENATE($E$4,IF(COUNTIF(F21:G21,"")=0,"",", ")),""),IF(F21="",CONCATENATE($F$4,IF(G21="",", ","")),""),IF(G21="",$G$4,""))))</f>
        <v/>
      </c>
      <c r="AA21" s="30"/>
    </row>
    <row r="22" spans="1:27" ht="16" x14ac:dyDescent="0.35">
      <c r="A22" s="14" t="str">
        <f t="shared" si="0"/>
        <v xml:space="preserve">  </v>
      </c>
      <c r="B22" s="15"/>
      <c r="C22" s="31"/>
      <c r="D22" s="31"/>
      <c r="E22" s="17"/>
      <c r="F22" s="18"/>
      <c r="G22" s="32"/>
      <c r="H22" s="33" t="str">
        <f>IF(G22="","",IF(F22="žena",ROMAN(MATCH(G22+1,'[1]Normy VP'!$Y$27:$Y$33,-1)),ROMAN(MATCH(G22+1,'[1]Normy VP'!$Y$19:$Y$25,-1))))</f>
        <v/>
      </c>
      <c r="I22" s="21"/>
      <c r="J22" s="22"/>
      <c r="K22" s="23"/>
      <c r="L22" s="23"/>
      <c r="M22" s="23"/>
      <c r="N22" s="22"/>
      <c r="O22" s="22"/>
      <c r="P22" s="24" t="str">
        <f>IF(OR($J22="",$J22="odešel"),IF(K22="","",IF($F22="žena",CHOOSE(_xlfn.ARABIC($H22),MATCH(K22+1,'[1]Normy VP'!$C$25:$F$25,-1),MATCH(K22+1,'[1]Normy VP'!$C$26:$F$26,-1),MATCH(K22+1,'[1]Normy VP'!$C$27:$F$27,-1),MATCH(K22+1,'[1]Normy VP'!$C$28:$F$28,-1),MATCH(K22+1,'[1]Normy VP'!$C$29:$F$29,-1),"muž"),CHOOSE(_xlfn.ARABIC($H22),MATCH(K22+1,'[1]Normy VP'!$C$10:$F$10,-1),MATCH(K22+1,'[1]Normy VP'!$C$11:$F$11,-1),MATCH(K22+1,'[1]Normy VP'!$C$12:$F$12,-1),MATCH(K22+1,'[1]Normy VP'!$C$13:$F$13,-1),MATCH(K22+1,'[1]Normy VP'!$C$14:$F$14,-1),""))),"O")</f>
        <v/>
      </c>
      <c r="Q22" s="24" t="str">
        <f>IF(OR($J22="",$J22="odešel"),IF($F22="žena","",IF(L22="","",(CHOOSE(_xlfn.ARABIC($H22),MATCH(L22+1,'[1]Normy VP'!$G$10:$J$10,-1),MATCH(L22+1,'[1]Normy VP'!$G$11:$J$11,-1),MATCH(L22+1,'[1]Normy VP'!$G$12:$J$12,-1),MATCH(L22+1,'[1]Normy VP'!$G$13:$J$13,-1),MATCH(L22+1,'[1]Normy VP'!$G$14:$J$14,-1),"")))),"O")</f>
        <v/>
      </c>
      <c r="R22" s="34" t="str">
        <f t="shared" si="1"/>
        <v>N</v>
      </c>
      <c r="S22" s="24" t="str">
        <f>IF(OR($J22="",$J22="odešel"),IF(M22="","N",IF($F22="žena",CHOOSE(_xlfn.ARABIC($H22),MATCH(M22+1,'[1]Normy VP'!$G$25:$J$25,-1),MATCH(M22+1,'[1]Normy VP'!$G$26:$J$26,-1),MATCH(M22+1,'[1]Normy VP'!$G$27:$J$27,-1),MATCH(M22+1,'[1]Normy VP'!$G$28:$J$28,-1),MATCH(M22+1,'[1]Normy VP'!$G$29:$J$29,-1),"muž"),(CHOOSE(_xlfn.ARABIC($H22),MATCH(M22+1,'[1]Normy VP'!$K$10:$N$10,-1),MATCH(M22+1,'[1]Normy VP'!$K$11:$N$11,-1),MATCH(M22+1,'[1]Normy VP'!$K$12:$N$12,-1),MATCH(M22+1,'[1]Normy VP'!$K$13:$N$13,-1),MATCH(M22+1,'[1]Normy VP'!$K$14:$N$14,-1),"")))),"O")</f>
        <v>N</v>
      </c>
      <c r="T22" s="34" t="str">
        <f t="shared" si="2"/>
        <v>N</v>
      </c>
      <c r="U22" s="24" t="str">
        <f>IF(OR($J22="",$J22="odešel"),IF(N22="","N",IF($F22="žena",CHOOSE(_xlfn.ARABIC($H22),MATCH(N22+1,'[1]Normy VP'!$K$25:$N$25,-1),MATCH(N22+1,'[1]Normy VP'!$K$26:$N$26,-1),MATCH(N22+1,'[1]Normy VP'!$K$27:$N$27,-1),MATCH(N22+1,'[1]Normy VP'!$K$28:$N$28,-1),MATCH(N22+1,'[1]Normy VP'!$K$29:$N$29,-1),MATCH(N22+1,'[1]Normy VP'!$K$30:$N$30,-1)),CHOOSE(_xlfn.ARABIC($H22),MATCH(N22+1,'[1]Normy VP'!$O$10:$R$10,-1),MATCH(N22+1,'[1]Normy VP'!$O$11:$R$11,-1),MATCH(N22+1,'[1]Normy VP'!$O$12:$R$12,-1),MATCH(N22+1,'[1]Normy VP'!$O$13:$R$13,-1),MATCH(N22+1,'[1]Normy VP'!$O$14:$R$14,-1),MATCH(N22+1,'[1]Normy VP'!$O$15:$R$15,-1)))),"O")</f>
        <v>N</v>
      </c>
      <c r="V22" s="26" t="str">
        <f>IF(OR($J22="",$J22="odešel"),IF(O22="","N",IF($F22="žena",CHOOSE(_xlfn.ARABIC($H22),MATCH(O22-1,'[1]Normy VP'!$O$25:$R$25),MATCH(O22-1,'[1]Normy VP'!$O$26:$R$26),MATCH(O22-1,'[1]Normy VP'!$O$27:$R$27),MATCH(O22-1,'[1]Normy VP'!$O$28:$R$28),MATCH(O22-1,'[1]Normy VP'!$O$29:$R$29),MATCH(O22-1,'[1]Normy VP'!$O$30:$R$30)),CHOOSE(_xlfn.ARABIC($H22),MATCH(O22-1,'[1]Normy VP'!$S$10:$V$10),MATCH(O22-1,'[1]Normy VP'!$S$11:$V$11),MATCH(O22-1,'[1]Normy VP'!$S$12:$V$12),MATCH(O22-1,'[1]Normy VP'!$S$13:$V$13),MATCH(O22-1,'[1]Normy VP'!$S$14:$V$14),MATCH(O22-1,'[1]Normy VP'!$S$15:$V$15)))),"O")</f>
        <v>N</v>
      </c>
      <c r="W22" s="34" t="str">
        <f t="shared" si="3"/>
        <v>N</v>
      </c>
      <c r="X22" s="27" t="str">
        <f>IF(COUNTIF(B22:G22,"")&gt;0,"",IF(COUNTIF([1]PP!$A:$A,A22)=0,"neni v PP",IF(OR(Y22="odešel",VLOOKUP(A22,[1]PP!$A:$W,22,FALSE)="odešel"),"odešel",IF(OR(Y22="N",VLOOKUP(A22,[1]PP!$A:$W,22,FALSE)="N"),"N",IF(OR(Y22="C",VLOOKUP(A22,[1]PP!$A:$W,22,FALSE)="C"),"C",IF(OR(Y22="DZO",VLOOKUP(A22,[1]PP!$A:$W,22,FALSE)="DZO"),"DZO",IF(OR(Y22="mise",Y22="disp.",Y22="končí",Y22="DSC",VLOOKUP(A22,[1]PP!$A:$W,22,FALSE)="mise",VLOOKUP(A22,[1]PP!$A:$W,22,FALSE)="disp.",VLOOKUP(A22,[1]PP!$A:$W,22,FALSE)="končí",VLOOKUP(A22,[1]PP!$A:$W,22,FALSE)="DSC"),"jiné",IF(OR(Y22=4,VLOOKUP(A22,[1]PP!$A:$W,22,FALSE)=4),4,IF(OR(Y22=3,VLOOKUP(A22,[1]PP!$A:$W,22,FALSE)=3),3,IF(OR(Y22=2,VLOOKUP(A22,[1]PP!$A:$W,22,FALSE)=2),2,IF(AND(Y22=1,VLOOKUP(A22,[1]PP!$A:$W,22,FALSE)=1),1)))))))))))</f>
        <v/>
      </c>
      <c r="Y22" s="28" t="str">
        <f>IF(COUNTIF(B22:G22,"")&gt;0,"",IF(COUNTIF([1]PP!$A:$A,A22)=0,"neni v PP",IF(VLOOKUP(A22,[1]PP!$A:$W,8,FALSE)="odešel","odešel",IF(F22="","",IF(J22="",IF(OR(T22=4,W22=4),4,IF(AND(T22="N",W22="N"),"N",IF(OR(T22="N",W22="N"),4,ROUND(AVERAGE(T22,W22),0)))),J22)))))</f>
        <v/>
      </c>
      <c r="Z22" s="29" t="str">
        <f>IF(COUNTIF(B22:G22,"")=0,IF(X22="neni v PP",CONCATENATE("ID: &lt;",A22,"&gt; se neshoduje s žádným IDem v kartě PP"),IF(COUNTIF($A:$A,A22)&gt;1,CONCATENATE("ID: &lt;",A22,"&gt; se v kartě VP opakuje. Je nutné tyto IDy od sebe odlišit, např. mezerou za příjmením."),IF(COUNTIF([1]PP!A:A,A22)&gt;1,CONCATENATE("ID: &lt;",A22,"&gt; se v kartě PP opakuje. Je nutné tyto IDy od sebe odlišit, např. mezerou za příjmením."),IF(VLOOKUP(A22,[1]PP!$A:$W,5,FALSE)&lt;&gt;E22,CONCATENATE($E$4," &lt;",E22,"&gt; se neshoduje s jednotkou v kartě PP"," &lt;",VLOOKUP(A22,[1]PP!$A:$W,5,FALSE),"&gt;"),IF(AND(COUNTIF(K22:O22,"")&lt;5,J22="",I22=""),CONCATENATE("Doplň: ",$I$4),IF(AND(YEAR(I22)&lt;&gt;$E$2,COUNTIF(I22,"")=0),CONCATENATE("špatně uveden &lt;",$D$2,"&gt; nebo &lt;",$I$4,"&gt;"),IF(OR(AND(OR(COUNTIF(C22,"*a"),COUNTIF(C22,"*ie"),COUNTIF(C22,"*ine"),COUNTIF(D22,"*Á")),F22="muž"),AND(AND(COUNTIF(C22,"&lt;&gt;"&amp;"*a"),COUNTIF(C22,"&lt;&gt;"&amp;"*ie"),COUNTIF(C22,"&lt;&gt;"&amp;"*ine"),COUNTIF(D22,"&lt;&gt;"&amp;"*Á")),F22="žena")),CONCATENATE(C22," ",D22," je ",F22,"?"),""))))))),IF(COUNTIF(B22:O22,"")=14,"",CONCATENATE("Doplň: ",IF(B22="",CONCATENATE($B$4,IF(COUNTIF(C22:G22,"")=0,"",", ")),""),IF(C22="",CONCATENATE($C$4,IF(COUNTIF(D22:G22,"")=0,"",", ")),""),IF(D22="",CONCATENATE($D$4,IF(COUNTIF(E22:G22,"")=0,"",", ")),""),IF(E22="",CONCATENATE($E$4,IF(COUNTIF(F22:G22,"")=0,"",", ")),""),IF(F22="",CONCATENATE($F$4,IF(G22="",", ","")),""),IF(G22="",$G$4,""))))</f>
        <v/>
      </c>
      <c r="AA22" s="30"/>
    </row>
    <row r="23" spans="1:27" ht="16" x14ac:dyDescent="0.35">
      <c r="A23" s="14" t="str">
        <f t="shared" si="0"/>
        <v xml:space="preserve">  </v>
      </c>
      <c r="B23" s="15"/>
      <c r="C23" s="31"/>
      <c r="D23" s="31"/>
      <c r="E23" s="17"/>
      <c r="F23" s="18"/>
      <c r="G23" s="32"/>
      <c r="H23" s="33" t="str">
        <f>IF(G23="","",IF(F23="žena",ROMAN(MATCH(G23+1,'[1]Normy VP'!$Y$27:$Y$33,-1)),ROMAN(MATCH(G23+1,'[1]Normy VP'!$Y$19:$Y$25,-1))))</f>
        <v/>
      </c>
      <c r="I23" s="21"/>
      <c r="J23" s="22"/>
      <c r="K23" s="23"/>
      <c r="L23" s="23"/>
      <c r="M23" s="23"/>
      <c r="N23" s="22"/>
      <c r="O23" s="22"/>
      <c r="P23" s="24" t="str">
        <f>IF(OR($J23="",$J23="odešel"),IF(K23="","",IF($F23="žena",CHOOSE(_xlfn.ARABIC($H23),MATCH(K23+1,'[1]Normy VP'!$C$25:$F$25,-1),MATCH(K23+1,'[1]Normy VP'!$C$26:$F$26,-1),MATCH(K23+1,'[1]Normy VP'!$C$27:$F$27,-1),MATCH(K23+1,'[1]Normy VP'!$C$28:$F$28,-1),MATCH(K23+1,'[1]Normy VP'!$C$29:$F$29,-1),"muž"),CHOOSE(_xlfn.ARABIC($H23),MATCH(K23+1,'[1]Normy VP'!$C$10:$F$10,-1),MATCH(K23+1,'[1]Normy VP'!$C$11:$F$11,-1),MATCH(K23+1,'[1]Normy VP'!$C$12:$F$12,-1),MATCH(K23+1,'[1]Normy VP'!$C$13:$F$13,-1),MATCH(K23+1,'[1]Normy VP'!$C$14:$F$14,-1),""))),"O")</f>
        <v/>
      </c>
      <c r="Q23" s="24" t="str">
        <f>IF(OR($J23="",$J23="odešel"),IF($F23="žena","",IF(L23="","",(CHOOSE(_xlfn.ARABIC($H23),MATCH(L23+1,'[1]Normy VP'!$G$10:$J$10,-1),MATCH(L23+1,'[1]Normy VP'!$G$11:$J$11,-1),MATCH(L23+1,'[1]Normy VP'!$G$12:$J$12,-1),MATCH(L23+1,'[1]Normy VP'!$G$13:$J$13,-1),MATCH(L23+1,'[1]Normy VP'!$G$14:$J$14,-1),"")))),"O")</f>
        <v/>
      </c>
      <c r="R23" s="34" t="str">
        <f t="shared" si="1"/>
        <v>N</v>
      </c>
      <c r="S23" s="24" t="str">
        <f>IF(OR($J23="",$J23="odešel"),IF(M23="","N",IF($F23="žena",CHOOSE(_xlfn.ARABIC($H23),MATCH(M23+1,'[1]Normy VP'!$G$25:$J$25,-1),MATCH(M23+1,'[1]Normy VP'!$G$26:$J$26,-1),MATCH(M23+1,'[1]Normy VP'!$G$27:$J$27,-1),MATCH(M23+1,'[1]Normy VP'!$G$28:$J$28,-1),MATCH(M23+1,'[1]Normy VP'!$G$29:$J$29,-1),"muž"),(CHOOSE(_xlfn.ARABIC($H23),MATCH(M23+1,'[1]Normy VP'!$K$10:$N$10,-1),MATCH(M23+1,'[1]Normy VP'!$K$11:$N$11,-1),MATCH(M23+1,'[1]Normy VP'!$K$12:$N$12,-1),MATCH(M23+1,'[1]Normy VP'!$K$13:$N$13,-1),MATCH(M23+1,'[1]Normy VP'!$K$14:$N$14,-1),"")))),"O")</f>
        <v>N</v>
      </c>
      <c r="T23" s="34" t="str">
        <f t="shared" si="2"/>
        <v>N</v>
      </c>
      <c r="U23" s="24" t="str">
        <f>IF(OR($J23="",$J23="odešel"),IF(N23="","N",IF($F23="žena",CHOOSE(_xlfn.ARABIC($H23),MATCH(N23+1,'[1]Normy VP'!$K$25:$N$25,-1),MATCH(N23+1,'[1]Normy VP'!$K$26:$N$26,-1),MATCH(N23+1,'[1]Normy VP'!$K$27:$N$27,-1),MATCH(N23+1,'[1]Normy VP'!$K$28:$N$28,-1),MATCH(N23+1,'[1]Normy VP'!$K$29:$N$29,-1),MATCH(N23+1,'[1]Normy VP'!$K$30:$N$30,-1)),CHOOSE(_xlfn.ARABIC($H23),MATCH(N23+1,'[1]Normy VP'!$O$10:$R$10,-1),MATCH(N23+1,'[1]Normy VP'!$O$11:$R$11,-1),MATCH(N23+1,'[1]Normy VP'!$O$12:$R$12,-1),MATCH(N23+1,'[1]Normy VP'!$O$13:$R$13,-1),MATCH(N23+1,'[1]Normy VP'!$O$14:$R$14,-1),MATCH(N23+1,'[1]Normy VP'!$O$15:$R$15,-1)))),"O")</f>
        <v>N</v>
      </c>
      <c r="V23" s="26" t="str">
        <f>IF(OR($J23="",$J23="odešel"),IF(O23="","N",IF($F23="žena",CHOOSE(_xlfn.ARABIC($H23),MATCH(O23-1,'[1]Normy VP'!$O$25:$R$25),MATCH(O23-1,'[1]Normy VP'!$O$26:$R$26),MATCH(O23-1,'[1]Normy VP'!$O$27:$R$27),MATCH(O23-1,'[1]Normy VP'!$O$28:$R$28),MATCH(O23-1,'[1]Normy VP'!$O$29:$R$29),MATCH(O23-1,'[1]Normy VP'!$O$30:$R$30)),CHOOSE(_xlfn.ARABIC($H23),MATCH(O23-1,'[1]Normy VP'!$S$10:$V$10),MATCH(O23-1,'[1]Normy VP'!$S$11:$V$11),MATCH(O23-1,'[1]Normy VP'!$S$12:$V$12),MATCH(O23-1,'[1]Normy VP'!$S$13:$V$13),MATCH(O23-1,'[1]Normy VP'!$S$14:$V$14),MATCH(O23-1,'[1]Normy VP'!$S$15:$V$15)))),"O")</f>
        <v>N</v>
      </c>
      <c r="W23" s="34" t="str">
        <f t="shared" si="3"/>
        <v>N</v>
      </c>
      <c r="X23" s="27" t="str">
        <f>IF(COUNTIF(B23:G23,"")&gt;0,"",IF(COUNTIF([1]PP!$A:$A,A23)=0,"neni v PP",IF(OR(Y23="odešel",VLOOKUP(A23,[1]PP!$A:$W,22,FALSE)="odešel"),"odešel",IF(OR(Y23="N",VLOOKUP(A23,[1]PP!$A:$W,22,FALSE)="N"),"N",IF(OR(Y23="C",VLOOKUP(A23,[1]PP!$A:$W,22,FALSE)="C"),"C",IF(OR(Y23="DZO",VLOOKUP(A23,[1]PP!$A:$W,22,FALSE)="DZO"),"DZO",IF(OR(Y23="mise",Y23="disp.",Y23="končí",Y23="DSC",VLOOKUP(A23,[1]PP!$A:$W,22,FALSE)="mise",VLOOKUP(A23,[1]PP!$A:$W,22,FALSE)="disp.",VLOOKUP(A23,[1]PP!$A:$W,22,FALSE)="končí",VLOOKUP(A23,[1]PP!$A:$W,22,FALSE)="DSC"),"jiné",IF(OR(Y23=4,VLOOKUP(A23,[1]PP!$A:$W,22,FALSE)=4),4,IF(OR(Y23=3,VLOOKUP(A23,[1]PP!$A:$W,22,FALSE)=3),3,IF(OR(Y23=2,VLOOKUP(A23,[1]PP!$A:$W,22,FALSE)=2),2,IF(AND(Y23=1,VLOOKUP(A23,[1]PP!$A:$W,22,FALSE)=1),1)))))))))))</f>
        <v/>
      </c>
      <c r="Y23" s="28" t="str">
        <f>IF(COUNTIF(B23:G23,"")&gt;0,"",IF(COUNTIF([1]PP!$A:$A,A23)=0,"neni v PP",IF(VLOOKUP(A23,[1]PP!$A:$W,8,FALSE)="odešel","odešel",IF(F23="","",IF(J23="",IF(OR(T23=4,W23=4),4,IF(AND(T23="N",W23="N"),"N",IF(OR(T23="N",W23="N"),4,ROUND(AVERAGE(T23,W23),0)))),J23)))))</f>
        <v/>
      </c>
      <c r="Z23" s="29" t="str">
        <f>IF(COUNTIF(B23:G23,"")=0,IF(X23="neni v PP",CONCATENATE("ID: &lt;",A23,"&gt; se neshoduje s žádným IDem v kartě PP"),IF(COUNTIF($A:$A,A23)&gt;1,CONCATENATE("ID: &lt;",A23,"&gt; se v kartě VP opakuje. Je nutné tyto IDy od sebe odlišit, např. mezerou za příjmením."),IF(COUNTIF([1]PP!A:A,A23)&gt;1,CONCATENATE("ID: &lt;",A23,"&gt; se v kartě PP opakuje. Je nutné tyto IDy od sebe odlišit, např. mezerou za příjmením."),IF(VLOOKUP(A23,[1]PP!$A:$W,5,FALSE)&lt;&gt;E23,CONCATENATE($E$4," &lt;",E23,"&gt; se neshoduje s jednotkou v kartě PP"," &lt;",VLOOKUP(A23,[1]PP!$A:$W,5,FALSE),"&gt;"),IF(AND(COUNTIF(K23:O23,"")&lt;5,J23="",I23=""),CONCATENATE("Doplň: ",$I$4),IF(AND(YEAR(I23)&lt;&gt;$E$2,COUNTIF(I23,"")=0),CONCATENATE("špatně uveden &lt;",$D$2,"&gt; nebo &lt;",$I$4,"&gt;"),IF(OR(AND(OR(COUNTIF(C23,"*a"),COUNTIF(C23,"*ie"),COUNTIF(C23,"*ine"),COUNTIF(D23,"*Á")),F23="muž"),AND(AND(COUNTIF(C23,"&lt;&gt;"&amp;"*a"),COUNTIF(C23,"&lt;&gt;"&amp;"*ie"),COUNTIF(C23,"&lt;&gt;"&amp;"*ine"),COUNTIF(D23,"&lt;&gt;"&amp;"*Á")),F23="žena")),CONCATENATE(C23," ",D23," je ",F23,"?"),""))))))),IF(COUNTIF(B23:O23,"")=14,"",CONCATENATE("Doplň: ",IF(B23="",CONCATENATE($B$4,IF(COUNTIF(C23:G23,"")=0,"",", ")),""),IF(C23="",CONCATENATE($C$4,IF(COUNTIF(D23:G23,"")=0,"",", ")),""),IF(D23="",CONCATENATE($D$4,IF(COUNTIF(E23:G23,"")=0,"",", ")),""),IF(E23="",CONCATENATE($E$4,IF(COUNTIF(F23:G23,"")=0,"",", ")),""),IF(F23="",CONCATENATE($F$4,IF(G23="",", ","")),""),IF(G23="",$G$4,""))))</f>
        <v/>
      </c>
      <c r="AA23" s="30"/>
    </row>
    <row r="24" spans="1:27" ht="16" x14ac:dyDescent="0.35">
      <c r="A24" s="14" t="str">
        <f t="shared" si="0"/>
        <v xml:space="preserve">  </v>
      </c>
      <c r="B24" s="15"/>
      <c r="C24" s="31"/>
      <c r="D24" s="31"/>
      <c r="E24" s="17"/>
      <c r="F24" s="18"/>
      <c r="G24" s="32"/>
      <c r="H24" s="33" t="str">
        <f>IF(G24="","",IF(F24="žena",ROMAN(MATCH(G24+1,'[1]Normy VP'!$Y$27:$Y$33,-1)),ROMAN(MATCH(G24+1,'[1]Normy VP'!$Y$19:$Y$25,-1))))</f>
        <v/>
      </c>
      <c r="I24" s="21"/>
      <c r="J24" s="22"/>
      <c r="K24" s="23"/>
      <c r="L24" s="23"/>
      <c r="M24" s="23"/>
      <c r="N24" s="22"/>
      <c r="O24" s="22"/>
      <c r="P24" s="24" t="str">
        <f>IF(OR($J24="",$J24="odešel"),IF(K24="","",IF($F24="žena",CHOOSE(_xlfn.ARABIC($H24),MATCH(K24+1,'[1]Normy VP'!$C$25:$F$25,-1),MATCH(K24+1,'[1]Normy VP'!$C$26:$F$26,-1),MATCH(K24+1,'[1]Normy VP'!$C$27:$F$27,-1),MATCH(K24+1,'[1]Normy VP'!$C$28:$F$28,-1),MATCH(K24+1,'[1]Normy VP'!$C$29:$F$29,-1),"muž"),CHOOSE(_xlfn.ARABIC($H24),MATCH(K24+1,'[1]Normy VP'!$C$10:$F$10,-1),MATCH(K24+1,'[1]Normy VP'!$C$11:$F$11,-1),MATCH(K24+1,'[1]Normy VP'!$C$12:$F$12,-1),MATCH(K24+1,'[1]Normy VP'!$C$13:$F$13,-1),MATCH(K24+1,'[1]Normy VP'!$C$14:$F$14,-1),""))),"O")</f>
        <v/>
      </c>
      <c r="Q24" s="24" t="str">
        <f>IF(OR($J24="",$J24="odešel"),IF($F24="žena","",IF(L24="","",(CHOOSE(_xlfn.ARABIC($H24),MATCH(L24+1,'[1]Normy VP'!$G$10:$J$10,-1),MATCH(L24+1,'[1]Normy VP'!$G$11:$J$11,-1),MATCH(L24+1,'[1]Normy VP'!$G$12:$J$12,-1),MATCH(L24+1,'[1]Normy VP'!$G$13:$J$13,-1),MATCH(L24+1,'[1]Normy VP'!$G$14:$J$14,-1),"")))),"O")</f>
        <v/>
      </c>
      <c r="R24" s="34" t="str">
        <f t="shared" si="1"/>
        <v>N</v>
      </c>
      <c r="S24" s="24" t="str">
        <f>IF(OR($J24="",$J24="odešel"),IF(M24="","N",IF($F24="žena",CHOOSE(_xlfn.ARABIC($H24),MATCH(M24+1,'[1]Normy VP'!$G$25:$J$25,-1),MATCH(M24+1,'[1]Normy VP'!$G$26:$J$26,-1),MATCH(M24+1,'[1]Normy VP'!$G$27:$J$27,-1),MATCH(M24+1,'[1]Normy VP'!$G$28:$J$28,-1),MATCH(M24+1,'[1]Normy VP'!$G$29:$J$29,-1),"muž"),(CHOOSE(_xlfn.ARABIC($H24),MATCH(M24+1,'[1]Normy VP'!$K$10:$N$10,-1),MATCH(M24+1,'[1]Normy VP'!$K$11:$N$11,-1),MATCH(M24+1,'[1]Normy VP'!$K$12:$N$12,-1),MATCH(M24+1,'[1]Normy VP'!$K$13:$N$13,-1),MATCH(M24+1,'[1]Normy VP'!$K$14:$N$14,-1),"")))),"O")</f>
        <v>N</v>
      </c>
      <c r="T24" s="34" t="str">
        <f t="shared" si="2"/>
        <v>N</v>
      </c>
      <c r="U24" s="24" t="str">
        <f>IF(OR($J24="",$J24="odešel"),IF(N24="","N",IF($F24="žena",CHOOSE(_xlfn.ARABIC($H24),MATCH(N24+1,'[1]Normy VP'!$K$25:$N$25,-1),MATCH(N24+1,'[1]Normy VP'!$K$26:$N$26,-1),MATCH(N24+1,'[1]Normy VP'!$K$27:$N$27,-1),MATCH(N24+1,'[1]Normy VP'!$K$28:$N$28,-1),MATCH(N24+1,'[1]Normy VP'!$K$29:$N$29,-1),MATCH(N24+1,'[1]Normy VP'!$K$30:$N$30,-1)),CHOOSE(_xlfn.ARABIC($H24),MATCH(N24+1,'[1]Normy VP'!$O$10:$R$10,-1),MATCH(N24+1,'[1]Normy VP'!$O$11:$R$11,-1),MATCH(N24+1,'[1]Normy VP'!$O$12:$R$12,-1),MATCH(N24+1,'[1]Normy VP'!$O$13:$R$13,-1),MATCH(N24+1,'[1]Normy VP'!$O$14:$R$14,-1),MATCH(N24+1,'[1]Normy VP'!$O$15:$R$15,-1)))),"O")</f>
        <v>N</v>
      </c>
      <c r="V24" s="26" t="str">
        <f>IF(OR($J24="",$J24="odešel"),IF(O24="","N",IF($F24="žena",CHOOSE(_xlfn.ARABIC($H24),MATCH(O24-1,'[1]Normy VP'!$O$25:$R$25),MATCH(O24-1,'[1]Normy VP'!$O$26:$R$26),MATCH(O24-1,'[1]Normy VP'!$O$27:$R$27),MATCH(O24-1,'[1]Normy VP'!$O$28:$R$28),MATCH(O24-1,'[1]Normy VP'!$O$29:$R$29),MATCH(O24-1,'[1]Normy VP'!$O$30:$R$30)),CHOOSE(_xlfn.ARABIC($H24),MATCH(O24-1,'[1]Normy VP'!$S$10:$V$10),MATCH(O24-1,'[1]Normy VP'!$S$11:$V$11),MATCH(O24-1,'[1]Normy VP'!$S$12:$V$12),MATCH(O24-1,'[1]Normy VP'!$S$13:$V$13),MATCH(O24-1,'[1]Normy VP'!$S$14:$V$14),MATCH(O24-1,'[1]Normy VP'!$S$15:$V$15)))),"O")</f>
        <v>N</v>
      </c>
      <c r="W24" s="34" t="str">
        <f t="shared" si="3"/>
        <v>N</v>
      </c>
      <c r="X24" s="27" t="str">
        <f>IF(COUNTIF(B24:G24,"")&gt;0,"",IF(COUNTIF([1]PP!$A:$A,A24)=0,"neni v PP",IF(OR(Y24="odešel",VLOOKUP(A24,[1]PP!$A:$W,22,FALSE)="odešel"),"odešel",IF(OR(Y24="N",VLOOKUP(A24,[1]PP!$A:$W,22,FALSE)="N"),"N",IF(OR(Y24="C",VLOOKUP(A24,[1]PP!$A:$W,22,FALSE)="C"),"C",IF(OR(Y24="DZO",VLOOKUP(A24,[1]PP!$A:$W,22,FALSE)="DZO"),"DZO",IF(OR(Y24="mise",Y24="disp.",Y24="končí",Y24="DSC",VLOOKUP(A24,[1]PP!$A:$W,22,FALSE)="mise",VLOOKUP(A24,[1]PP!$A:$W,22,FALSE)="disp.",VLOOKUP(A24,[1]PP!$A:$W,22,FALSE)="končí",VLOOKUP(A24,[1]PP!$A:$W,22,FALSE)="DSC"),"jiné",IF(OR(Y24=4,VLOOKUP(A24,[1]PP!$A:$W,22,FALSE)=4),4,IF(OR(Y24=3,VLOOKUP(A24,[1]PP!$A:$W,22,FALSE)=3),3,IF(OR(Y24=2,VLOOKUP(A24,[1]PP!$A:$W,22,FALSE)=2),2,IF(AND(Y24=1,VLOOKUP(A24,[1]PP!$A:$W,22,FALSE)=1),1)))))))))))</f>
        <v/>
      </c>
      <c r="Y24" s="28" t="str">
        <f>IF(COUNTIF(B24:G24,"")&gt;0,"",IF(COUNTIF([1]PP!$A:$A,A24)=0,"neni v PP",IF(VLOOKUP(A24,[1]PP!$A:$W,8,FALSE)="odešel","odešel",IF(F24="","",IF(J24="",IF(OR(T24=4,W24=4),4,IF(AND(T24="N",W24="N"),"N",IF(OR(T24="N",W24="N"),4,ROUND(AVERAGE(T24,W24),0)))),J24)))))</f>
        <v/>
      </c>
      <c r="Z24" s="29" t="str">
        <f>IF(COUNTIF(B24:G24,"")=0,IF(X24="neni v PP",CONCATENATE("ID: &lt;",A24,"&gt; se neshoduje s žádným IDem v kartě PP"),IF(COUNTIF($A:$A,A24)&gt;1,CONCATENATE("ID: &lt;",A24,"&gt; se v kartě VP opakuje. Je nutné tyto IDy od sebe odlišit, např. mezerou za příjmením."),IF(COUNTIF([1]PP!A:A,A24)&gt;1,CONCATENATE("ID: &lt;",A24,"&gt; se v kartě PP opakuje. Je nutné tyto IDy od sebe odlišit, např. mezerou za příjmením."),IF(VLOOKUP(A24,[1]PP!$A:$W,5,FALSE)&lt;&gt;E24,CONCATENATE($E$4," &lt;",E24,"&gt; se neshoduje s jednotkou v kartě PP"," &lt;",VLOOKUP(A24,[1]PP!$A:$W,5,FALSE),"&gt;"),IF(AND(COUNTIF(K24:O24,"")&lt;5,J24="",I24=""),CONCATENATE("Doplň: ",$I$4),IF(AND(YEAR(I24)&lt;&gt;$E$2,COUNTIF(I24,"")=0),CONCATENATE("špatně uveden &lt;",$D$2,"&gt; nebo &lt;",$I$4,"&gt;"),IF(OR(AND(OR(COUNTIF(C24,"*a"),COUNTIF(C24,"*ie"),COUNTIF(C24,"*ine"),COUNTIF(D24,"*Á")),F24="muž"),AND(AND(COUNTIF(C24,"&lt;&gt;"&amp;"*a"),COUNTIF(C24,"&lt;&gt;"&amp;"*ie"),COUNTIF(C24,"&lt;&gt;"&amp;"*ine"),COUNTIF(D24,"&lt;&gt;"&amp;"*Á")),F24="žena")),CONCATENATE(C24," ",D24," je ",F24,"?"),""))))))),IF(COUNTIF(B24:O24,"")=14,"",CONCATENATE("Doplň: ",IF(B24="",CONCATENATE($B$4,IF(COUNTIF(C24:G24,"")=0,"",", ")),""),IF(C24="",CONCATENATE($C$4,IF(COUNTIF(D24:G24,"")=0,"",", ")),""),IF(D24="",CONCATENATE($D$4,IF(COUNTIF(E24:G24,"")=0,"",", ")),""),IF(E24="",CONCATENATE($E$4,IF(COUNTIF(F24:G24,"")=0,"",", ")),""),IF(F24="",CONCATENATE($F$4,IF(G24="",", ","")),""),IF(G24="",$G$4,""))))</f>
        <v/>
      </c>
      <c r="AA24" s="30"/>
    </row>
    <row r="25" spans="1:27" ht="16" x14ac:dyDescent="0.35">
      <c r="A25" s="14" t="str">
        <f t="shared" si="0"/>
        <v xml:space="preserve">  </v>
      </c>
      <c r="B25" s="15"/>
      <c r="C25" s="31"/>
      <c r="D25" s="31"/>
      <c r="E25" s="17"/>
      <c r="F25" s="18"/>
      <c r="G25" s="32"/>
      <c r="H25" s="33" t="str">
        <f>IF(G25="","",IF(F25="žena",ROMAN(MATCH(G25+1,'[1]Normy VP'!$Y$27:$Y$33,-1)),ROMAN(MATCH(G25+1,'[1]Normy VP'!$Y$19:$Y$25,-1))))</f>
        <v/>
      </c>
      <c r="I25" s="21"/>
      <c r="J25" s="22"/>
      <c r="K25" s="23"/>
      <c r="L25" s="23"/>
      <c r="M25" s="23"/>
      <c r="N25" s="22"/>
      <c r="O25" s="22"/>
      <c r="P25" s="24" t="str">
        <f>IF(OR($J25="",$J25="odešel"),IF(K25="","",IF($F25="žena",CHOOSE(_xlfn.ARABIC($H25),MATCH(K25+1,'[1]Normy VP'!$C$25:$F$25,-1),MATCH(K25+1,'[1]Normy VP'!$C$26:$F$26,-1),MATCH(K25+1,'[1]Normy VP'!$C$27:$F$27,-1),MATCH(K25+1,'[1]Normy VP'!$C$28:$F$28,-1),MATCH(K25+1,'[1]Normy VP'!$C$29:$F$29,-1),"muž"),CHOOSE(_xlfn.ARABIC($H25),MATCH(K25+1,'[1]Normy VP'!$C$10:$F$10,-1),MATCH(K25+1,'[1]Normy VP'!$C$11:$F$11,-1),MATCH(K25+1,'[1]Normy VP'!$C$12:$F$12,-1),MATCH(K25+1,'[1]Normy VP'!$C$13:$F$13,-1),MATCH(K25+1,'[1]Normy VP'!$C$14:$F$14,-1),""))),"O")</f>
        <v/>
      </c>
      <c r="Q25" s="24" t="str">
        <f>IF(OR($J25="",$J25="odešel"),IF($F25="žena","",IF(L25="","",(CHOOSE(_xlfn.ARABIC($H25),MATCH(L25+1,'[1]Normy VP'!$G$10:$J$10,-1),MATCH(L25+1,'[1]Normy VP'!$G$11:$J$11,-1),MATCH(L25+1,'[1]Normy VP'!$G$12:$J$12,-1),MATCH(L25+1,'[1]Normy VP'!$G$13:$J$13,-1),MATCH(L25+1,'[1]Normy VP'!$G$14:$J$14,-1),"")))),"O")</f>
        <v/>
      </c>
      <c r="R25" s="34" t="str">
        <f t="shared" si="1"/>
        <v>N</v>
      </c>
      <c r="S25" s="24" t="str">
        <f>IF(OR($J25="",$J25="odešel"),IF(M25="","N",IF($F25="žena",CHOOSE(_xlfn.ARABIC($H25),MATCH(M25+1,'[1]Normy VP'!$G$25:$J$25,-1),MATCH(M25+1,'[1]Normy VP'!$G$26:$J$26,-1),MATCH(M25+1,'[1]Normy VP'!$G$27:$J$27,-1),MATCH(M25+1,'[1]Normy VP'!$G$28:$J$28,-1),MATCH(M25+1,'[1]Normy VP'!$G$29:$J$29,-1),"muž"),(CHOOSE(_xlfn.ARABIC($H25),MATCH(M25+1,'[1]Normy VP'!$K$10:$N$10,-1),MATCH(M25+1,'[1]Normy VP'!$K$11:$N$11,-1),MATCH(M25+1,'[1]Normy VP'!$K$12:$N$12,-1),MATCH(M25+1,'[1]Normy VP'!$K$13:$N$13,-1),MATCH(M25+1,'[1]Normy VP'!$K$14:$N$14,-1),"")))),"O")</f>
        <v>N</v>
      </c>
      <c r="T25" s="34" t="str">
        <f t="shared" si="2"/>
        <v>N</v>
      </c>
      <c r="U25" s="24" t="str">
        <f>IF(OR($J25="",$J25="odešel"),IF(N25="","N",IF($F25="žena",CHOOSE(_xlfn.ARABIC($H25),MATCH(N25+1,'[1]Normy VP'!$K$25:$N$25,-1),MATCH(N25+1,'[1]Normy VP'!$K$26:$N$26,-1),MATCH(N25+1,'[1]Normy VP'!$K$27:$N$27,-1),MATCH(N25+1,'[1]Normy VP'!$K$28:$N$28,-1),MATCH(N25+1,'[1]Normy VP'!$K$29:$N$29,-1),MATCH(N25+1,'[1]Normy VP'!$K$30:$N$30,-1)),CHOOSE(_xlfn.ARABIC($H25),MATCH(N25+1,'[1]Normy VP'!$O$10:$R$10,-1),MATCH(N25+1,'[1]Normy VP'!$O$11:$R$11,-1),MATCH(N25+1,'[1]Normy VP'!$O$12:$R$12,-1),MATCH(N25+1,'[1]Normy VP'!$O$13:$R$13,-1),MATCH(N25+1,'[1]Normy VP'!$O$14:$R$14,-1),MATCH(N25+1,'[1]Normy VP'!$O$15:$R$15,-1)))),"O")</f>
        <v>N</v>
      </c>
      <c r="V25" s="26" t="str">
        <f>IF(OR($J25="",$J25="odešel"),IF(O25="","N",IF($F25="žena",CHOOSE(_xlfn.ARABIC($H25),MATCH(O25-1,'[1]Normy VP'!$O$25:$R$25),MATCH(O25-1,'[1]Normy VP'!$O$26:$R$26),MATCH(O25-1,'[1]Normy VP'!$O$27:$R$27),MATCH(O25-1,'[1]Normy VP'!$O$28:$R$28),MATCH(O25-1,'[1]Normy VP'!$O$29:$R$29),MATCH(O25-1,'[1]Normy VP'!$O$30:$R$30)),CHOOSE(_xlfn.ARABIC($H25),MATCH(O25-1,'[1]Normy VP'!$S$10:$V$10),MATCH(O25-1,'[1]Normy VP'!$S$11:$V$11),MATCH(O25-1,'[1]Normy VP'!$S$12:$V$12),MATCH(O25-1,'[1]Normy VP'!$S$13:$V$13),MATCH(O25-1,'[1]Normy VP'!$S$14:$V$14),MATCH(O25-1,'[1]Normy VP'!$S$15:$V$15)))),"O")</f>
        <v>N</v>
      </c>
      <c r="W25" s="34" t="str">
        <f t="shared" si="3"/>
        <v>N</v>
      </c>
      <c r="X25" s="27" t="str">
        <f>IF(COUNTIF(B25:G25,"")&gt;0,"",IF(COUNTIF([1]PP!$A:$A,A25)=0,"neni v PP",IF(OR(Y25="odešel",VLOOKUP(A25,[1]PP!$A:$W,22,FALSE)="odešel"),"odešel",IF(OR(Y25="N",VLOOKUP(A25,[1]PP!$A:$W,22,FALSE)="N"),"N",IF(OR(Y25="C",VLOOKUP(A25,[1]PP!$A:$W,22,FALSE)="C"),"C",IF(OR(Y25="DZO",VLOOKUP(A25,[1]PP!$A:$W,22,FALSE)="DZO"),"DZO",IF(OR(Y25="mise",Y25="disp.",Y25="končí",Y25="DSC",VLOOKUP(A25,[1]PP!$A:$W,22,FALSE)="mise",VLOOKUP(A25,[1]PP!$A:$W,22,FALSE)="disp.",VLOOKUP(A25,[1]PP!$A:$W,22,FALSE)="končí",VLOOKUP(A25,[1]PP!$A:$W,22,FALSE)="DSC"),"jiné",IF(OR(Y25=4,VLOOKUP(A25,[1]PP!$A:$W,22,FALSE)=4),4,IF(OR(Y25=3,VLOOKUP(A25,[1]PP!$A:$W,22,FALSE)=3),3,IF(OR(Y25=2,VLOOKUP(A25,[1]PP!$A:$W,22,FALSE)=2),2,IF(AND(Y25=1,VLOOKUP(A25,[1]PP!$A:$W,22,FALSE)=1),1)))))))))))</f>
        <v/>
      </c>
      <c r="Y25" s="28" t="str">
        <f>IF(COUNTIF(B25:G25,"")&gt;0,"",IF(COUNTIF([1]PP!$A:$A,A25)=0,"neni v PP",IF(VLOOKUP(A25,[1]PP!$A:$W,8,FALSE)="odešel","odešel",IF(F25="","",IF(J25="",IF(OR(T25=4,W25=4),4,IF(AND(T25="N",W25="N"),"N",IF(OR(T25="N",W25="N"),4,ROUND(AVERAGE(T25,W25),0)))),J25)))))</f>
        <v/>
      </c>
      <c r="Z25" s="29" t="str">
        <f>IF(COUNTIF(B25:G25,"")=0,IF(X25="neni v PP",CONCATENATE("ID: &lt;",A25,"&gt; se neshoduje s žádným IDem v kartě PP"),IF(COUNTIF($A:$A,A25)&gt;1,CONCATENATE("ID: &lt;",A25,"&gt; se v kartě VP opakuje. Je nutné tyto IDy od sebe odlišit, např. mezerou za příjmením."),IF(COUNTIF([1]PP!A:A,A25)&gt;1,CONCATENATE("ID: &lt;",A25,"&gt; se v kartě PP opakuje. Je nutné tyto IDy od sebe odlišit, např. mezerou za příjmením."),IF(VLOOKUP(A25,[1]PP!$A:$W,5,FALSE)&lt;&gt;E25,CONCATENATE($E$4," &lt;",E25,"&gt; se neshoduje s jednotkou v kartě PP"," &lt;",VLOOKUP(A25,[1]PP!$A:$W,5,FALSE),"&gt;"),IF(AND(COUNTIF(K25:O25,"")&lt;5,J25="",I25=""),CONCATENATE("Doplň: ",$I$4),IF(AND(YEAR(I25)&lt;&gt;$E$2,COUNTIF(I25,"")=0),CONCATENATE("špatně uveden &lt;",$D$2,"&gt; nebo &lt;",$I$4,"&gt;"),IF(OR(AND(OR(COUNTIF(C25,"*a"),COUNTIF(C25,"*ie"),COUNTIF(C25,"*ine"),COUNTIF(D25,"*Á")),F25="muž"),AND(AND(COUNTIF(C25,"&lt;&gt;"&amp;"*a"),COUNTIF(C25,"&lt;&gt;"&amp;"*ie"),COUNTIF(C25,"&lt;&gt;"&amp;"*ine"),COUNTIF(D25,"&lt;&gt;"&amp;"*Á")),F25="žena")),CONCATENATE(C25," ",D25," je ",F25,"?"),""))))))),IF(COUNTIF(B25:O25,"")=14,"",CONCATENATE("Doplň: ",IF(B25="",CONCATENATE($B$4,IF(COUNTIF(C25:G25,"")=0,"",", ")),""),IF(C25="",CONCATENATE($C$4,IF(COUNTIF(D25:G25,"")=0,"",", ")),""),IF(D25="",CONCATENATE($D$4,IF(COUNTIF(E25:G25,"")=0,"",", ")),""),IF(E25="",CONCATENATE($E$4,IF(COUNTIF(F25:G25,"")=0,"",", ")),""),IF(F25="",CONCATENATE($F$4,IF(G25="",", ","")),""),IF(G25="",$G$4,""))))</f>
        <v/>
      </c>
      <c r="AA25" s="30"/>
    </row>
    <row r="26" spans="1:27" ht="16" x14ac:dyDescent="0.35">
      <c r="A26" s="14" t="str">
        <f t="shared" si="0"/>
        <v xml:space="preserve">  </v>
      </c>
      <c r="B26" s="15"/>
      <c r="C26" s="31"/>
      <c r="D26" s="31"/>
      <c r="E26" s="17"/>
      <c r="F26" s="18"/>
      <c r="G26" s="32"/>
      <c r="H26" s="33" t="str">
        <f>IF(G26="","",IF(F26="žena",ROMAN(MATCH(G26+1,'[1]Normy VP'!$Y$27:$Y$33,-1)),ROMAN(MATCH(G26+1,'[1]Normy VP'!$Y$19:$Y$25,-1))))</f>
        <v/>
      </c>
      <c r="I26" s="21"/>
      <c r="J26" s="22"/>
      <c r="K26" s="23"/>
      <c r="L26" s="23"/>
      <c r="M26" s="23"/>
      <c r="N26" s="22"/>
      <c r="O26" s="22"/>
      <c r="P26" s="24" t="str">
        <f>IF(OR($J26="",$J26="odešel"),IF(K26="","",IF($F26="žena",CHOOSE(_xlfn.ARABIC($H26),MATCH(K26+1,'[1]Normy VP'!$C$25:$F$25,-1),MATCH(K26+1,'[1]Normy VP'!$C$26:$F$26,-1),MATCH(K26+1,'[1]Normy VP'!$C$27:$F$27,-1),MATCH(K26+1,'[1]Normy VP'!$C$28:$F$28,-1),MATCH(K26+1,'[1]Normy VP'!$C$29:$F$29,-1),"muž"),CHOOSE(_xlfn.ARABIC($H26),MATCH(K26+1,'[1]Normy VP'!$C$10:$F$10,-1),MATCH(K26+1,'[1]Normy VP'!$C$11:$F$11,-1),MATCH(K26+1,'[1]Normy VP'!$C$12:$F$12,-1),MATCH(K26+1,'[1]Normy VP'!$C$13:$F$13,-1),MATCH(K26+1,'[1]Normy VP'!$C$14:$F$14,-1),""))),"O")</f>
        <v/>
      </c>
      <c r="Q26" s="24" t="str">
        <f>IF(OR($J26="",$J26="odešel"),IF($F26="žena","",IF(L26="","",(CHOOSE(_xlfn.ARABIC($H26),MATCH(L26+1,'[1]Normy VP'!$G$10:$J$10,-1),MATCH(L26+1,'[1]Normy VP'!$G$11:$J$11,-1),MATCH(L26+1,'[1]Normy VP'!$G$12:$J$12,-1),MATCH(L26+1,'[1]Normy VP'!$G$13:$J$13,-1),MATCH(L26+1,'[1]Normy VP'!$G$14:$J$14,-1),"")))),"O")</f>
        <v/>
      </c>
      <c r="R26" s="34" t="str">
        <f t="shared" si="1"/>
        <v>N</v>
      </c>
      <c r="S26" s="24" t="str">
        <f>IF(OR($J26="",$J26="odešel"),IF(M26="","N",IF($F26="žena",CHOOSE(_xlfn.ARABIC($H26),MATCH(M26+1,'[1]Normy VP'!$G$25:$J$25,-1),MATCH(M26+1,'[1]Normy VP'!$G$26:$J$26,-1),MATCH(M26+1,'[1]Normy VP'!$G$27:$J$27,-1),MATCH(M26+1,'[1]Normy VP'!$G$28:$J$28,-1),MATCH(M26+1,'[1]Normy VP'!$G$29:$J$29,-1),"muž"),(CHOOSE(_xlfn.ARABIC($H26),MATCH(M26+1,'[1]Normy VP'!$K$10:$N$10,-1),MATCH(M26+1,'[1]Normy VP'!$K$11:$N$11,-1),MATCH(M26+1,'[1]Normy VP'!$K$12:$N$12,-1),MATCH(M26+1,'[1]Normy VP'!$K$13:$N$13,-1),MATCH(M26+1,'[1]Normy VP'!$K$14:$N$14,-1),"")))),"O")</f>
        <v>N</v>
      </c>
      <c r="T26" s="34" t="str">
        <f t="shared" si="2"/>
        <v>N</v>
      </c>
      <c r="U26" s="24" t="str">
        <f>IF(OR($J26="",$J26="odešel"),IF(N26="","N",IF($F26="žena",CHOOSE(_xlfn.ARABIC($H26),MATCH(N26+1,'[1]Normy VP'!$K$25:$N$25,-1),MATCH(N26+1,'[1]Normy VP'!$K$26:$N$26,-1),MATCH(N26+1,'[1]Normy VP'!$K$27:$N$27,-1),MATCH(N26+1,'[1]Normy VP'!$K$28:$N$28,-1),MATCH(N26+1,'[1]Normy VP'!$K$29:$N$29,-1),MATCH(N26+1,'[1]Normy VP'!$K$30:$N$30,-1)),CHOOSE(_xlfn.ARABIC($H26),MATCH(N26+1,'[1]Normy VP'!$O$10:$R$10,-1),MATCH(N26+1,'[1]Normy VP'!$O$11:$R$11,-1),MATCH(N26+1,'[1]Normy VP'!$O$12:$R$12,-1),MATCH(N26+1,'[1]Normy VP'!$O$13:$R$13,-1),MATCH(N26+1,'[1]Normy VP'!$O$14:$R$14,-1),MATCH(N26+1,'[1]Normy VP'!$O$15:$R$15,-1)))),"O")</f>
        <v>N</v>
      </c>
      <c r="V26" s="26" t="str">
        <f>IF(OR($J26="",$J26="odešel"),IF(O26="","N",IF($F26="žena",CHOOSE(_xlfn.ARABIC($H26),MATCH(O26-1,'[1]Normy VP'!$O$25:$R$25),MATCH(O26-1,'[1]Normy VP'!$O$26:$R$26),MATCH(O26-1,'[1]Normy VP'!$O$27:$R$27),MATCH(O26-1,'[1]Normy VP'!$O$28:$R$28),MATCH(O26-1,'[1]Normy VP'!$O$29:$R$29),MATCH(O26-1,'[1]Normy VP'!$O$30:$R$30)),CHOOSE(_xlfn.ARABIC($H26),MATCH(O26-1,'[1]Normy VP'!$S$10:$V$10),MATCH(O26-1,'[1]Normy VP'!$S$11:$V$11),MATCH(O26-1,'[1]Normy VP'!$S$12:$V$12),MATCH(O26-1,'[1]Normy VP'!$S$13:$V$13),MATCH(O26-1,'[1]Normy VP'!$S$14:$V$14),MATCH(O26-1,'[1]Normy VP'!$S$15:$V$15)))),"O")</f>
        <v>N</v>
      </c>
      <c r="W26" s="34" t="str">
        <f t="shared" si="3"/>
        <v>N</v>
      </c>
      <c r="X26" s="27" t="str">
        <f>IF(COUNTIF(B26:G26,"")&gt;0,"",IF(COUNTIF([1]PP!$A:$A,A26)=0,"neni v PP",IF(OR(Y26="odešel",VLOOKUP(A26,[1]PP!$A:$W,22,FALSE)="odešel"),"odešel",IF(OR(Y26="N",VLOOKUP(A26,[1]PP!$A:$W,22,FALSE)="N"),"N",IF(OR(Y26="C",VLOOKUP(A26,[1]PP!$A:$W,22,FALSE)="C"),"C",IF(OR(Y26="DZO",VLOOKUP(A26,[1]PP!$A:$W,22,FALSE)="DZO"),"DZO",IF(OR(Y26="mise",Y26="disp.",Y26="končí",Y26="DSC",VLOOKUP(A26,[1]PP!$A:$W,22,FALSE)="mise",VLOOKUP(A26,[1]PP!$A:$W,22,FALSE)="disp.",VLOOKUP(A26,[1]PP!$A:$W,22,FALSE)="končí",VLOOKUP(A26,[1]PP!$A:$W,22,FALSE)="DSC"),"jiné",IF(OR(Y26=4,VLOOKUP(A26,[1]PP!$A:$W,22,FALSE)=4),4,IF(OR(Y26=3,VLOOKUP(A26,[1]PP!$A:$W,22,FALSE)=3),3,IF(OR(Y26=2,VLOOKUP(A26,[1]PP!$A:$W,22,FALSE)=2),2,IF(AND(Y26=1,VLOOKUP(A26,[1]PP!$A:$W,22,FALSE)=1),1)))))))))))</f>
        <v/>
      </c>
      <c r="Y26" s="28" t="str">
        <f>IF(COUNTIF(B26:G26,"")&gt;0,"",IF(COUNTIF([1]PP!$A:$A,A26)=0,"neni v PP",IF(VLOOKUP(A26,[1]PP!$A:$W,8,FALSE)="odešel","odešel",IF(F26="","",IF(J26="",IF(OR(T26=4,W26=4),4,IF(AND(T26="N",W26="N"),"N",IF(OR(T26="N",W26="N"),4,ROUND(AVERAGE(T26,W26),0)))),J26)))))</f>
        <v/>
      </c>
      <c r="Z26" s="29" t="str">
        <f>IF(COUNTIF(B26:G26,"")=0,IF(X26="neni v PP",CONCATENATE("ID: &lt;",A26,"&gt; se neshoduje s žádným IDem v kartě PP"),IF(COUNTIF($A:$A,A26)&gt;1,CONCATENATE("ID: &lt;",A26,"&gt; se v kartě VP opakuje. Je nutné tyto IDy od sebe odlišit, např. mezerou za příjmením."),IF(COUNTIF([1]PP!A:A,A26)&gt;1,CONCATENATE("ID: &lt;",A26,"&gt; se v kartě PP opakuje. Je nutné tyto IDy od sebe odlišit, např. mezerou za příjmením."),IF(VLOOKUP(A26,[1]PP!$A:$W,5,FALSE)&lt;&gt;E26,CONCATENATE($E$4," &lt;",E26,"&gt; se neshoduje s jednotkou v kartě PP"," &lt;",VLOOKUP(A26,[1]PP!$A:$W,5,FALSE),"&gt;"),IF(AND(COUNTIF(K26:O26,"")&lt;5,J26="",I26=""),CONCATENATE("Doplň: ",$I$4),IF(AND(YEAR(I26)&lt;&gt;$E$2,COUNTIF(I26,"")=0),CONCATENATE("špatně uveden &lt;",$D$2,"&gt; nebo &lt;",$I$4,"&gt;"),IF(OR(AND(OR(COUNTIF(C26,"*a"),COUNTIF(C26,"*ie"),COUNTIF(C26,"*ine"),COUNTIF(D26,"*Á")),F26="muž"),AND(AND(COUNTIF(C26,"&lt;&gt;"&amp;"*a"),COUNTIF(C26,"&lt;&gt;"&amp;"*ie"),COUNTIF(C26,"&lt;&gt;"&amp;"*ine"),COUNTIF(D26,"&lt;&gt;"&amp;"*Á")),F26="žena")),CONCATENATE(C26," ",D26," je ",F26,"?"),""))))))),IF(COUNTIF(B26:O26,"")=14,"",CONCATENATE("Doplň: ",IF(B26="",CONCATENATE($B$4,IF(COUNTIF(C26:G26,"")=0,"",", ")),""),IF(C26="",CONCATENATE($C$4,IF(COUNTIF(D26:G26,"")=0,"",", ")),""),IF(D26="",CONCATENATE($D$4,IF(COUNTIF(E26:G26,"")=0,"",", ")),""),IF(E26="",CONCATENATE($E$4,IF(COUNTIF(F26:G26,"")=0,"",", ")),""),IF(F26="",CONCATENATE($F$4,IF(G26="",", ","")),""),IF(G26="",$G$4,""))))</f>
        <v/>
      </c>
      <c r="AA26" s="30"/>
    </row>
    <row r="27" spans="1:27" ht="16" x14ac:dyDescent="0.35">
      <c r="A27" s="14" t="str">
        <f t="shared" si="0"/>
        <v xml:space="preserve">  </v>
      </c>
      <c r="B27" s="15"/>
      <c r="C27" s="31"/>
      <c r="D27" s="31"/>
      <c r="E27" s="17"/>
      <c r="F27" s="18"/>
      <c r="G27" s="32"/>
      <c r="H27" s="33" t="str">
        <f>IF(G27="","",IF(F27="žena",ROMAN(MATCH(G27+1,'[1]Normy VP'!$Y$27:$Y$33,-1)),ROMAN(MATCH(G27+1,'[1]Normy VP'!$Y$19:$Y$25,-1))))</f>
        <v/>
      </c>
      <c r="I27" s="21"/>
      <c r="J27" s="22"/>
      <c r="K27" s="23"/>
      <c r="L27" s="23"/>
      <c r="M27" s="23"/>
      <c r="N27" s="22"/>
      <c r="O27" s="22"/>
      <c r="P27" s="24" t="str">
        <f>IF(OR($J27="",$J27="odešel"),IF(K27="","",IF($F27="žena",CHOOSE(_xlfn.ARABIC($H27),MATCH(K27+1,'[1]Normy VP'!$C$25:$F$25,-1),MATCH(K27+1,'[1]Normy VP'!$C$26:$F$26,-1),MATCH(K27+1,'[1]Normy VP'!$C$27:$F$27,-1),MATCH(K27+1,'[1]Normy VP'!$C$28:$F$28,-1),MATCH(K27+1,'[1]Normy VP'!$C$29:$F$29,-1),"muž"),CHOOSE(_xlfn.ARABIC($H27),MATCH(K27+1,'[1]Normy VP'!$C$10:$F$10,-1),MATCH(K27+1,'[1]Normy VP'!$C$11:$F$11,-1),MATCH(K27+1,'[1]Normy VP'!$C$12:$F$12,-1),MATCH(K27+1,'[1]Normy VP'!$C$13:$F$13,-1),MATCH(K27+1,'[1]Normy VP'!$C$14:$F$14,-1),""))),"O")</f>
        <v/>
      </c>
      <c r="Q27" s="24" t="str">
        <f>IF(OR($J27="",$J27="odešel"),IF($F27="žena","",IF(L27="","",(CHOOSE(_xlfn.ARABIC($H27),MATCH(L27+1,'[1]Normy VP'!$G$10:$J$10,-1),MATCH(L27+1,'[1]Normy VP'!$G$11:$J$11,-1),MATCH(L27+1,'[1]Normy VP'!$G$12:$J$12,-1),MATCH(L27+1,'[1]Normy VP'!$G$13:$J$13,-1),MATCH(L27+1,'[1]Normy VP'!$G$14:$J$14,-1),"")))),"O")</f>
        <v/>
      </c>
      <c r="R27" s="34" t="str">
        <f t="shared" si="1"/>
        <v>N</v>
      </c>
      <c r="S27" s="24" t="str">
        <f>IF(OR($J27="",$J27="odešel"),IF(M27="","N",IF($F27="žena",CHOOSE(_xlfn.ARABIC($H27),MATCH(M27+1,'[1]Normy VP'!$G$25:$J$25,-1),MATCH(M27+1,'[1]Normy VP'!$G$26:$J$26,-1),MATCH(M27+1,'[1]Normy VP'!$G$27:$J$27,-1),MATCH(M27+1,'[1]Normy VP'!$G$28:$J$28,-1),MATCH(M27+1,'[1]Normy VP'!$G$29:$J$29,-1),"muž"),(CHOOSE(_xlfn.ARABIC($H27),MATCH(M27+1,'[1]Normy VP'!$K$10:$N$10,-1),MATCH(M27+1,'[1]Normy VP'!$K$11:$N$11,-1),MATCH(M27+1,'[1]Normy VP'!$K$12:$N$12,-1),MATCH(M27+1,'[1]Normy VP'!$K$13:$N$13,-1),MATCH(M27+1,'[1]Normy VP'!$K$14:$N$14,-1),"")))),"O")</f>
        <v>N</v>
      </c>
      <c r="T27" s="34" t="str">
        <f t="shared" si="2"/>
        <v>N</v>
      </c>
      <c r="U27" s="24" t="str">
        <f>IF(OR($J27="",$J27="odešel"),IF(N27="","N",IF($F27="žena",CHOOSE(_xlfn.ARABIC($H27),MATCH(N27+1,'[1]Normy VP'!$K$25:$N$25,-1),MATCH(N27+1,'[1]Normy VP'!$K$26:$N$26,-1),MATCH(N27+1,'[1]Normy VP'!$K$27:$N$27,-1),MATCH(N27+1,'[1]Normy VP'!$K$28:$N$28,-1),MATCH(N27+1,'[1]Normy VP'!$K$29:$N$29,-1),MATCH(N27+1,'[1]Normy VP'!$K$30:$N$30,-1)),CHOOSE(_xlfn.ARABIC($H27),MATCH(N27+1,'[1]Normy VP'!$O$10:$R$10,-1),MATCH(N27+1,'[1]Normy VP'!$O$11:$R$11,-1),MATCH(N27+1,'[1]Normy VP'!$O$12:$R$12,-1),MATCH(N27+1,'[1]Normy VP'!$O$13:$R$13,-1),MATCH(N27+1,'[1]Normy VP'!$O$14:$R$14,-1),MATCH(N27+1,'[1]Normy VP'!$O$15:$R$15,-1)))),"O")</f>
        <v>N</v>
      </c>
      <c r="V27" s="26" t="str">
        <f>IF(OR($J27="",$J27="odešel"),IF(O27="","N",IF($F27="žena",CHOOSE(_xlfn.ARABIC($H27),MATCH(O27-1,'[1]Normy VP'!$O$25:$R$25),MATCH(O27-1,'[1]Normy VP'!$O$26:$R$26),MATCH(O27-1,'[1]Normy VP'!$O$27:$R$27),MATCH(O27-1,'[1]Normy VP'!$O$28:$R$28),MATCH(O27-1,'[1]Normy VP'!$O$29:$R$29),MATCH(O27-1,'[1]Normy VP'!$O$30:$R$30)),CHOOSE(_xlfn.ARABIC($H27),MATCH(O27-1,'[1]Normy VP'!$S$10:$V$10),MATCH(O27-1,'[1]Normy VP'!$S$11:$V$11),MATCH(O27-1,'[1]Normy VP'!$S$12:$V$12),MATCH(O27-1,'[1]Normy VP'!$S$13:$V$13),MATCH(O27-1,'[1]Normy VP'!$S$14:$V$14),MATCH(O27-1,'[1]Normy VP'!$S$15:$V$15)))),"O")</f>
        <v>N</v>
      </c>
      <c r="W27" s="34" t="str">
        <f t="shared" si="3"/>
        <v>N</v>
      </c>
      <c r="X27" s="27" t="str">
        <f>IF(COUNTIF(B27:G27,"")&gt;0,"",IF(COUNTIF([1]PP!$A:$A,A27)=0,"neni v PP",IF(OR(Y27="odešel",VLOOKUP(A27,[1]PP!$A:$W,22,FALSE)="odešel"),"odešel",IF(OR(Y27="N",VLOOKUP(A27,[1]PP!$A:$W,22,FALSE)="N"),"N",IF(OR(Y27="C",VLOOKUP(A27,[1]PP!$A:$W,22,FALSE)="C"),"C",IF(OR(Y27="DZO",VLOOKUP(A27,[1]PP!$A:$W,22,FALSE)="DZO"),"DZO",IF(OR(Y27="mise",Y27="disp.",Y27="končí",Y27="DSC",VLOOKUP(A27,[1]PP!$A:$W,22,FALSE)="mise",VLOOKUP(A27,[1]PP!$A:$W,22,FALSE)="disp.",VLOOKUP(A27,[1]PP!$A:$W,22,FALSE)="končí",VLOOKUP(A27,[1]PP!$A:$W,22,FALSE)="DSC"),"jiné",IF(OR(Y27=4,VLOOKUP(A27,[1]PP!$A:$W,22,FALSE)=4),4,IF(OR(Y27=3,VLOOKUP(A27,[1]PP!$A:$W,22,FALSE)=3),3,IF(OR(Y27=2,VLOOKUP(A27,[1]PP!$A:$W,22,FALSE)=2),2,IF(AND(Y27=1,VLOOKUP(A27,[1]PP!$A:$W,22,FALSE)=1),1)))))))))))</f>
        <v/>
      </c>
      <c r="Y27" s="28" t="str">
        <f>IF(COUNTIF(B27:G27,"")&gt;0,"",IF(COUNTIF([1]PP!$A:$A,A27)=0,"neni v PP",IF(VLOOKUP(A27,[1]PP!$A:$W,8,FALSE)="odešel","odešel",IF(F27="","",IF(J27="",IF(OR(T27=4,W27=4),4,IF(AND(T27="N",W27="N"),"N",IF(OR(T27="N",W27="N"),4,ROUND(AVERAGE(T27,W27),0)))),J27)))))</f>
        <v/>
      </c>
      <c r="Z27" s="29" t="str">
        <f>IF(COUNTIF(B27:G27,"")=0,IF(X27="neni v PP",CONCATENATE("ID: &lt;",A27,"&gt; se neshoduje s žádným IDem v kartě PP"),IF(COUNTIF($A:$A,A27)&gt;1,CONCATENATE("ID: &lt;",A27,"&gt; se v kartě VP opakuje. Je nutné tyto IDy od sebe odlišit, např. mezerou za příjmením."),IF(COUNTIF([1]PP!A:A,A27)&gt;1,CONCATENATE("ID: &lt;",A27,"&gt; se v kartě PP opakuje. Je nutné tyto IDy od sebe odlišit, např. mezerou za příjmením."),IF(VLOOKUP(A27,[1]PP!$A:$W,5,FALSE)&lt;&gt;E27,CONCATENATE($E$4," &lt;",E27,"&gt; se neshoduje s jednotkou v kartě PP"," &lt;",VLOOKUP(A27,[1]PP!$A:$W,5,FALSE),"&gt;"),IF(AND(COUNTIF(K27:O27,"")&lt;5,J27="",I27=""),CONCATENATE("Doplň: ",$I$4),IF(AND(YEAR(I27)&lt;&gt;$E$2,COUNTIF(I27,"")=0),CONCATENATE("špatně uveden &lt;",$D$2,"&gt; nebo &lt;",$I$4,"&gt;"),IF(OR(AND(OR(COUNTIF(C27,"*a"),COUNTIF(C27,"*ie"),COUNTIF(C27,"*ine"),COUNTIF(D27,"*Á")),F27="muž"),AND(AND(COUNTIF(C27,"&lt;&gt;"&amp;"*a"),COUNTIF(C27,"&lt;&gt;"&amp;"*ie"),COUNTIF(C27,"&lt;&gt;"&amp;"*ine"),COUNTIF(D27,"&lt;&gt;"&amp;"*Á")),F27="žena")),CONCATENATE(C27," ",D27," je ",F27,"?"),""))))))),IF(COUNTIF(B27:O27,"")=14,"",CONCATENATE("Doplň: ",IF(B27="",CONCATENATE($B$4,IF(COUNTIF(C27:G27,"")=0,"",", ")),""),IF(C27="",CONCATENATE($C$4,IF(COUNTIF(D27:G27,"")=0,"",", ")),""),IF(D27="",CONCATENATE($D$4,IF(COUNTIF(E27:G27,"")=0,"",", ")),""),IF(E27="",CONCATENATE($E$4,IF(COUNTIF(F27:G27,"")=0,"",", ")),""),IF(F27="",CONCATENATE($F$4,IF(G27="",", ","")),""),IF(G27="",$G$4,""))))</f>
        <v/>
      </c>
      <c r="AA27" s="30"/>
    </row>
    <row r="28" spans="1:27" ht="16" x14ac:dyDescent="0.35">
      <c r="A28" s="14" t="str">
        <f t="shared" si="0"/>
        <v xml:space="preserve">  </v>
      </c>
      <c r="B28" s="15"/>
      <c r="C28" s="31"/>
      <c r="D28" s="31"/>
      <c r="E28" s="17"/>
      <c r="F28" s="18"/>
      <c r="G28" s="32"/>
      <c r="H28" s="33" t="str">
        <f>IF(G28="","",IF(F28="žena",ROMAN(MATCH(G28+1,'[1]Normy VP'!$Y$27:$Y$33,-1)),ROMAN(MATCH(G28+1,'[1]Normy VP'!$Y$19:$Y$25,-1))))</f>
        <v/>
      </c>
      <c r="I28" s="21"/>
      <c r="J28" s="22"/>
      <c r="K28" s="23"/>
      <c r="L28" s="23"/>
      <c r="M28" s="23"/>
      <c r="N28" s="22"/>
      <c r="O28" s="22"/>
      <c r="P28" s="24" t="str">
        <f>IF(OR($J28="",$J28="odešel"),IF(K28="","",IF($F28="žena",CHOOSE(_xlfn.ARABIC($H28),MATCH(K28+1,'[1]Normy VP'!$C$25:$F$25,-1),MATCH(K28+1,'[1]Normy VP'!$C$26:$F$26,-1),MATCH(K28+1,'[1]Normy VP'!$C$27:$F$27,-1),MATCH(K28+1,'[1]Normy VP'!$C$28:$F$28,-1),MATCH(K28+1,'[1]Normy VP'!$C$29:$F$29,-1),"muž"),CHOOSE(_xlfn.ARABIC($H28),MATCH(K28+1,'[1]Normy VP'!$C$10:$F$10,-1),MATCH(K28+1,'[1]Normy VP'!$C$11:$F$11,-1),MATCH(K28+1,'[1]Normy VP'!$C$12:$F$12,-1),MATCH(K28+1,'[1]Normy VP'!$C$13:$F$13,-1),MATCH(K28+1,'[1]Normy VP'!$C$14:$F$14,-1),""))),"O")</f>
        <v/>
      </c>
      <c r="Q28" s="24" t="str">
        <f>IF(OR($J28="",$J28="odešel"),IF($F28="žena","",IF(L28="","",(CHOOSE(_xlfn.ARABIC($H28),MATCH(L28+1,'[1]Normy VP'!$G$10:$J$10,-1),MATCH(L28+1,'[1]Normy VP'!$G$11:$J$11,-1),MATCH(L28+1,'[1]Normy VP'!$G$12:$J$12,-1),MATCH(L28+1,'[1]Normy VP'!$G$13:$J$13,-1),MATCH(L28+1,'[1]Normy VP'!$G$14:$J$14,-1),"")))),"O")</f>
        <v/>
      </c>
      <c r="R28" s="34" t="str">
        <f t="shared" si="1"/>
        <v>N</v>
      </c>
      <c r="S28" s="24" t="str">
        <f>IF(OR($J28="",$J28="odešel"),IF(M28="","N",IF($F28="žena",CHOOSE(_xlfn.ARABIC($H28),MATCH(M28+1,'[1]Normy VP'!$G$25:$J$25,-1),MATCH(M28+1,'[1]Normy VP'!$G$26:$J$26,-1),MATCH(M28+1,'[1]Normy VP'!$G$27:$J$27,-1),MATCH(M28+1,'[1]Normy VP'!$G$28:$J$28,-1),MATCH(M28+1,'[1]Normy VP'!$G$29:$J$29,-1),"muž"),(CHOOSE(_xlfn.ARABIC($H28),MATCH(M28+1,'[1]Normy VP'!$K$10:$N$10,-1),MATCH(M28+1,'[1]Normy VP'!$K$11:$N$11,-1),MATCH(M28+1,'[1]Normy VP'!$K$12:$N$12,-1),MATCH(M28+1,'[1]Normy VP'!$K$13:$N$13,-1),MATCH(M28+1,'[1]Normy VP'!$K$14:$N$14,-1),"")))),"O")</f>
        <v>N</v>
      </c>
      <c r="T28" s="34" t="str">
        <f t="shared" si="2"/>
        <v>N</v>
      </c>
      <c r="U28" s="24" t="str">
        <f>IF(OR($J28="",$J28="odešel"),IF(N28="","N",IF($F28="žena",CHOOSE(_xlfn.ARABIC($H28),MATCH(N28+1,'[1]Normy VP'!$K$25:$N$25,-1),MATCH(N28+1,'[1]Normy VP'!$K$26:$N$26,-1),MATCH(N28+1,'[1]Normy VP'!$K$27:$N$27,-1),MATCH(N28+1,'[1]Normy VP'!$K$28:$N$28,-1),MATCH(N28+1,'[1]Normy VP'!$K$29:$N$29,-1),MATCH(N28+1,'[1]Normy VP'!$K$30:$N$30,-1)),CHOOSE(_xlfn.ARABIC($H28),MATCH(N28+1,'[1]Normy VP'!$O$10:$R$10,-1),MATCH(N28+1,'[1]Normy VP'!$O$11:$R$11,-1),MATCH(N28+1,'[1]Normy VP'!$O$12:$R$12,-1),MATCH(N28+1,'[1]Normy VP'!$O$13:$R$13,-1),MATCH(N28+1,'[1]Normy VP'!$O$14:$R$14,-1),MATCH(N28+1,'[1]Normy VP'!$O$15:$R$15,-1)))),"O")</f>
        <v>N</v>
      </c>
      <c r="V28" s="26" t="str">
        <f>IF(OR($J28="",$J28="odešel"),IF(O28="","N",IF($F28="žena",CHOOSE(_xlfn.ARABIC($H28),MATCH(O28-1,'[1]Normy VP'!$O$25:$R$25),MATCH(O28-1,'[1]Normy VP'!$O$26:$R$26),MATCH(O28-1,'[1]Normy VP'!$O$27:$R$27),MATCH(O28-1,'[1]Normy VP'!$O$28:$R$28),MATCH(O28-1,'[1]Normy VP'!$O$29:$R$29),MATCH(O28-1,'[1]Normy VP'!$O$30:$R$30)),CHOOSE(_xlfn.ARABIC($H28),MATCH(O28-1,'[1]Normy VP'!$S$10:$V$10),MATCH(O28-1,'[1]Normy VP'!$S$11:$V$11),MATCH(O28-1,'[1]Normy VP'!$S$12:$V$12),MATCH(O28-1,'[1]Normy VP'!$S$13:$V$13),MATCH(O28-1,'[1]Normy VP'!$S$14:$V$14),MATCH(O28-1,'[1]Normy VP'!$S$15:$V$15)))),"O")</f>
        <v>N</v>
      </c>
      <c r="W28" s="34" t="str">
        <f t="shared" si="3"/>
        <v>N</v>
      </c>
      <c r="X28" s="27" t="str">
        <f>IF(COUNTIF(B28:G28,"")&gt;0,"",IF(COUNTIF([1]PP!$A:$A,A28)=0,"neni v PP",IF(OR(Y28="odešel",VLOOKUP(A28,[1]PP!$A:$W,22,FALSE)="odešel"),"odešel",IF(OR(Y28="N",VLOOKUP(A28,[1]PP!$A:$W,22,FALSE)="N"),"N",IF(OR(Y28="C",VLOOKUP(A28,[1]PP!$A:$W,22,FALSE)="C"),"C",IF(OR(Y28="DZO",VLOOKUP(A28,[1]PP!$A:$W,22,FALSE)="DZO"),"DZO",IF(OR(Y28="mise",Y28="disp.",Y28="končí",Y28="DSC",VLOOKUP(A28,[1]PP!$A:$W,22,FALSE)="mise",VLOOKUP(A28,[1]PP!$A:$W,22,FALSE)="disp.",VLOOKUP(A28,[1]PP!$A:$W,22,FALSE)="končí",VLOOKUP(A28,[1]PP!$A:$W,22,FALSE)="DSC"),"jiné",IF(OR(Y28=4,VLOOKUP(A28,[1]PP!$A:$W,22,FALSE)=4),4,IF(OR(Y28=3,VLOOKUP(A28,[1]PP!$A:$W,22,FALSE)=3),3,IF(OR(Y28=2,VLOOKUP(A28,[1]PP!$A:$W,22,FALSE)=2),2,IF(AND(Y28=1,VLOOKUP(A28,[1]PP!$A:$W,22,FALSE)=1),1)))))))))))</f>
        <v/>
      </c>
      <c r="Y28" s="28" t="str">
        <f>IF(COUNTIF(B28:G28,"")&gt;0,"",IF(COUNTIF([1]PP!$A:$A,A28)=0,"neni v PP",IF(VLOOKUP(A28,[1]PP!$A:$W,8,FALSE)="odešel","odešel",IF(F28="","",IF(J28="",IF(OR(T28=4,W28=4),4,IF(AND(T28="N",W28="N"),"N",IF(OR(T28="N",W28="N"),4,ROUND(AVERAGE(T28,W28),0)))),J28)))))</f>
        <v/>
      </c>
      <c r="Z28" s="29" t="str">
        <f>IF(COUNTIF(B28:G28,"")=0,IF(X28="neni v PP",CONCATENATE("ID: &lt;",A28,"&gt; se neshoduje s žádným IDem v kartě PP"),IF(COUNTIF($A:$A,A28)&gt;1,CONCATENATE("ID: &lt;",A28,"&gt; se v kartě VP opakuje. Je nutné tyto IDy od sebe odlišit, např. mezerou za příjmením."),IF(COUNTIF([1]PP!A:A,A28)&gt;1,CONCATENATE("ID: &lt;",A28,"&gt; se v kartě PP opakuje. Je nutné tyto IDy od sebe odlišit, např. mezerou za příjmením."),IF(VLOOKUP(A28,[1]PP!$A:$W,5,FALSE)&lt;&gt;E28,CONCATENATE($E$4," &lt;",E28,"&gt; se neshoduje s jednotkou v kartě PP"," &lt;",VLOOKUP(A28,[1]PP!$A:$W,5,FALSE),"&gt;"),IF(AND(COUNTIF(K28:O28,"")&lt;5,J28="",I28=""),CONCATENATE("Doplň: ",$I$4),IF(AND(YEAR(I28)&lt;&gt;$E$2,COUNTIF(I28,"")=0),CONCATENATE("špatně uveden &lt;",$D$2,"&gt; nebo &lt;",$I$4,"&gt;"),IF(OR(AND(OR(COUNTIF(C28,"*a"),COUNTIF(C28,"*ie"),COUNTIF(C28,"*ine"),COUNTIF(D28,"*Á")),F28="muž"),AND(AND(COUNTIF(C28,"&lt;&gt;"&amp;"*a"),COUNTIF(C28,"&lt;&gt;"&amp;"*ie"),COUNTIF(C28,"&lt;&gt;"&amp;"*ine"),COUNTIF(D28,"&lt;&gt;"&amp;"*Á")),F28="žena")),CONCATENATE(C28," ",D28," je ",F28,"?"),""))))))),IF(COUNTIF(B28:O28,"")=14,"",CONCATENATE("Doplň: ",IF(B28="",CONCATENATE($B$4,IF(COUNTIF(C28:G28,"")=0,"",", ")),""),IF(C28="",CONCATENATE($C$4,IF(COUNTIF(D28:G28,"")=0,"",", ")),""),IF(D28="",CONCATENATE($D$4,IF(COUNTIF(E28:G28,"")=0,"",", ")),""),IF(E28="",CONCATENATE($E$4,IF(COUNTIF(F28:G28,"")=0,"",", ")),""),IF(F28="",CONCATENATE($F$4,IF(G28="",", ","")),""),IF(G28="",$G$4,""))))</f>
        <v/>
      </c>
      <c r="AA28" s="30"/>
    </row>
    <row r="29" spans="1:27" ht="16" x14ac:dyDescent="0.35">
      <c r="A29" s="14" t="str">
        <f t="shared" si="0"/>
        <v xml:space="preserve">  </v>
      </c>
      <c r="B29" s="15"/>
      <c r="C29" s="31"/>
      <c r="D29" s="31"/>
      <c r="E29" s="17"/>
      <c r="F29" s="18"/>
      <c r="G29" s="32"/>
      <c r="H29" s="33" t="str">
        <f>IF(G29="","",IF(F29="žena",ROMAN(MATCH(G29+1,'[1]Normy VP'!$Y$27:$Y$33,-1)),ROMAN(MATCH(G29+1,'[1]Normy VP'!$Y$19:$Y$25,-1))))</f>
        <v/>
      </c>
      <c r="I29" s="21"/>
      <c r="J29" s="22"/>
      <c r="K29" s="23"/>
      <c r="L29" s="23"/>
      <c r="M29" s="23"/>
      <c r="N29" s="22"/>
      <c r="O29" s="22"/>
      <c r="P29" s="24" t="str">
        <f>IF(OR($J29="",$J29="odešel"),IF(K29="","",IF($F29="žena",CHOOSE(_xlfn.ARABIC($H29),MATCH(K29+1,'[1]Normy VP'!$C$25:$F$25,-1),MATCH(K29+1,'[1]Normy VP'!$C$26:$F$26,-1),MATCH(K29+1,'[1]Normy VP'!$C$27:$F$27,-1),MATCH(K29+1,'[1]Normy VP'!$C$28:$F$28,-1),MATCH(K29+1,'[1]Normy VP'!$C$29:$F$29,-1),"muž"),CHOOSE(_xlfn.ARABIC($H29),MATCH(K29+1,'[1]Normy VP'!$C$10:$F$10,-1),MATCH(K29+1,'[1]Normy VP'!$C$11:$F$11,-1),MATCH(K29+1,'[1]Normy VP'!$C$12:$F$12,-1),MATCH(K29+1,'[1]Normy VP'!$C$13:$F$13,-1),MATCH(K29+1,'[1]Normy VP'!$C$14:$F$14,-1),""))),"O")</f>
        <v/>
      </c>
      <c r="Q29" s="24" t="str">
        <f>IF(OR($J29="",$J29="odešel"),IF($F29="žena","",IF(L29="","",(CHOOSE(_xlfn.ARABIC($H29),MATCH(L29+1,'[1]Normy VP'!$G$10:$J$10,-1),MATCH(L29+1,'[1]Normy VP'!$G$11:$J$11,-1),MATCH(L29+1,'[1]Normy VP'!$G$12:$J$12,-1),MATCH(L29+1,'[1]Normy VP'!$G$13:$J$13,-1),MATCH(L29+1,'[1]Normy VP'!$G$14:$J$14,-1),"")))),"O")</f>
        <v/>
      </c>
      <c r="R29" s="34" t="str">
        <f t="shared" si="1"/>
        <v>N</v>
      </c>
      <c r="S29" s="24" t="str">
        <f>IF(OR($J29="",$J29="odešel"),IF(M29="","N",IF($F29="žena",CHOOSE(_xlfn.ARABIC($H29),MATCH(M29+1,'[1]Normy VP'!$G$25:$J$25,-1),MATCH(M29+1,'[1]Normy VP'!$G$26:$J$26,-1),MATCH(M29+1,'[1]Normy VP'!$G$27:$J$27,-1),MATCH(M29+1,'[1]Normy VP'!$G$28:$J$28,-1),MATCH(M29+1,'[1]Normy VP'!$G$29:$J$29,-1),"muž"),(CHOOSE(_xlfn.ARABIC($H29),MATCH(M29+1,'[1]Normy VP'!$K$10:$N$10,-1),MATCH(M29+1,'[1]Normy VP'!$K$11:$N$11,-1),MATCH(M29+1,'[1]Normy VP'!$K$12:$N$12,-1),MATCH(M29+1,'[1]Normy VP'!$K$13:$N$13,-1),MATCH(M29+1,'[1]Normy VP'!$K$14:$N$14,-1),"")))),"O")</f>
        <v>N</v>
      </c>
      <c r="T29" s="34" t="str">
        <f t="shared" si="2"/>
        <v>N</v>
      </c>
      <c r="U29" s="24" t="str">
        <f>IF(OR($J29="",$J29="odešel"),IF(N29="","N",IF($F29="žena",CHOOSE(_xlfn.ARABIC($H29),MATCH(N29+1,'[1]Normy VP'!$K$25:$N$25,-1),MATCH(N29+1,'[1]Normy VP'!$K$26:$N$26,-1),MATCH(N29+1,'[1]Normy VP'!$K$27:$N$27,-1),MATCH(N29+1,'[1]Normy VP'!$K$28:$N$28,-1),MATCH(N29+1,'[1]Normy VP'!$K$29:$N$29,-1),MATCH(N29+1,'[1]Normy VP'!$K$30:$N$30,-1)),CHOOSE(_xlfn.ARABIC($H29),MATCH(N29+1,'[1]Normy VP'!$O$10:$R$10,-1),MATCH(N29+1,'[1]Normy VP'!$O$11:$R$11,-1),MATCH(N29+1,'[1]Normy VP'!$O$12:$R$12,-1),MATCH(N29+1,'[1]Normy VP'!$O$13:$R$13,-1),MATCH(N29+1,'[1]Normy VP'!$O$14:$R$14,-1),MATCH(N29+1,'[1]Normy VP'!$O$15:$R$15,-1)))),"O")</f>
        <v>N</v>
      </c>
      <c r="V29" s="26" t="str">
        <f>IF(OR($J29="",$J29="odešel"),IF(O29="","N",IF($F29="žena",CHOOSE(_xlfn.ARABIC($H29),MATCH(O29-1,'[1]Normy VP'!$O$25:$R$25),MATCH(O29-1,'[1]Normy VP'!$O$26:$R$26),MATCH(O29-1,'[1]Normy VP'!$O$27:$R$27),MATCH(O29-1,'[1]Normy VP'!$O$28:$R$28),MATCH(O29-1,'[1]Normy VP'!$O$29:$R$29),MATCH(O29-1,'[1]Normy VP'!$O$30:$R$30)),CHOOSE(_xlfn.ARABIC($H29),MATCH(O29-1,'[1]Normy VP'!$S$10:$V$10),MATCH(O29-1,'[1]Normy VP'!$S$11:$V$11),MATCH(O29-1,'[1]Normy VP'!$S$12:$V$12),MATCH(O29-1,'[1]Normy VP'!$S$13:$V$13),MATCH(O29-1,'[1]Normy VP'!$S$14:$V$14),MATCH(O29-1,'[1]Normy VP'!$S$15:$V$15)))),"O")</f>
        <v>N</v>
      </c>
      <c r="W29" s="34" t="str">
        <f t="shared" si="3"/>
        <v>N</v>
      </c>
      <c r="X29" s="27" t="str">
        <f>IF(COUNTIF(B29:G29,"")&gt;0,"",IF(COUNTIF([1]PP!$A:$A,A29)=0,"neni v PP",IF(OR(Y29="odešel",VLOOKUP(A29,[1]PP!$A:$W,22,FALSE)="odešel"),"odešel",IF(OR(Y29="N",VLOOKUP(A29,[1]PP!$A:$W,22,FALSE)="N"),"N",IF(OR(Y29="C",VLOOKUP(A29,[1]PP!$A:$W,22,FALSE)="C"),"C",IF(OR(Y29="DZO",VLOOKUP(A29,[1]PP!$A:$W,22,FALSE)="DZO"),"DZO",IF(OR(Y29="mise",Y29="disp.",Y29="končí",Y29="DSC",VLOOKUP(A29,[1]PP!$A:$W,22,FALSE)="mise",VLOOKUP(A29,[1]PP!$A:$W,22,FALSE)="disp.",VLOOKUP(A29,[1]PP!$A:$W,22,FALSE)="končí",VLOOKUP(A29,[1]PP!$A:$W,22,FALSE)="DSC"),"jiné",IF(OR(Y29=4,VLOOKUP(A29,[1]PP!$A:$W,22,FALSE)=4),4,IF(OR(Y29=3,VLOOKUP(A29,[1]PP!$A:$W,22,FALSE)=3),3,IF(OR(Y29=2,VLOOKUP(A29,[1]PP!$A:$W,22,FALSE)=2),2,IF(AND(Y29=1,VLOOKUP(A29,[1]PP!$A:$W,22,FALSE)=1),1)))))))))))</f>
        <v/>
      </c>
      <c r="Y29" s="28" t="str">
        <f>IF(COUNTIF(B29:G29,"")&gt;0,"",IF(COUNTIF([1]PP!$A:$A,A29)=0,"neni v PP",IF(VLOOKUP(A29,[1]PP!$A:$W,8,FALSE)="odešel","odešel",IF(F29="","",IF(J29="",IF(OR(T29=4,W29=4),4,IF(AND(T29="N",W29="N"),"N",IF(OR(T29="N",W29="N"),4,ROUND(AVERAGE(T29,W29),0)))),J29)))))</f>
        <v/>
      </c>
      <c r="Z29" s="29" t="str">
        <f>IF(COUNTIF(B29:G29,"")=0,IF(X29="neni v PP",CONCATENATE("ID: &lt;",A29,"&gt; se neshoduje s žádným IDem v kartě PP"),IF(COUNTIF($A:$A,A29)&gt;1,CONCATENATE("ID: &lt;",A29,"&gt; se v kartě VP opakuje. Je nutné tyto IDy od sebe odlišit, např. mezerou za příjmením."),IF(COUNTIF([1]PP!A:A,A29)&gt;1,CONCATENATE("ID: &lt;",A29,"&gt; se v kartě PP opakuje. Je nutné tyto IDy od sebe odlišit, např. mezerou za příjmením."),IF(VLOOKUP(A29,[1]PP!$A:$W,5,FALSE)&lt;&gt;E29,CONCATENATE($E$4," &lt;",E29,"&gt; se neshoduje s jednotkou v kartě PP"," &lt;",VLOOKUP(A29,[1]PP!$A:$W,5,FALSE),"&gt;"),IF(AND(COUNTIF(K29:O29,"")&lt;5,J29="",I29=""),CONCATENATE("Doplň: ",$I$4),IF(AND(YEAR(I29)&lt;&gt;$E$2,COUNTIF(I29,"")=0),CONCATENATE("špatně uveden &lt;",$D$2,"&gt; nebo &lt;",$I$4,"&gt;"),IF(OR(AND(OR(COUNTIF(C29,"*a"),COUNTIF(C29,"*ie"),COUNTIF(C29,"*ine"),COUNTIF(D29,"*Á")),F29="muž"),AND(AND(COUNTIF(C29,"&lt;&gt;"&amp;"*a"),COUNTIF(C29,"&lt;&gt;"&amp;"*ie"),COUNTIF(C29,"&lt;&gt;"&amp;"*ine"),COUNTIF(D29,"&lt;&gt;"&amp;"*Á")),F29="žena")),CONCATENATE(C29," ",D29," je ",F29,"?"),""))))))),IF(COUNTIF(B29:O29,"")=14,"",CONCATENATE("Doplň: ",IF(B29="",CONCATENATE($B$4,IF(COUNTIF(C29:G29,"")=0,"",", ")),""),IF(C29="",CONCATENATE($C$4,IF(COUNTIF(D29:G29,"")=0,"",", ")),""),IF(D29="",CONCATENATE($D$4,IF(COUNTIF(E29:G29,"")=0,"",", ")),""),IF(E29="",CONCATENATE($E$4,IF(COUNTIF(F29:G29,"")=0,"",", ")),""),IF(F29="",CONCATENATE($F$4,IF(G29="",", ","")),""),IF(G29="",$G$4,""))))</f>
        <v/>
      </c>
      <c r="AA29" s="30"/>
    </row>
    <row r="30" spans="1:27" ht="16" x14ac:dyDescent="0.35">
      <c r="A30" s="14" t="str">
        <f t="shared" si="0"/>
        <v xml:space="preserve">  </v>
      </c>
      <c r="B30" s="15"/>
      <c r="C30" s="31"/>
      <c r="D30" s="31"/>
      <c r="E30" s="17"/>
      <c r="F30" s="18"/>
      <c r="G30" s="32"/>
      <c r="H30" s="33" t="str">
        <f>IF(G30="","",IF(F30="žena",ROMAN(MATCH(G30+1,'[1]Normy VP'!$Y$27:$Y$33,-1)),ROMAN(MATCH(G30+1,'[1]Normy VP'!$Y$19:$Y$25,-1))))</f>
        <v/>
      </c>
      <c r="I30" s="21"/>
      <c r="J30" s="22"/>
      <c r="K30" s="23"/>
      <c r="L30" s="23"/>
      <c r="M30" s="23"/>
      <c r="N30" s="22"/>
      <c r="O30" s="22"/>
      <c r="P30" s="24" t="str">
        <f>IF(OR($J30="",$J30="odešel"),IF(K30="","",IF($F30="žena",CHOOSE(_xlfn.ARABIC($H30),MATCH(K30+1,'[1]Normy VP'!$C$25:$F$25,-1),MATCH(K30+1,'[1]Normy VP'!$C$26:$F$26,-1),MATCH(K30+1,'[1]Normy VP'!$C$27:$F$27,-1),MATCH(K30+1,'[1]Normy VP'!$C$28:$F$28,-1),MATCH(K30+1,'[1]Normy VP'!$C$29:$F$29,-1),"muž"),CHOOSE(_xlfn.ARABIC($H30),MATCH(K30+1,'[1]Normy VP'!$C$10:$F$10,-1),MATCH(K30+1,'[1]Normy VP'!$C$11:$F$11,-1),MATCH(K30+1,'[1]Normy VP'!$C$12:$F$12,-1),MATCH(K30+1,'[1]Normy VP'!$C$13:$F$13,-1),MATCH(K30+1,'[1]Normy VP'!$C$14:$F$14,-1),""))),"O")</f>
        <v/>
      </c>
      <c r="Q30" s="24" t="str">
        <f>IF(OR($J30="",$J30="odešel"),IF($F30="žena","",IF(L30="","",(CHOOSE(_xlfn.ARABIC($H30),MATCH(L30+1,'[1]Normy VP'!$G$10:$J$10,-1),MATCH(L30+1,'[1]Normy VP'!$G$11:$J$11,-1),MATCH(L30+1,'[1]Normy VP'!$G$12:$J$12,-1),MATCH(L30+1,'[1]Normy VP'!$G$13:$J$13,-1),MATCH(L30+1,'[1]Normy VP'!$G$14:$J$14,-1),"")))),"O")</f>
        <v/>
      </c>
      <c r="R30" s="34" t="str">
        <f t="shared" si="1"/>
        <v>N</v>
      </c>
      <c r="S30" s="24" t="str">
        <f>IF(OR($J30="",$J30="odešel"),IF(M30="","N",IF($F30="žena",CHOOSE(_xlfn.ARABIC($H30),MATCH(M30+1,'[1]Normy VP'!$G$25:$J$25,-1),MATCH(M30+1,'[1]Normy VP'!$G$26:$J$26,-1),MATCH(M30+1,'[1]Normy VP'!$G$27:$J$27,-1),MATCH(M30+1,'[1]Normy VP'!$G$28:$J$28,-1),MATCH(M30+1,'[1]Normy VP'!$G$29:$J$29,-1),"muž"),(CHOOSE(_xlfn.ARABIC($H30),MATCH(M30+1,'[1]Normy VP'!$K$10:$N$10,-1),MATCH(M30+1,'[1]Normy VP'!$K$11:$N$11,-1),MATCH(M30+1,'[1]Normy VP'!$K$12:$N$12,-1),MATCH(M30+1,'[1]Normy VP'!$K$13:$N$13,-1),MATCH(M30+1,'[1]Normy VP'!$K$14:$N$14,-1),"")))),"O")</f>
        <v>N</v>
      </c>
      <c r="T30" s="34" t="str">
        <f t="shared" si="2"/>
        <v>N</v>
      </c>
      <c r="U30" s="24" t="str">
        <f>IF(OR($J30="",$J30="odešel"),IF(N30="","N",IF($F30="žena",CHOOSE(_xlfn.ARABIC($H30),MATCH(N30+1,'[1]Normy VP'!$K$25:$N$25,-1),MATCH(N30+1,'[1]Normy VP'!$K$26:$N$26,-1),MATCH(N30+1,'[1]Normy VP'!$K$27:$N$27,-1),MATCH(N30+1,'[1]Normy VP'!$K$28:$N$28,-1),MATCH(N30+1,'[1]Normy VP'!$K$29:$N$29,-1),MATCH(N30+1,'[1]Normy VP'!$K$30:$N$30,-1)),CHOOSE(_xlfn.ARABIC($H30),MATCH(N30+1,'[1]Normy VP'!$O$10:$R$10,-1),MATCH(N30+1,'[1]Normy VP'!$O$11:$R$11,-1),MATCH(N30+1,'[1]Normy VP'!$O$12:$R$12,-1),MATCH(N30+1,'[1]Normy VP'!$O$13:$R$13,-1),MATCH(N30+1,'[1]Normy VP'!$O$14:$R$14,-1),MATCH(N30+1,'[1]Normy VP'!$O$15:$R$15,-1)))),"O")</f>
        <v>N</v>
      </c>
      <c r="V30" s="26" t="str">
        <f>IF(OR($J30="",$J30="odešel"),IF(O30="","N",IF($F30="žena",CHOOSE(_xlfn.ARABIC($H30),MATCH(O30-1,'[1]Normy VP'!$O$25:$R$25),MATCH(O30-1,'[1]Normy VP'!$O$26:$R$26),MATCH(O30-1,'[1]Normy VP'!$O$27:$R$27),MATCH(O30-1,'[1]Normy VP'!$O$28:$R$28),MATCH(O30-1,'[1]Normy VP'!$O$29:$R$29),MATCH(O30-1,'[1]Normy VP'!$O$30:$R$30)),CHOOSE(_xlfn.ARABIC($H30),MATCH(O30-1,'[1]Normy VP'!$S$10:$V$10),MATCH(O30-1,'[1]Normy VP'!$S$11:$V$11),MATCH(O30-1,'[1]Normy VP'!$S$12:$V$12),MATCH(O30-1,'[1]Normy VP'!$S$13:$V$13),MATCH(O30-1,'[1]Normy VP'!$S$14:$V$14),MATCH(O30-1,'[1]Normy VP'!$S$15:$V$15)))),"O")</f>
        <v>N</v>
      </c>
      <c r="W30" s="34" t="str">
        <f t="shared" si="3"/>
        <v>N</v>
      </c>
      <c r="X30" s="27" t="str">
        <f>IF(COUNTIF(B30:G30,"")&gt;0,"",IF(COUNTIF([1]PP!$A:$A,A30)=0,"neni v PP",IF(OR(Y30="odešel",VLOOKUP(A30,[1]PP!$A:$W,22,FALSE)="odešel"),"odešel",IF(OR(Y30="N",VLOOKUP(A30,[1]PP!$A:$W,22,FALSE)="N"),"N",IF(OR(Y30="C",VLOOKUP(A30,[1]PP!$A:$W,22,FALSE)="C"),"C",IF(OR(Y30="DZO",VLOOKUP(A30,[1]PP!$A:$W,22,FALSE)="DZO"),"DZO",IF(OR(Y30="mise",Y30="disp.",Y30="končí",Y30="DSC",VLOOKUP(A30,[1]PP!$A:$W,22,FALSE)="mise",VLOOKUP(A30,[1]PP!$A:$W,22,FALSE)="disp.",VLOOKUP(A30,[1]PP!$A:$W,22,FALSE)="končí",VLOOKUP(A30,[1]PP!$A:$W,22,FALSE)="DSC"),"jiné",IF(OR(Y30=4,VLOOKUP(A30,[1]PP!$A:$W,22,FALSE)=4),4,IF(OR(Y30=3,VLOOKUP(A30,[1]PP!$A:$W,22,FALSE)=3),3,IF(OR(Y30=2,VLOOKUP(A30,[1]PP!$A:$W,22,FALSE)=2),2,IF(AND(Y30=1,VLOOKUP(A30,[1]PP!$A:$W,22,FALSE)=1),1)))))))))))</f>
        <v/>
      </c>
      <c r="Y30" s="28" t="str">
        <f>IF(COUNTIF(B30:G30,"")&gt;0,"",IF(COUNTIF([1]PP!$A:$A,A30)=0,"neni v PP",IF(VLOOKUP(A30,[1]PP!$A:$W,8,FALSE)="odešel","odešel",IF(F30="","",IF(J30="",IF(OR(T30=4,W30=4),4,IF(AND(T30="N",W30="N"),"N",IF(OR(T30="N",W30="N"),4,ROUND(AVERAGE(T30,W30),0)))),J30)))))</f>
        <v/>
      </c>
      <c r="Z30" s="29" t="str">
        <f>IF(COUNTIF(B30:G30,"")=0,IF(X30="neni v PP",CONCATENATE("ID: &lt;",A30,"&gt; se neshoduje s žádným IDem v kartě PP"),IF(COUNTIF($A:$A,A30)&gt;1,CONCATENATE("ID: &lt;",A30,"&gt; se v kartě VP opakuje. Je nutné tyto IDy od sebe odlišit, např. mezerou za příjmením."),IF(COUNTIF([1]PP!A:A,A30)&gt;1,CONCATENATE("ID: &lt;",A30,"&gt; se v kartě PP opakuje. Je nutné tyto IDy od sebe odlišit, např. mezerou za příjmením."),IF(VLOOKUP(A30,[1]PP!$A:$W,5,FALSE)&lt;&gt;E30,CONCATENATE($E$4," &lt;",E30,"&gt; se neshoduje s jednotkou v kartě PP"," &lt;",VLOOKUP(A30,[1]PP!$A:$W,5,FALSE),"&gt;"),IF(AND(COUNTIF(K30:O30,"")&lt;5,J30="",I30=""),CONCATENATE("Doplň: ",$I$4),IF(AND(YEAR(I30)&lt;&gt;$E$2,COUNTIF(I30,"")=0),CONCATENATE("špatně uveden &lt;",$D$2,"&gt; nebo &lt;",$I$4,"&gt;"),IF(OR(AND(OR(COUNTIF(C30,"*a"),COUNTIF(C30,"*ie"),COUNTIF(C30,"*ine"),COUNTIF(D30,"*Á")),F30="muž"),AND(AND(COUNTIF(C30,"&lt;&gt;"&amp;"*a"),COUNTIF(C30,"&lt;&gt;"&amp;"*ie"),COUNTIF(C30,"&lt;&gt;"&amp;"*ine"),COUNTIF(D30,"&lt;&gt;"&amp;"*Á")),F30="žena")),CONCATENATE(C30," ",D30," je ",F30,"?"),""))))))),IF(COUNTIF(B30:O30,"")=14,"",CONCATENATE("Doplň: ",IF(B30="",CONCATENATE($B$4,IF(COUNTIF(C30:G30,"")=0,"",", ")),""),IF(C30="",CONCATENATE($C$4,IF(COUNTIF(D30:G30,"")=0,"",", ")),""),IF(D30="",CONCATENATE($D$4,IF(COUNTIF(E30:G30,"")=0,"",", ")),""),IF(E30="",CONCATENATE($E$4,IF(COUNTIF(F30:G30,"")=0,"",", ")),""),IF(F30="",CONCATENATE($F$4,IF(G30="",", ","")),""),IF(G30="",$G$4,""))))</f>
        <v/>
      </c>
      <c r="AA30" s="30"/>
    </row>
    <row r="31" spans="1:27" ht="16" x14ac:dyDescent="0.35">
      <c r="A31" s="14" t="str">
        <f t="shared" si="0"/>
        <v xml:space="preserve">  </v>
      </c>
      <c r="B31" s="15"/>
      <c r="C31" s="31"/>
      <c r="D31" s="31"/>
      <c r="E31" s="17"/>
      <c r="F31" s="18"/>
      <c r="G31" s="32"/>
      <c r="H31" s="33" t="str">
        <f>IF(G31="","",IF(F31="žena",ROMAN(MATCH(G31+1,'[1]Normy VP'!$Y$27:$Y$33,-1)),ROMAN(MATCH(G31+1,'[1]Normy VP'!$Y$19:$Y$25,-1))))</f>
        <v/>
      </c>
      <c r="I31" s="21"/>
      <c r="J31" s="22"/>
      <c r="K31" s="23"/>
      <c r="L31" s="23"/>
      <c r="M31" s="23"/>
      <c r="N31" s="22"/>
      <c r="O31" s="22"/>
      <c r="P31" s="24" t="str">
        <f>IF(OR($J31="",$J31="odešel"),IF(K31="","",IF($F31="žena",CHOOSE(_xlfn.ARABIC($H31),MATCH(K31+1,'[1]Normy VP'!$C$25:$F$25,-1),MATCH(K31+1,'[1]Normy VP'!$C$26:$F$26,-1),MATCH(K31+1,'[1]Normy VP'!$C$27:$F$27,-1),MATCH(K31+1,'[1]Normy VP'!$C$28:$F$28,-1),MATCH(K31+1,'[1]Normy VP'!$C$29:$F$29,-1),"muž"),CHOOSE(_xlfn.ARABIC($H31),MATCH(K31+1,'[1]Normy VP'!$C$10:$F$10,-1),MATCH(K31+1,'[1]Normy VP'!$C$11:$F$11,-1),MATCH(K31+1,'[1]Normy VP'!$C$12:$F$12,-1),MATCH(K31+1,'[1]Normy VP'!$C$13:$F$13,-1),MATCH(K31+1,'[1]Normy VP'!$C$14:$F$14,-1),""))),"O")</f>
        <v/>
      </c>
      <c r="Q31" s="24" t="str">
        <f>IF(OR($J31="",$J31="odešel"),IF($F31="žena","",IF(L31="","",(CHOOSE(_xlfn.ARABIC($H31),MATCH(L31+1,'[1]Normy VP'!$G$10:$J$10,-1),MATCH(L31+1,'[1]Normy VP'!$G$11:$J$11,-1),MATCH(L31+1,'[1]Normy VP'!$G$12:$J$12,-1),MATCH(L31+1,'[1]Normy VP'!$G$13:$J$13,-1),MATCH(L31+1,'[1]Normy VP'!$G$14:$J$14,-1),"")))),"O")</f>
        <v/>
      </c>
      <c r="R31" s="34" t="str">
        <f t="shared" si="1"/>
        <v>N</v>
      </c>
      <c r="S31" s="24" t="str">
        <f>IF(OR($J31="",$J31="odešel"),IF(M31="","N",IF($F31="žena",CHOOSE(_xlfn.ARABIC($H31),MATCH(M31+1,'[1]Normy VP'!$G$25:$J$25,-1),MATCH(M31+1,'[1]Normy VP'!$G$26:$J$26,-1),MATCH(M31+1,'[1]Normy VP'!$G$27:$J$27,-1),MATCH(M31+1,'[1]Normy VP'!$G$28:$J$28,-1),MATCH(M31+1,'[1]Normy VP'!$G$29:$J$29,-1),"muž"),(CHOOSE(_xlfn.ARABIC($H31),MATCH(M31+1,'[1]Normy VP'!$K$10:$N$10,-1),MATCH(M31+1,'[1]Normy VP'!$K$11:$N$11,-1),MATCH(M31+1,'[1]Normy VP'!$K$12:$N$12,-1),MATCH(M31+1,'[1]Normy VP'!$K$13:$N$13,-1),MATCH(M31+1,'[1]Normy VP'!$K$14:$N$14,-1),"")))),"O")</f>
        <v>N</v>
      </c>
      <c r="T31" s="34" t="str">
        <f t="shared" si="2"/>
        <v>N</v>
      </c>
      <c r="U31" s="24" t="str">
        <f>IF(OR($J31="",$J31="odešel"),IF(N31="","N",IF($F31="žena",CHOOSE(_xlfn.ARABIC($H31),MATCH(N31+1,'[1]Normy VP'!$K$25:$N$25,-1),MATCH(N31+1,'[1]Normy VP'!$K$26:$N$26,-1),MATCH(N31+1,'[1]Normy VP'!$K$27:$N$27,-1),MATCH(N31+1,'[1]Normy VP'!$K$28:$N$28,-1),MATCH(N31+1,'[1]Normy VP'!$K$29:$N$29,-1),MATCH(N31+1,'[1]Normy VP'!$K$30:$N$30,-1)),CHOOSE(_xlfn.ARABIC($H31),MATCH(N31+1,'[1]Normy VP'!$O$10:$R$10,-1),MATCH(N31+1,'[1]Normy VP'!$O$11:$R$11,-1),MATCH(N31+1,'[1]Normy VP'!$O$12:$R$12,-1),MATCH(N31+1,'[1]Normy VP'!$O$13:$R$13,-1),MATCH(N31+1,'[1]Normy VP'!$O$14:$R$14,-1),MATCH(N31+1,'[1]Normy VP'!$O$15:$R$15,-1)))),"O")</f>
        <v>N</v>
      </c>
      <c r="V31" s="26" t="str">
        <f>IF(OR($J31="",$J31="odešel"),IF(O31="","N",IF($F31="žena",CHOOSE(_xlfn.ARABIC($H31),MATCH(O31-1,'[1]Normy VP'!$O$25:$R$25),MATCH(O31-1,'[1]Normy VP'!$O$26:$R$26),MATCH(O31-1,'[1]Normy VP'!$O$27:$R$27),MATCH(O31-1,'[1]Normy VP'!$O$28:$R$28),MATCH(O31-1,'[1]Normy VP'!$O$29:$R$29),MATCH(O31-1,'[1]Normy VP'!$O$30:$R$30)),CHOOSE(_xlfn.ARABIC($H31),MATCH(O31-1,'[1]Normy VP'!$S$10:$V$10),MATCH(O31-1,'[1]Normy VP'!$S$11:$V$11),MATCH(O31-1,'[1]Normy VP'!$S$12:$V$12),MATCH(O31-1,'[1]Normy VP'!$S$13:$V$13),MATCH(O31-1,'[1]Normy VP'!$S$14:$V$14),MATCH(O31-1,'[1]Normy VP'!$S$15:$V$15)))),"O")</f>
        <v>N</v>
      </c>
      <c r="W31" s="34" t="str">
        <f t="shared" si="3"/>
        <v>N</v>
      </c>
      <c r="X31" s="27" t="str">
        <f>IF(COUNTIF(B31:G31,"")&gt;0,"",IF(COUNTIF([1]PP!$A:$A,A31)=0,"neni v PP",IF(OR(Y31="odešel",VLOOKUP(A31,[1]PP!$A:$W,22,FALSE)="odešel"),"odešel",IF(OR(Y31="N",VLOOKUP(A31,[1]PP!$A:$W,22,FALSE)="N"),"N",IF(OR(Y31="C",VLOOKUP(A31,[1]PP!$A:$W,22,FALSE)="C"),"C",IF(OR(Y31="DZO",VLOOKUP(A31,[1]PP!$A:$W,22,FALSE)="DZO"),"DZO",IF(OR(Y31="mise",Y31="disp.",Y31="končí",Y31="DSC",VLOOKUP(A31,[1]PP!$A:$W,22,FALSE)="mise",VLOOKUP(A31,[1]PP!$A:$W,22,FALSE)="disp.",VLOOKUP(A31,[1]PP!$A:$W,22,FALSE)="končí",VLOOKUP(A31,[1]PP!$A:$W,22,FALSE)="DSC"),"jiné",IF(OR(Y31=4,VLOOKUP(A31,[1]PP!$A:$W,22,FALSE)=4),4,IF(OR(Y31=3,VLOOKUP(A31,[1]PP!$A:$W,22,FALSE)=3),3,IF(OR(Y31=2,VLOOKUP(A31,[1]PP!$A:$W,22,FALSE)=2),2,IF(AND(Y31=1,VLOOKUP(A31,[1]PP!$A:$W,22,FALSE)=1),1)))))))))))</f>
        <v/>
      </c>
      <c r="Y31" s="28" t="str">
        <f>IF(COUNTIF(B31:G31,"")&gt;0,"",IF(COUNTIF([1]PP!$A:$A,A31)=0,"neni v PP",IF(VLOOKUP(A31,[1]PP!$A:$W,8,FALSE)="odešel","odešel",IF(F31="","",IF(J31="",IF(OR(T31=4,W31=4),4,IF(AND(T31="N",W31="N"),"N",IF(OR(T31="N",W31="N"),4,ROUND(AVERAGE(T31,W31),0)))),J31)))))</f>
        <v/>
      </c>
      <c r="Z31" s="29" t="str">
        <f>IF(COUNTIF(B31:G31,"")=0,IF(X31="neni v PP",CONCATENATE("ID: &lt;",A31,"&gt; se neshoduje s žádným IDem v kartě PP"),IF(COUNTIF($A:$A,A31)&gt;1,CONCATENATE("ID: &lt;",A31,"&gt; se v kartě VP opakuje. Je nutné tyto IDy od sebe odlišit, např. mezerou za příjmením."),IF(COUNTIF([1]PP!A:A,A31)&gt;1,CONCATENATE("ID: &lt;",A31,"&gt; se v kartě PP opakuje. Je nutné tyto IDy od sebe odlišit, např. mezerou za příjmením."),IF(VLOOKUP(A31,[1]PP!$A:$W,5,FALSE)&lt;&gt;E31,CONCATENATE($E$4," &lt;",E31,"&gt; se neshoduje s jednotkou v kartě PP"," &lt;",VLOOKUP(A31,[1]PP!$A:$W,5,FALSE),"&gt;"),IF(AND(COUNTIF(K31:O31,"")&lt;5,J31="",I31=""),CONCATENATE("Doplň: ",$I$4),IF(AND(YEAR(I31)&lt;&gt;$E$2,COUNTIF(I31,"")=0),CONCATENATE("špatně uveden &lt;",$D$2,"&gt; nebo &lt;",$I$4,"&gt;"),IF(OR(AND(OR(COUNTIF(C31,"*a"),COUNTIF(C31,"*ie"),COUNTIF(C31,"*ine"),COUNTIF(D31,"*Á")),F31="muž"),AND(AND(COUNTIF(C31,"&lt;&gt;"&amp;"*a"),COUNTIF(C31,"&lt;&gt;"&amp;"*ie"),COUNTIF(C31,"&lt;&gt;"&amp;"*ine"),COUNTIF(D31,"&lt;&gt;"&amp;"*Á")),F31="žena")),CONCATENATE(C31," ",D31," je ",F31,"?"),""))))))),IF(COUNTIF(B31:O31,"")=14,"",CONCATENATE("Doplň: ",IF(B31="",CONCATENATE($B$4,IF(COUNTIF(C31:G31,"")=0,"",", ")),""),IF(C31="",CONCATENATE($C$4,IF(COUNTIF(D31:G31,"")=0,"",", ")),""),IF(D31="",CONCATENATE($D$4,IF(COUNTIF(E31:G31,"")=0,"",", ")),""),IF(E31="",CONCATENATE($E$4,IF(COUNTIF(F31:G31,"")=0,"",", ")),""),IF(F31="",CONCATENATE($F$4,IF(G31="",", ","")),""),IF(G31="",$G$4,""))))</f>
        <v/>
      </c>
      <c r="AA31" s="30"/>
    </row>
    <row r="32" spans="1:27" ht="16" x14ac:dyDescent="0.35">
      <c r="A32" s="14" t="str">
        <f t="shared" si="0"/>
        <v xml:space="preserve">  </v>
      </c>
      <c r="B32" s="15"/>
      <c r="C32" s="31"/>
      <c r="D32" s="31"/>
      <c r="E32" s="17"/>
      <c r="F32" s="18"/>
      <c r="G32" s="32"/>
      <c r="H32" s="33" t="str">
        <f>IF(G32="","",IF(F32="žena",ROMAN(MATCH(G32+1,'[1]Normy VP'!$Y$27:$Y$33,-1)),ROMAN(MATCH(G32+1,'[1]Normy VP'!$Y$19:$Y$25,-1))))</f>
        <v/>
      </c>
      <c r="I32" s="21"/>
      <c r="J32" s="22"/>
      <c r="K32" s="23"/>
      <c r="L32" s="23"/>
      <c r="M32" s="23"/>
      <c r="N32" s="22"/>
      <c r="O32" s="22"/>
      <c r="P32" s="24" t="str">
        <f>IF(OR($J32="",$J32="odešel"),IF(K32="","",IF($F32="žena",CHOOSE(_xlfn.ARABIC($H32),MATCH(K32+1,'[1]Normy VP'!$C$25:$F$25,-1),MATCH(K32+1,'[1]Normy VP'!$C$26:$F$26,-1),MATCH(K32+1,'[1]Normy VP'!$C$27:$F$27,-1),MATCH(K32+1,'[1]Normy VP'!$C$28:$F$28,-1),MATCH(K32+1,'[1]Normy VP'!$C$29:$F$29,-1),"muž"),CHOOSE(_xlfn.ARABIC($H32),MATCH(K32+1,'[1]Normy VP'!$C$10:$F$10,-1),MATCH(K32+1,'[1]Normy VP'!$C$11:$F$11,-1),MATCH(K32+1,'[1]Normy VP'!$C$12:$F$12,-1),MATCH(K32+1,'[1]Normy VP'!$C$13:$F$13,-1),MATCH(K32+1,'[1]Normy VP'!$C$14:$F$14,-1),""))),"O")</f>
        <v/>
      </c>
      <c r="Q32" s="24" t="str">
        <f>IF(OR($J32="",$J32="odešel"),IF($F32="žena","",IF(L32="","",(CHOOSE(_xlfn.ARABIC($H32),MATCH(L32+1,'[1]Normy VP'!$G$10:$J$10,-1),MATCH(L32+1,'[1]Normy VP'!$G$11:$J$11,-1),MATCH(L32+1,'[1]Normy VP'!$G$12:$J$12,-1),MATCH(L32+1,'[1]Normy VP'!$G$13:$J$13,-1),MATCH(L32+1,'[1]Normy VP'!$G$14:$J$14,-1),"")))),"O")</f>
        <v/>
      </c>
      <c r="R32" s="34" t="str">
        <f t="shared" si="1"/>
        <v>N</v>
      </c>
      <c r="S32" s="24" t="str">
        <f>IF(OR($J32="",$J32="odešel"),IF(M32="","N",IF($F32="žena",CHOOSE(_xlfn.ARABIC($H32),MATCH(M32+1,'[1]Normy VP'!$G$25:$J$25,-1),MATCH(M32+1,'[1]Normy VP'!$G$26:$J$26,-1),MATCH(M32+1,'[1]Normy VP'!$G$27:$J$27,-1),MATCH(M32+1,'[1]Normy VP'!$G$28:$J$28,-1),MATCH(M32+1,'[1]Normy VP'!$G$29:$J$29,-1),"muž"),(CHOOSE(_xlfn.ARABIC($H32),MATCH(M32+1,'[1]Normy VP'!$K$10:$N$10,-1),MATCH(M32+1,'[1]Normy VP'!$K$11:$N$11,-1),MATCH(M32+1,'[1]Normy VP'!$K$12:$N$12,-1),MATCH(M32+1,'[1]Normy VP'!$K$13:$N$13,-1),MATCH(M32+1,'[1]Normy VP'!$K$14:$N$14,-1),"")))),"O")</f>
        <v>N</v>
      </c>
      <c r="T32" s="34" t="str">
        <f t="shared" si="2"/>
        <v>N</v>
      </c>
      <c r="U32" s="24" t="str">
        <f>IF(OR($J32="",$J32="odešel"),IF(N32="","N",IF($F32="žena",CHOOSE(_xlfn.ARABIC($H32),MATCH(N32+1,'[1]Normy VP'!$K$25:$N$25,-1),MATCH(N32+1,'[1]Normy VP'!$K$26:$N$26,-1),MATCH(N32+1,'[1]Normy VP'!$K$27:$N$27,-1),MATCH(N32+1,'[1]Normy VP'!$K$28:$N$28,-1),MATCH(N32+1,'[1]Normy VP'!$K$29:$N$29,-1),MATCH(N32+1,'[1]Normy VP'!$K$30:$N$30,-1)),CHOOSE(_xlfn.ARABIC($H32),MATCH(N32+1,'[1]Normy VP'!$O$10:$R$10,-1),MATCH(N32+1,'[1]Normy VP'!$O$11:$R$11,-1),MATCH(N32+1,'[1]Normy VP'!$O$12:$R$12,-1),MATCH(N32+1,'[1]Normy VP'!$O$13:$R$13,-1),MATCH(N32+1,'[1]Normy VP'!$O$14:$R$14,-1),MATCH(N32+1,'[1]Normy VP'!$O$15:$R$15,-1)))),"O")</f>
        <v>N</v>
      </c>
      <c r="V32" s="26" t="str">
        <f>IF(OR($J32="",$J32="odešel"),IF(O32="","N",IF($F32="žena",CHOOSE(_xlfn.ARABIC($H32),MATCH(O32-1,'[1]Normy VP'!$O$25:$R$25),MATCH(O32-1,'[1]Normy VP'!$O$26:$R$26),MATCH(O32-1,'[1]Normy VP'!$O$27:$R$27),MATCH(O32-1,'[1]Normy VP'!$O$28:$R$28),MATCH(O32-1,'[1]Normy VP'!$O$29:$R$29),MATCH(O32-1,'[1]Normy VP'!$O$30:$R$30)),CHOOSE(_xlfn.ARABIC($H32),MATCH(O32-1,'[1]Normy VP'!$S$10:$V$10),MATCH(O32-1,'[1]Normy VP'!$S$11:$V$11),MATCH(O32-1,'[1]Normy VP'!$S$12:$V$12),MATCH(O32-1,'[1]Normy VP'!$S$13:$V$13),MATCH(O32-1,'[1]Normy VP'!$S$14:$V$14),MATCH(O32-1,'[1]Normy VP'!$S$15:$V$15)))),"O")</f>
        <v>N</v>
      </c>
      <c r="W32" s="34" t="str">
        <f t="shared" si="3"/>
        <v>N</v>
      </c>
      <c r="X32" s="27" t="str">
        <f>IF(COUNTIF(B32:G32,"")&gt;0,"",IF(COUNTIF([1]PP!$A:$A,A32)=0,"neni v PP",IF(OR(Y32="odešel",VLOOKUP(A32,[1]PP!$A:$W,22,FALSE)="odešel"),"odešel",IF(OR(Y32="N",VLOOKUP(A32,[1]PP!$A:$W,22,FALSE)="N"),"N",IF(OR(Y32="C",VLOOKUP(A32,[1]PP!$A:$W,22,FALSE)="C"),"C",IF(OR(Y32="DZO",VLOOKUP(A32,[1]PP!$A:$W,22,FALSE)="DZO"),"DZO",IF(OR(Y32="mise",Y32="disp.",Y32="končí",Y32="DSC",VLOOKUP(A32,[1]PP!$A:$W,22,FALSE)="mise",VLOOKUP(A32,[1]PP!$A:$W,22,FALSE)="disp.",VLOOKUP(A32,[1]PP!$A:$W,22,FALSE)="končí",VLOOKUP(A32,[1]PP!$A:$W,22,FALSE)="DSC"),"jiné",IF(OR(Y32=4,VLOOKUP(A32,[1]PP!$A:$W,22,FALSE)=4),4,IF(OR(Y32=3,VLOOKUP(A32,[1]PP!$A:$W,22,FALSE)=3),3,IF(OR(Y32=2,VLOOKUP(A32,[1]PP!$A:$W,22,FALSE)=2),2,IF(AND(Y32=1,VLOOKUP(A32,[1]PP!$A:$W,22,FALSE)=1),1)))))))))))</f>
        <v/>
      </c>
      <c r="Y32" s="28" t="str">
        <f>IF(COUNTIF(B32:G32,"")&gt;0,"",IF(COUNTIF([1]PP!$A:$A,A32)=0,"neni v PP",IF(VLOOKUP(A32,[1]PP!$A:$W,8,FALSE)="odešel","odešel",IF(F32="","",IF(J32="",IF(OR(T32=4,W32=4),4,IF(AND(T32="N",W32="N"),"N",IF(OR(T32="N",W32="N"),4,ROUND(AVERAGE(T32,W32),0)))),J32)))))</f>
        <v/>
      </c>
      <c r="Z32" s="29" t="str">
        <f>IF(COUNTIF(B32:G32,"")=0,IF(X32="neni v PP",CONCATENATE("ID: &lt;",A32,"&gt; se neshoduje s žádným IDem v kartě PP"),IF(COUNTIF($A:$A,A32)&gt;1,CONCATENATE("ID: &lt;",A32,"&gt; se v kartě VP opakuje. Je nutné tyto IDy od sebe odlišit, např. mezerou za příjmením."),IF(COUNTIF([1]PP!A:A,A32)&gt;1,CONCATENATE("ID: &lt;",A32,"&gt; se v kartě PP opakuje. Je nutné tyto IDy od sebe odlišit, např. mezerou za příjmením."),IF(VLOOKUP(A32,[1]PP!$A:$W,5,FALSE)&lt;&gt;E32,CONCATENATE($E$4," &lt;",E32,"&gt; se neshoduje s jednotkou v kartě PP"," &lt;",VLOOKUP(A32,[1]PP!$A:$W,5,FALSE),"&gt;"),IF(AND(COUNTIF(K32:O32,"")&lt;5,J32="",I32=""),CONCATENATE("Doplň: ",$I$4),IF(AND(YEAR(I32)&lt;&gt;$E$2,COUNTIF(I32,"")=0),CONCATENATE("špatně uveden &lt;",$D$2,"&gt; nebo &lt;",$I$4,"&gt;"),IF(OR(AND(OR(COUNTIF(C32,"*a"),COUNTIF(C32,"*ie"),COUNTIF(C32,"*ine"),COUNTIF(D32,"*Á")),F32="muž"),AND(AND(COUNTIF(C32,"&lt;&gt;"&amp;"*a"),COUNTIF(C32,"&lt;&gt;"&amp;"*ie"),COUNTIF(C32,"&lt;&gt;"&amp;"*ine"),COUNTIF(D32,"&lt;&gt;"&amp;"*Á")),F32="žena")),CONCATENATE(C32," ",D32," je ",F32,"?"),""))))))),IF(COUNTIF(B32:O32,"")=14,"",CONCATENATE("Doplň: ",IF(B32="",CONCATENATE($B$4,IF(COUNTIF(C32:G32,"")=0,"",", ")),""),IF(C32="",CONCATENATE($C$4,IF(COUNTIF(D32:G32,"")=0,"",", ")),""),IF(D32="",CONCATENATE($D$4,IF(COUNTIF(E32:G32,"")=0,"",", ")),""),IF(E32="",CONCATENATE($E$4,IF(COUNTIF(F32:G32,"")=0,"",", ")),""),IF(F32="",CONCATENATE($F$4,IF(G32="",", ","")),""),IF(G32="",$G$4,""))))</f>
        <v/>
      </c>
      <c r="AA32" s="30"/>
    </row>
    <row r="33" spans="1:27" ht="16" x14ac:dyDescent="0.35">
      <c r="A33" s="14" t="str">
        <f t="shared" si="0"/>
        <v xml:space="preserve">  </v>
      </c>
      <c r="B33" s="15"/>
      <c r="C33" s="31"/>
      <c r="D33" s="31"/>
      <c r="E33" s="17"/>
      <c r="F33" s="18"/>
      <c r="G33" s="32"/>
      <c r="H33" s="33" t="str">
        <f>IF(G33="","",IF(F33="žena",ROMAN(MATCH(G33+1,'[1]Normy VP'!$Y$27:$Y$33,-1)),ROMAN(MATCH(G33+1,'[1]Normy VP'!$Y$19:$Y$25,-1))))</f>
        <v/>
      </c>
      <c r="I33" s="21"/>
      <c r="J33" s="22"/>
      <c r="K33" s="23"/>
      <c r="L33" s="23"/>
      <c r="M33" s="23"/>
      <c r="N33" s="22"/>
      <c r="O33" s="22"/>
      <c r="P33" s="24" t="str">
        <f>IF(OR($J33="",$J33="odešel"),IF(K33="","",IF($F33="žena",CHOOSE(_xlfn.ARABIC($H33),MATCH(K33+1,'[1]Normy VP'!$C$25:$F$25,-1),MATCH(K33+1,'[1]Normy VP'!$C$26:$F$26,-1),MATCH(K33+1,'[1]Normy VP'!$C$27:$F$27,-1),MATCH(K33+1,'[1]Normy VP'!$C$28:$F$28,-1),MATCH(K33+1,'[1]Normy VP'!$C$29:$F$29,-1),"muž"),CHOOSE(_xlfn.ARABIC($H33),MATCH(K33+1,'[1]Normy VP'!$C$10:$F$10,-1),MATCH(K33+1,'[1]Normy VP'!$C$11:$F$11,-1),MATCH(K33+1,'[1]Normy VP'!$C$12:$F$12,-1),MATCH(K33+1,'[1]Normy VP'!$C$13:$F$13,-1),MATCH(K33+1,'[1]Normy VP'!$C$14:$F$14,-1),""))),"O")</f>
        <v/>
      </c>
      <c r="Q33" s="24" t="str">
        <f>IF(OR($J33="",$J33="odešel"),IF($F33="žena","",IF(L33="","",(CHOOSE(_xlfn.ARABIC($H33),MATCH(L33+1,'[1]Normy VP'!$G$10:$J$10,-1),MATCH(L33+1,'[1]Normy VP'!$G$11:$J$11,-1),MATCH(L33+1,'[1]Normy VP'!$G$12:$J$12,-1),MATCH(L33+1,'[1]Normy VP'!$G$13:$J$13,-1),MATCH(L33+1,'[1]Normy VP'!$G$14:$J$14,-1),"")))),"O")</f>
        <v/>
      </c>
      <c r="R33" s="34" t="str">
        <f t="shared" si="1"/>
        <v>N</v>
      </c>
      <c r="S33" s="24" t="str">
        <f>IF(OR($J33="",$J33="odešel"),IF(M33="","N",IF($F33="žena",CHOOSE(_xlfn.ARABIC($H33),MATCH(M33+1,'[1]Normy VP'!$G$25:$J$25,-1),MATCH(M33+1,'[1]Normy VP'!$G$26:$J$26,-1),MATCH(M33+1,'[1]Normy VP'!$G$27:$J$27,-1),MATCH(M33+1,'[1]Normy VP'!$G$28:$J$28,-1),MATCH(M33+1,'[1]Normy VP'!$G$29:$J$29,-1),"muž"),(CHOOSE(_xlfn.ARABIC($H33),MATCH(M33+1,'[1]Normy VP'!$K$10:$N$10,-1),MATCH(M33+1,'[1]Normy VP'!$K$11:$N$11,-1),MATCH(M33+1,'[1]Normy VP'!$K$12:$N$12,-1),MATCH(M33+1,'[1]Normy VP'!$K$13:$N$13,-1),MATCH(M33+1,'[1]Normy VP'!$K$14:$N$14,-1),"")))),"O")</f>
        <v>N</v>
      </c>
      <c r="T33" s="34" t="str">
        <f t="shared" si="2"/>
        <v>N</v>
      </c>
      <c r="U33" s="24" t="str">
        <f>IF(OR($J33="",$J33="odešel"),IF(N33="","N",IF($F33="žena",CHOOSE(_xlfn.ARABIC($H33),MATCH(N33+1,'[1]Normy VP'!$K$25:$N$25,-1),MATCH(N33+1,'[1]Normy VP'!$K$26:$N$26,-1),MATCH(N33+1,'[1]Normy VP'!$K$27:$N$27,-1),MATCH(N33+1,'[1]Normy VP'!$K$28:$N$28,-1),MATCH(N33+1,'[1]Normy VP'!$K$29:$N$29,-1),MATCH(N33+1,'[1]Normy VP'!$K$30:$N$30,-1)),CHOOSE(_xlfn.ARABIC($H33),MATCH(N33+1,'[1]Normy VP'!$O$10:$R$10,-1),MATCH(N33+1,'[1]Normy VP'!$O$11:$R$11,-1),MATCH(N33+1,'[1]Normy VP'!$O$12:$R$12,-1),MATCH(N33+1,'[1]Normy VP'!$O$13:$R$13,-1),MATCH(N33+1,'[1]Normy VP'!$O$14:$R$14,-1),MATCH(N33+1,'[1]Normy VP'!$O$15:$R$15,-1)))),"O")</f>
        <v>N</v>
      </c>
      <c r="V33" s="26" t="str">
        <f>IF(OR($J33="",$J33="odešel"),IF(O33="","N",IF($F33="žena",CHOOSE(_xlfn.ARABIC($H33),MATCH(O33-1,'[1]Normy VP'!$O$25:$R$25),MATCH(O33-1,'[1]Normy VP'!$O$26:$R$26),MATCH(O33-1,'[1]Normy VP'!$O$27:$R$27),MATCH(O33-1,'[1]Normy VP'!$O$28:$R$28),MATCH(O33-1,'[1]Normy VP'!$O$29:$R$29),MATCH(O33-1,'[1]Normy VP'!$O$30:$R$30)),CHOOSE(_xlfn.ARABIC($H33),MATCH(O33-1,'[1]Normy VP'!$S$10:$V$10),MATCH(O33-1,'[1]Normy VP'!$S$11:$V$11),MATCH(O33-1,'[1]Normy VP'!$S$12:$V$12),MATCH(O33-1,'[1]Normy VP'!$S$13:$V$13),MATCH(O33-1,'[1]Normy VP'!$S$14:$V$14),MATCH(O33-1,'[1]Normy VP'!$S$15:$V$15)))),"O")</f>
        <v>N</v>
      </c>
      <c r="W33" s="34" t="str">
        <f t="shared" si="3"/>
        <v>N</v>
      </c>
      <c r="X33" s="27" t="str">
        <f>IF(COUNTIF(B33:G33,"")&gt;0,"",IF(COUNTIF([1]PP!$A:$A,A33)=0,"neni v PP",IF(OR(Y33="odešel",VLOOKUP(A33,[1]PP!$A:$W,22,FALSE)="odešel"),"odešel",IF(OR(Y33="N",VLOOKUP(A33,[1]PP!$A:$W,22,FALSE)="N"),"N",IF(OR(Y33="C",VLOOKUP(A33,[1]PP!$A:$W,22,FALSE)="C"),"C",IF(OR(Y33="DZO",VLOOKUP(A33,[1]PP!$A:$W,22,FALSE)="DZO"),"DZO",IF(OR(Y33="mise",Y33="disp.",Y33="končí",Y33="DSC",VLOOKUP(A33,[1]PP!$A:$W,22,FALSE)="mise",VLOOKUP(A33,[1]PP!$A:$W,22,FALSE)="disp.",VLOOKUP(A33,[1]PP!$A:$W,22,FALSE)="končí",VLOOKUP(A33,[1]PP!$A:$W,22,FALSE)="DSC"),"jiné",IF(OR(Y33=4,VLOOKUP(A33,[1]PP!$A:$W,22,FALSE)=4),4,IF(OR(Y33=3,VLOOKUP(A33,[1]PP!$A:$W,22,FALSE)=3),3,IF(OR(Y33=2,VLOOKUP(A33,[1]PP!$A:$W,22,FALSE)=2),2,IF(AND(Y33=1,VLOOKUP(A33,[1]PP!$A:$W,22,FALSE)=1),1)))))))))))</f>
        <v/>
      </c>
      <c r="Y33" s="28" t="str">
        <f>IF(COUNTIF(B33:G33,"")&gt;0,"",IF(COUNTIF([1]PP!$A:$A,A33)=0,"neni v PP",IF(VLOOKUP(A33,[1]PP!$A:$W,8,FALSE)="odešel","odešel",IF(F33="","",IF(J33="",IF(OR(T33=4,W33=4),4,IF(AND(T33="N",W33="N"),"N",IF(OR(T33="N",W33="N"),4,ROUND(AVERAGE(T33,W33),0)))),J33)))))</f>
        <v/>
      </c>
      <c r="Z33" s="29" t="str">
        <f>IF(COUNTIF(B33:G33,"")=0,IF(X33="neni v PP",CONCATENATE("ID: &lt;",A33,"&gt; se neshoduje s žádným IDem v kartě PP"),IF(COUNTIF($A:$A,A33)&gt;1,CONCATENATE("ID: &lt;",A33,"&gt; se v kartě VP opakuje. Je nutné tyto IDy od sebe odlišit, např. mezerou za příjmením."),IF(COUNTIF([1]PP!A:A,A33)&gt;1,CONCATENATE("ID: &lt;",A33,"&gt; se v kartě PP opakuje. Je nutné tyto IDy od sebe odlišit, např. mezerou za příjmením."),IF(VLOOKUP(A33,[1]PP!$A:$W,5,FALSE)&lt;&gt;E33,CONCATENATE($E$4," &lt;",E33,"&gt; se neshoduje s jednotkou v kartě PP"," &lt;",VLOOKUP(A33,[1]PP!$A:$W,5,FALSE),"&gt;"),IF(AND(COUNTIF(K33:O33,"")&lt;5,J33="",I33=""),CONCATENATE("Doplň: ",$I$4),IF(AND(YEAR(I33)&lt;&gt;$E$2,COUNTIF(I33,"")=0),CONCATENATE("špatně uveden &lt;",$D$2,"&gt; nebo &lt;",$I$4,"&gt;"),IF(OR(AND(OR(COUNTIF(C33,"*a"),COUNTIF(C33,"*ie"),COUNTIF(C33,"*ine"),COUNTIF(D33,"*Á")),F33="muž"),AND(AND(COUNTIF(C33,"&lt;&gt;"&amp;"*a"),COUNTIF(C33,"&lt;&gt;"&amp;"*ie"),COUNTIF(C33,"&lt;&gt;"&amp;"*ine"),COUNTIF(D33,"&lt;&gt;"&amp;"*Á")),F33="žena")),CONCATENATE(C33," ",D33," je ",F33,"?"),""))))))),IF(COUNTIF(B33:O33,"")=14,"",CONCATENATE("Doplň: ",IF(B33="",CONCATENATE($B$4,IF(COUNTIF(C33:G33,"")=0,"",", ")),""),IF(C33="",CONCATENATE($C$4,IF(COUNTIF(D33:G33,"")=0,"",", ")),""),IF(D33="",CONCATENATE($D$4,IF(COUNTIF(E33:G33,"")=0,"",", ")),""),IF(E33="",CONCATENATE($E$4,IF(COUNTIF(F33:G33,"")=0,"",", ")),""),IF(F33="",CONCATENATE($F$4,IF(G33="",", ","")),""),IF(G33="",$G$4,""))))</f>
        <v/>
      </c>
      <c r="AA33" s="30"/>
    </row>
    <row r="34" spans="1:27" ht="16" x14ac:dyDescent="0.35">
      <c r="A34" s="14" t="str">
        <f t="shared" si="0"/>
        <v xml:space="preserve">  </v>
      </c>
      <c r="B34" s="15"/>
      <c r="C34" s="31"/>
      <c r="D34" s="31"/>
      <c r="E34" s="17"/>
      <c r="F34" s="18"/>
      <c r="G34" s="32"/>
      <c r="H34" s="33" t="str">
        <f>IF(G34="","",IF(F34="žena",ROMAN(MATCH(G34+1,'[1]Normy VP'!$Y$27:$Y$33,-1)),ROMAN(MATCH(G34+1,'[1]Normy VP'!$Y$19:$Y$25,-1))))</f>
        <v/>
      </c>
      <c r="I34" s="21"/>
      <c r="J34" s="22"/>
      <c r="K34" s="23"/>
      <c r="L34" s="23"/>
      <c r="M34" s="23"/>
      <c r="N34" s="22"/>
      <c r="O34" s="22"/>
      <c r="P34" s="24" t="str">
        <f>IF(OR($J34="",$J34="odešel"),IF(K34="","",IF($F34="žena",CHOOSE(_xlfn.ARABIC($H34),MATCH(K34+1,'[1]Normy VP'!$C$25:$F$25,-1),MATCH(K34+1,'[1]Normy VP'!$C$26:$F$26,-1),MATCH(K34+1,'[1]Normy VP'!$C$27:$F$27,-1),MATCH(K34+1,'[1]Normy VP'!$C$28:$F$28,-1),MATCH(K34+1,'[1]Normy VP'!$C$29:$F$29,-1),"muž"),CHOOSE(_xlfn.ARABIC($H34),MATCH(K34+1,'[1]Normy VP'!$C$10:$F$10,-1),MATCH(K34+1,'[1]Normy VP'!$C$11:$F$11,-1),MATCH(K34+1,'[1]Normy VP'!$C$12:$F$12,-1),MATCH(K34+1,'[1]Normy VP'!$C$13:$F$13,-1),MATCH(K34+1,'[1]Normy VP'!$C$14:$F$14,-1),""))),"O")</f>
        <v/>
      </c>
      <c r="Q34" s="24" t="str">
        <f>IF(OR($J34="",$J34="odešel"),IF($F34="žena","",IF(L34="","",(CHOOSE(_xlfn.ARABIC($H34),MATCH(L34+1,'[1]Normy VP'!$G$10:$J$10,-1),MATCH(L34+1,'[1]Normy VP'!$G$11:$J$11,-1),MATCH(L34+1,'[1]Normy VP'!$G$12:$J$12,-1),MATCH(L34+1,'[1]Normy VP'!$G$13:$J$13,-1),MATCH(L34+1,'[1]Normy VP'!$G$14:$J$14,-1),"")))),"O")</f>
        <v/>
      </c>
      <c r="R34" s="34" t="str">
        <f t="shared" si="1"/>
        <v>N</v>
      </c>
      <c r="S34" s="24" t="str">
        <f>IF(OR($J34="",$J34="odešel"),IF(M34="","N",IF($F34="žena",CHOOSE(_xlfn.ARABIC($H34),MATCH(M34+1,'[1]Normy VP'!$G$25:$J$25,-1),MATCH(M34+1,'[1]Normy VP'!$G$26:$J$26,-1),MATCH(M34+1,'[1]Normy VP'!$G$27:$J$27,-1),MATCH(M34+1,'[1]Normy VP'!$G$28:$J$28,-1),MATCH(M34+1,'[1]Normy VP'!$G$29:$J$29,-1),"muž"),(CHOOSE(_xlfn.ARABIC($H34),MATCH(M34+1,'[1]Normy VP'!$K$10:$N$10,-1),MATCH(M34+1,'[1]Normy VP'!$K$11:$N$11,-1),MATCH(M34+1,'[1]Normy VP'!$K$12:$N$12,-1),MATCH(M34+1,'[1]Normy VP'!$K$13:$N$13,-1),MATCH(M34+1,'[1]Normy VP'!$K$14:$N$14,-1),"")))),"O")</f>
        <v>N</v>
      </c>
      <c r="T34" s="34" t="str">
        <f t="shared" si="2"/>
        <v>N</v>
      </c>
      <c r="U34" s="24" t="str">
        <f>IF(OR($J34="",$J34="odešel"),IF(N34="","N",IF($F34="žena",CHOOSE(_xlfn.ARABIC($H34),MATCH(N34+1,'[1]Normy VP'!$K$25:$N$25,-1),MATCH(N34+1,'[1]Normy VP'!$K$26:$N$26,-1),MATCH(N34+1,'[1]Normy VP'!$K$27:$N$27,-1),MATCH(N34+1,'[1]Normy VP'!$K$28:$N$28,-1),MATCH(N34+1,'[1]Normy VP'!$K$29:$N$29,-1),MATCH(N34+1,'[1]Normy VP'!$K$30:$N$30,-1)),CHOOSE(_xlfn.ARABIC($H34),MATCH(N34+1,'[1]Normy VP'!$O$10:$R$10,-1),MATCH(N34+1,'[1]Normy VP'!$O$11:$R$11,-1),MATCH(N34+1,'[1]Normy VP'!$O$12:$R$12,-1),MATCH(N34+1,'[1]Normy VP'!$O$13:$R$13,-1),MATCH(N34+1,'[1]Normy VP'!$O$14:$R$14,-1),MATCH(N34+1,'[1]Normy VP'!$O$15:$R$15,-1)))),"O")</f>
        <v>N</v>
      </c>
      <c r="V34" s="26" t="str">
        <f>IF(OR($J34="",$J34="odešel"),IF(O34="","N",IF($F34="žena",CHOOSE(_xlfn.ARABIC($H34),MATCH(O34-1,'[1]Normy VP'!$O$25:$R$25),MATCH(O34-1,'[1]Normy VP'!$O$26:$R$26),MATCH(O34-1,'[1]Normy VP'!$O$27:$R$27),MATCH(O34-1,'[1]Normy VP'!$O$28:$R$28),MATCH(O34-1,'[1]Normy VP'!$O$29:$R$29),MATCH(O34-1,'[1]Normy VP'!$O$30:$R$30)),CHOOSE(_xlfn.ARABIC($H34),MATCH(O34-1,'[1]Normy VP'!$S$10:$V$10),MATCH(O34-1,'[1]Normy VP'!$S$11:$V$11),MATCH(O34-1,'[1]Normy VP'!$S$12:$V$12),MATCH(O34-1,'[1]Normy VP'!$S$13:$V$13),MATCH(O34-1,'[1]Normy VP'!$S$14:$V$14),MATCH(O34-1,'[1]Normy VP'!$S$15:$V$15)))),"O")</f>
        <v>N</v>
      </c>
      <c r="W34" s="34" t="str">
        <f t="shared" si="3"/>
        <v>N</v>
      </c>
      <c r="X34" s="27" t="str">
        <f>IF(COUNTIF(B34:G34,"")&gt;0,"",IF(COUNTIF([1]PP!$A:$A,A34)=0,"neni v PP",IF(OR(Y34="odešel",VLOOKUP(A34,[1]PP!$A:$W,22,FALSE)="odešel"),"odešel",IF(OR(Y34="N",VLOOKUP(A34,[1]PP!$A:$W,22,FALSE)="N"),"N",IF(OR(Y34="C",VLOOKUP(A34,[1]PP!$A:$W,22,FALSE)="C"),"C",IF(OR(Y34="DZO",VLOOKUP(A34,[1]PP!$A:$W,22,FALSE)="DZO"),"DZO",IF(OR(Y34="mise",Y34="disp.",Y34="končí",Y34="DSC",VLOOKUP(A34,[1]PP!$A:$W,22,FALSE)="mise",VLOOKUP(A34,[1]PP!$A:$W,22,FALSE)="disp.",VLOOKUP(A34,[1]PP!$A:$W,22,FALSE)="končí",VLOOKUP(A34,[1]PP!$A:$W,22,FALSE)="DSC"),"jiné",IF(OR(Y34=4,VLOOKUP(A34,[1]PP!$A:$W,22,FALSE)=4),4,IF(OR(Y34=3,VLOOKUP(A34,[1]PP!$A:$W,22,FALSE)=3),3,IF(OR(Y34=2,VLOOKUP(A34,[1]PP!$A:$W,22,FALSE)=2),2,IF(AND(Y34=1,VLOOKUP(A34,[1]PP!$A:$W,22,FALSE)=1),1)))))))))))</f>
        <v/>
      </c>
      <c r="Y34" s="28" t="str">
        <f>IF(COUNTIF(B34:G34,"")&gt;0,"",IF(COUNTIF([1]PP!$A:$A,A34)=0,"neni v PP",IF(VLOOKUP(A34,[1]PP!$A:$W,8,FALSE)="odešel","odešel",IF(F34="","",IF(J34="",IF(OR(T34=4,W34=4),4,IF(AND(T34="N",W34="N"),"N",IF(OR(T34="N",W34="N"),4,ROUND(AVERAGE(T34,W34),0)))),J34)))))</f>
        <v/>
      </c>
      <c r="Z34" s="29" t="str">
        <f>IF(COUNTIF(B34:G34,"")=0,IF(X34="neni v PP",CONCATENATE("ID: &lt;",A34,"&gt; se neshoduje s žádným IDem v kartě PP"),IF(COUNTIF($A:$A,A34)&gt;1,CONCATENATE("ID: &lt;",A34,"&gt; se v kartě VP opakuje. Je nutné tyto IDy od sebe odlišit, např. mezerou za příjmením."),IF(COUNTIF([1]PP!A:A,A34)&gt;1,CONCATENATE("ID: &lt;",A34,"&gt; se v kartě PP opakuje. Je nutné tyto IDy od sebe odlišit, např. mezerou za příjmením."),IF(VLOOKUP(A34,[1]PP!$A:$W,5,FALSE)&lt;&gt;E34,CONCATENATE($E$4," &lt;",E34,"&gt; se neshoduje s jednotkou v kartě PP"," &lt;",VLOOKUP(A34,[1]PP!$A:$W,5,FALSE),"&gt;"),IF(AND(COUNTIF(K34:O34,"")&lt;5,J34="",I34=""),CONCATENATE("Doplň: ",$I$4),IF(AND(YEAR(I34)&lt;&gt;$E$2,COUNTIF(I34,"")=0),CONCATENATE("špatně uveden &lt;",$D$2,"&gt; nebo &lt;",$I$4,"&gt;"),IF(OR(AND(OR(COUNTIF(C34,"*a"),COUNTIF(C34,"*ie"),COUNTIF(C34,"*ine"),COUNTIF(D34,"*Á")),F34="muž"),AND(AND(COUNTIF(C34,"&lt;&gt;"&amp;"*a"),COUNTIF(C34,"&lt;&gt;"&amp;"*ie"),COUNTIF(C34,"&lt;&gt;"&amp;"*ine"),COUNTIF(D34,"&lt;&gt;"&amp;"*Á")),F34="žena")),CONCATENATE(C34," ",D34," je ",F34,"?"),""))))))),IF(COUNTIF(B34:O34,"")=14,"",CONCATENATE("Doplň: ",IF(B34="",CONCATENATE($B$4,IF(COUNTIF(C34:G34,"")=0,"",", ")),""),IF(C34="",CONCATENATE($C$4,IF(COUNTIF(D34:G34,"")=0,"",", ")),""),IF(D34="",CONCATENATE($D$4,IF(COUNTIF(E34:G34,"")=0,"",", ")),""),IF(E34="",CONCATENATE($E$4,IF(COUNTIF(F34:G34,"")=0,"",", ")),""),IF(F34="",CONCATENATE($F$4,IF(G34="",", ","")),""),IF(G34="",$G$4,""))))</f>
        <v/>
      </c>
      <c r="AA34" s="30"/>
    </row>
    <row r="35" spans="1:27" ht="16" x14ac:dyDescent="0.35">
      <c r="A35" s="14" t="str">
        <f t="shared" si="0"/>
        <v xml:space="preserve">  </v>
      </c>
      <c r="B35" s="15"/>
      <c r="C35" s="31"/>
      <c r="D35" s="31"/>
      <c r="E35" s="17"/>
      <c r="F35" s="18"/>
      <c r="G35" s="32"/>
      <c r="H35" s="33" t="str">
        <f>IF(G35="","",IF(F35="žena",ROMAN(MATCH(G35+1,'[1]Normy VP'!$Y$27:$Y$33,-1)),ROMAN(MATCH(G35+1,'[1]Normy VP'!$Y$19:$Y$25,-1))))</f>
        <v/>
      </c>
      <c r="I35" s="21"/>
      <c r="J35" s="22"/>
      <c r="K35" s="23"/>
      <c r="L35" s="23"/>
      <c r="M35" s="23"/>
      <c r="N35" s="22"/>
      <c r="O35" s="22"/>
      <c r="P35" s="24" t="str">
        <f>IF(OR($J35="",$J35="odešel"),IF(K35="","",IF($F35="žena",CHOOSE(_xlfn.ARABIC($H35),MATCH(K35+1,'[1]Normy VP'!$C$25:$F$25,-1),MATCH(K35+1,'[1]Normy VP'!$C$26:$F$26,-1),MATCH(K35+1,'[1]Normy VP'!$C$27:$F$27,-1),MATCH(K35+1,'[1]Normy VP'!$C$28:$F$28,-1),MATCH(K35+1,'[1]Normy VP'!$C$29:$F$29,-1),"muž"),CHOOSE(_xlfn.ARABIC($H35),MATCH(K35+1,'[1]Normy VP'!$C$10:$F$10,-1),MATCH(K35+1,'[1]Normy VP'!$C$11:$F$11,-1),MATCH(K35+1,'[1]Normy VP'!$C$12:$F$12,-1),MATCH(K35+1,'[1]Normy VP'!$C$13:$F$13,-1),MATCH(K35+1,'[1]Normy VP'!$C$14:$F$14,-1),""))),"O")</f>
        <v/>
      </c>
      <c r="Q35" s="24" t="str">
        <f>IF(OR($J35="",$J35="odešel"),IF($F35="žena","",IF(L35="","",(CHOOSE(_xlfn.ARABIC($H35),MATCH(L35+1,'[1]Normy VP'!$G$10:$J$10,-1),MATCH(L35+1,'[1]Normy VP'!$G$11:$J$11,-1),MATCH(L35+1,'[1]Normy VP'!$G$12:$J$12,-1),MATCH(L35+1,'[1]Normy VP'!$G$13:$J$13,-1),MATCH(L35+1,'[1]Normy VP'!$G$14:$J$14,-1),"")))),"O")</f>
        <v/>
      </c>
      <c r="R35" s="34" t="str">
        <f t="shared" si="1"/>
        <v>N</v>
      </c>
      <c r="S35" s="24" t="str">
        <f>IF(OR($J35="",$J35="odešel"),IF(M35="","N",IF($F35="žena",CHOOSE(_xlfn.ARABIC($H35),MATCH(M35+1,'[1]Normy VP'!$G$25:$J$25,-1),MATCH(M35+1,'[1]Normy VP'!$G$26:$J$26,-1),MATCH(M35+1,'[1]Normy VP'!$G$27:$J$27,-1),MATCH(M35+1,'[1]Normy VP'!$G$28:$J$28,-1),MATCH(M35+1,'[1]Normy VP'!$G$29:$J$29,-1),"muž"),(CHOOSE(_xlfn.ARABIC($H35),MATCH(M35+1,'[1]Normy VP'!$K$10:$N$10,-1),MATCH(M35+1,'[1]Normy VP'!$K$11:$N$11,-1),MATCH(M35+1,'[1]Normy VP'!$K$12:$N$12,-1),MATCH(M35+1,'[1]Normy VP'!$K$13:$N$13,-1),MATCH(M35+1,'[1]Normy VP'!$K$14:$N$14,-1),"")))),"O")</f>
        <v>N</v>
      </c>
      <c r="T35" s="34" t="str">
        <f t="shared" si="2"/>
        <v>N</v>
      </c>
      <c r="U35" s="24" t="str">
        <f>IF(OR($J35="",$J35="odešel"),IF(N35="","N",IF($F35="žena",CHOOSE(_xlfn.ARABIC($H35),MATCH(N35+1,'[1]Normy VP'!$K$25:$N$25,-1),MATCH(N35+1,'[1]Normy VP'!$K$26:$N$26,-1),MATCH(N35+1,'[1]Normy VP'!$K$27:$N$27,-1),MATCH(N35+1,'[1]Normy VP'!$K$28:$N$28,-1),MATCH(N35+1,'[1]Normy VP'!$K$29:$N$29,-1),MATCH(N35+1,'[1]Normy VP'!$K$30:$N$30,-1)),CHOOSE(_xlfn.ARABIC($H35),MATCH(N35+1,'[1]Normy VP'!$O$10:$R$10,-1),MATCH(N35+1,'[1]Normy VP'!$O$11:$R$11,-1),MATCH(N35+1,'[1]Normy VP'!$O$12:$R$12,-1),MATCH(N35+1,'[1]Normy VP'!$O$13:$R$13,-1),MATCH(N35+1,'[1]Normy VP'!$O$14:$R$14,-1),MATCH(N35+1,'[1]Normy VP'!$O$15:$R$15,-1)))),"O")</f>
        <v>N</v>
      </c>
      <c r="V35" s="26" t="str">
        <f>IF(OR($J35="",$J35="odešel"),IF(O35="","N",IF($F35="žena",CHOOSE(_xlfn.ARABIC($H35),MATCH(O35-1,'[1]Normy VP'!$O$25:$R$25),MATCH(O35-1,'[1]Normy VP'!$O$26:$R$26),MATCH(O35-1,'[1]Normy VP'!$O$27:$R$27),MATCH(O35-1,'[1]Normy VP'!$O$28:$R$28),MATCH(O35-1,'[1]Normy VP'!$O$29:$R$29),MATCH(O35-1,'[1]Normy VP'!$O$30:$R$30)),CHOOSE(_xlfn.ARABIC($H35),MATCH(O35-1,'[1]Normy VP'!$S$10:$V$10),MATCH(O35-1,'[1]Normy VP'!$S$11:$V$11),MATCH(O35-1,'[1]Normy VP'!$S$12:$V$12),MATCH(O35-1,'[1]Normy VP'!$S$13:$V$13),MATCH(O35-1,'[1]Normy VP'!$S$14:$V$14),MATCH(O35-1,'[1]Normy VP'!$S$15:$V$15)))),"O")</f>
        <v>N</v>
      </c>
      <c r="W35" s="34" t="str">
        <f t="shared" si="3"/>
        <v>N</v>
      </c>
      <c r="X35" s="27" t="str">
        <f>IF(COUNTIF(B35:G35,"")&gt;0,"",IF(COUNTIF([1]PP!$A:$A,A35)=0,"neni v PP",IF(OR(Y35="odešel",VLOOKUP(A35,[1]PP!$A:$W,22,FALSE)="odešel"),"odešel",IF(OR(Y35="N",VLOOKUP(A35,[1]PP!$A:$W,22,FALSE)="N"),"N",IF(OR(Y35="C",VLOOKUP(A35,[1]PP!$A:$W,22,FALSE)="C"),"C",IF(OR(Y35="DZO",VLOOKUP(A35,[1]PP!$A:$W,22,FALSE)="DZO"),"DZO",IF(OR(Y35="mise",Y35="disp.",Y35="končí",Y35="DSC",VLOOKUP(A35,[1]PP!$A:$W,22,FALSE)="mise",VLOOKUP(A35,[1]PP!$A:$W,22,FALSE)="disp.",VLOOKUP(A35,[1]PP!$A:$W,22,FALSE)="končí",VLOOKUP(A35,[1]PP!$A:$W,22,FALSE)="DSC"),"jiné",IF(OR(Y35=4,VLOOKUP(A35,[1]PP!$A:$W,22,FALSE)=4),4,IF(OR(Y35=3,VLOOKUP(A35,[1]PP!$A:$W,22,FALSE)=3),3,IF(OR(Y35=2,VLOOKUP(A35,[1]PP!$A:$W,22,FALSE)=2),2,IF(AND(Y35=1,VLOOKUP(A35,[1]PP!$A:$W,22,FALSE)=1),1)))))))))))</f>
        <v/>
      </c>
      <c r="Y35" s="28" t="str">
        <f>IF(COUNTIF(B35:G35,"")&gt;0,"",IF(COUNTIF([1]PP!$A:$A,A35)=0,"neni v PP",IF(VLOOKUP(A35,[1]PP!$A:$W,8,FALSE)="odešel","odešel",IF(F35="","",IF(J35="",IF(OR(T35=4,W35=4),4,IF(AND(T35="N",W35="N"),"N",IF(OR(T35="N",W35="N"),4,ROUND(AVERAGE(T35,W35),0)))),J35)))))</f>
        <v/>
      </c>
      <c r="Z35" s="29" t="str">
        <f>IF(COUNTIF(B35:G35,"")=0,IF(X35="neni v PP",CONCATENATE("ID: &lt;",A35,"&gt; se neshoduje s žádným IDem v kartě PP"),IF(COUNTIF($A:$A,A35)&gt;1,CONCATENATE("ID: &lt;",A35,"&gt; se v kartě VP opakuje. Je nutné tyto IDy od sebe odlišit, např. mezerou za příjmením."),IF(COUNTIF([1]PP!A:A,A35)&gt;1,CONCATENATE("ID: &lt;",A35,"&gt; se v kartě PP opakuje. Je nutné tyto IDy od sebe odlišit, např. mezerou za příjmením."),IF(VLOOKUP(A35,[1]PP!$A:$W,5,FALSE)&lt;&gt;E35,CONCATENATE($E$4," &lt;",E35,"&gt; se neshoduje s jednotkou v kartě PP"," &lt;",VLOOKUP(A35,[1]PP!$A:$W,5,FALSE),"&gt;"),IF(AND(COUNTIF(K35:O35,"")&lt;5,J35="",I35=""),CONCATENATE("Doplň: ",$I$4),IF(AND(YEAR(I35)&lt;&gt;$E$2,COUNTIF(I35,"")=0),CONCATENATE("špatně uveden &lt;",$D$2,"&gt; nebo &lt;",$I$4,"&gt;"),IF(OR(AND(OR(COUNTIF(C35,"*a"),COUNTIF(C35,"*ie"),COUNTIF(C35,"*ine"),COUNTIF(D35,"*Á")),F35="muž"),AND(AND(COUNTIF(C35,"&lt;&gt;"&amp;"*a"),COUNTIF(C35,"&lt;&gt;"&amp;"*ie"),COUNTIF(C35,"&lt;&gt;"&amp;"*ine"),COUNTIF(D35,"&lt;&gt;"&amp;"*Á")),F35="žena")),CONCATENATE(C35," ",D35," je ",F35,"?"),""))))))),IF(COUNTIF(B35:O35,"")=14,"",CONCATENATE("Doplň: ",IF(B35="",CONCATENATE($B$4,IF(COUNTIF(C35:G35,"")=0,"",", ")),""),IF(C35="",CONCATENATE($C$4,IF(COUNTIF(D35:G35,"")=0,"",", ")),""),IF(D35="",CONCATENATE($D$4,IF(COUNTIF(E35:G35,"")=0,"",", ")),""),IF(E35="",CONCATENATE($E$4,IF(COUNTIF(F35:G35,"")=0,"",", ")),""),IF(F35="",CONCATENATE($F$4,IF(G35="",", ","")),""),IF(G35="",$G$4,""))))</f>
        <v/>
      </c>
      <c r="AA35" s="30"/>
    </row>
    <row r="36" spans="1:27" ht="16" x14ac:dyDescent="0.35">
      <c r="A36" s="14" t="str">
        <f t="shared" si="0"/>
        <v xml:space="preserve">  </v>
      </c>
      <c r="B36" s="15"/>
      <c r="C36" s="31"/>
      <c r="D36" s="31"/>
      <c r="E36" s="17"/>
      <c r="F36" s="18"/>
      <c r="G36" s="32"/>
      <c r="H36" s="33" t="str">
        <f>IF(G36="","",IF(F36="žena",ROMAN(MATCH(G36+1,'[1]Normy VP'!$Y$27:$Y$33,-1)),ROMAN(MATCH(G36+1,'[1]Normy VP'!$Y$19:$Y$25,-1))))</f>
        <v/>
      </c>
      <c r="I36" s="21"/>
      <c r="J36" s="22"/>
      <c r="K36" s="23"/>
      <c r="L36" s="23"/>
      <c r="M36" s="23"/>
      <c r="N36" s="22"/>
      <c r="O36" s="22"/>
      <c r="P36" s="24" t="str">
        <f>IF(OR($J36="",$J36="odešel"),IF(K36="","",IF($F36="žena",CHOOSE(_xlfn.ARABIC($H36),MATCH(K36+1,'[1]Normy VP'!$C$25:$F$25,-1),MATCH(K36+1,'[1]Normy VP'!$C$26:$F$26,-1),MATCH(K36+1,'[1]Normy VP'!$C$27:$F$27,-1),MATCH(K36+1,'[1]Normy VP'!$C$28:$F$28,-1),MATCH(K36+1,'[1]Normy VP'!$C$29:$F$29,-1),"muž"),CHOOSE(_xlfn.ARABIC($H36),MATCH(K36+1,'[1]Normy VP'!$C$10:$F$10,-1),MATCH(K36+1,'[1]Normy VP'!$C$11:$F$11,-1),MATCH(K36+1,'[1]Normy VP'!$C$12:$F$12,-1),MATCH(K36+1,'[1]Normy VP'!$C$13:$F$13,-1),MATCH(K36+1,'[1]Normy VP'!$C$14:$F$14,-1),""))),"O")</f>
        <v/>
      </c>
      <c r="Q36" s="24" t="str">
        <f>IF(OR($J36="",$J36="odešel"),IF($F36="žena","",IF(L36="","",(CHOOSE(_xlfn.ARABIC($H36),MATCH(L36+1,'[1]Normy VP'!$G$10:$J$10,-1),MATCH(L36+1,'[1]Normy VP'!$G$11:$J$11,-1),MATCH(L36+1,'[1]Normy VP'!$G$12:$J$12,-1),MATCH(L36+1,'[1]Normy VP'!$G$13:$J$13,-1),MATCH(L36+1,'[1]Normy VP'!$G$14:$J$14,-1),"")))),"O")</f>
        <v/>
      </c>
      <c r="R36" s="34" t="str">
        <f t="shared" si="1"/>
        <v>N</v>
      </c>
      <c r="S36" s="24" t="str">
        <f>IF(OR($J36="",$J36="odešel"),IF(M36="","N",IF($F36="žena",CHOOSE(_xlfn.ARABIC($H36),MATCH(M36+1,'[1]Normy VP'!$G$25:$J$25,-1),MATCH(M36+1,'[1]Normy VP'!$G$26:$J$26,-1),MATCH(M36+1,'[1]Normy VP'!$G$27:$J$27,-1),MATCH(M36+1,'[1]Normy VP'!$G$28:$J$28,-1),MATCH(M36+1,'[1]Normy VP'!$G$29:$J$29,-1),"muž"),(CHOOSE(_xlfn.ARABIC($H36),MATCH(M36+1,'[1]Normy VP'!$K$10:$N$10,-1),MATCH(M36+1,'[1]Normy VP'!$K$11:$N$11,-1),MATCH(M36+1,'[1]Normy VP'!$K$12:$N$12,-1),MATCH(M36+1,'[1]Normy VP'!$K$13:$N$13,-1),MATCH(M36+1,'[1]Normy VP'!$K$14:$N$14,-1),"")))),"O")</f>
        <v>N</v>
      </c>
      <c r="T36" s="34" t="str">
        <f t="shared" si="2"/>
        <v>N</v>
      </c>
      <c r="U36" s="24" t="str">
        <f>IF(OR($J36="",$J36="odešel"),IF(N36="","N",IF($F36="žena",CHOOSE(_xlfn.ARABIC($H36),MATCH(N36+1,'[1]Normy VP'!$K$25:$N$25,-1),MATCH(N36+1,'[1]Normy VP'!$K$26:$N$26,-1),MATCH(N36+1,'[1]Normy VP'!$K$27:$N$27,-1),MATCH(N36+1,'[1]Normy VP'!$K$28:$N$28,-1),MATCH(N36+1,'[1]Normy VP'!$K$29:$N$29,-1),MATCH(N36+1,'[1]Normy VP'!$K$30:$N$30,-1)),CHOOSE(_xlfn.ARABIC($H36),MATCH(N36+1,'[1]Normy VP'!$O$10:$R$10,-1),MATCH(N36+1,'[1]Normy VP'!$O$11:$R$11,-1),MATCH(N36+1,'[1]Normy VP'!$O$12:$R$12,-1),MATCH(N36+1,'[1]Normy VP'!$O$13:$R$13,-1),MATCH(N36+1,'[1]Normy VP'!$O$14:$R$14,-1),MATCH(N36+1,'[1]Normy VP'!$O$15:$R$15,-1)))),"O")</f>
        <v>N</v>
      </c>
      <c r="V36" s="26" t="str">
        <f>IF(OR($J36="",$J36="odešel"),IF(O36="","N",IF($F36="žena",CHOOSE(_xlfn.ARABIC($H36),MATCH(O36-1,'[1]Normy VP'!$O$25:$R$25),MATCH(O36-1,'[1]Normy VP'!$O$26:$R$26),MATCH(O36-1,'[1]Normy VP'!$O$27:$R$27),MATCH(O36-1,'[1]Normy VP'!$O$28:$R$28),MATCH(O36-1,'[1]Normy VP'!$O$29:$R$29),MATCH(O36-1,'[1]Normy VP'!$O$30:$R$30)),CHOOSE(_xlfn.ARABIC($H36),MATCH(O36-1,'[1]Normy VP'!$S$10:$V$10),MATCH(O36-1,'[1]Normy VP'!$S$11:$V$11),MATCH(O36-1,'[1]Normy VP'!$S$12:$V$12),MATCH(O36-1,'[1]Normy VP'!$S$13:$V$13),MATCH(O36-1,'[1]Normy VP'!$S$14:$V$14),MATCH(O36-1,'[1]Normy VP'!$S$15:$V$15)))),"O")</f>
        <v>N</v>
      </c>
      <c r="W36" s="34" t="str">
        <f t="shared" si="3"/>
        <v>N</v>
      </c>
      <c r="X36" s="27" t="str">
        <f>IF(COUNTIF(B36:G36,"")&gt;0,"",IF(COUNTIF([1]PP!$A:$A,A36)=0,"neni v PP",IF(OR(Y36="odešel",VLOOKUP(A36,[1]PP!$A:$W,22,FALSE)="odešel"),"odešel",IF(OR(Y36="N",VLOOKUP(A36,[1]PP!$A:$W,22,FALSE)="N"),"N",IF(OR(Y36="C",VLOOKUP(A36,[1]PP!$A:$W,22,FALSE)="C"),"C",IF(OR(Y36="DZO",VLOOKUP(A36,[1]PP!$A:$W,22,FALSE)="DZO"),"DZO",IF(OR(Y36="mise",Y36="disp.",Y36="končí",Y36="DSC",VLOOKUP(A36,[1]PP!$A:$W,22,FALSE)="mise",VLOOKUP(A36,[1]PP!$A:$W,22,FALSE)="disp.",VLOOKUP(A36,[1]PP!$A:$W,22,FALSE)="končí",VLOOKUP(A36,[1]PP!$A:$W,22,FALSE)="DSC"),"jiné",IF(OR(Y36=4,VLOOKUP(A36,[1]PP!$A:$W,22,FALSE)=4),4,IF(OR(Y36=3,VLOOKUP(A36,[1]PP!$A:$W,22,FALSE)=3),3,IF(OR(Y36=2,VLOOKUP(A36,[1]PP!$A:$W,22,FALSE)=2),2,IF(AND(Y36=1,VLOOKUP(A36,[1]PP!$A:$W,22,FALSE)=1),1)))))))))))</f>
        <v/>
      </c>
      <c r="Y36" s="28" t="str">
        <f>IF(COUNTIF(B36:G36,"")&gt;0,"",IF(COUNTIF([1]PP!$A:$A,A36)=0,"neni v PP",IF(VLOOKUP(A36,[1]PP!$A:$W,8,FALSE)="odešel","odešel",IF(F36="","",IF(J36="",IF(OR(T36=4,W36=4),4,IF(AND(T36="N",W36="N"),"N",IF(OR(T36="N",W36="N"),4,ROUND(AVERAGE(T36,W36),0)))),J36)))))</f>
        <v/>
      </c>
      <c r="Z36" s="29" t="str">
        <f>IF(COUNTIF(B36:G36,"")=0,IF(X36="neni v PP",CONCATENATE("ID: &lt;",A36,"&gt; se neshoduje s žádným IDem v kartě PP"),IF(COUNTIF($A:$A,A36)&gt;1,CONCATENATE("ID: &lt;",A36,"&gt; se v kartě VP opakuje. Je nutné tyto IDy od sebe odlišit, např. mezerou za příjmením."),IF(COUNTIF([1]PP!A:A,A36)&gt;1,CONCATENATE("ID: &lt;",A36,"&gt; se v kartě PP opakuje. Je nutné tyto IDy od sebe odlišit, např. mezerou za příjmením."),IF(VLOOKUP(A36,[1]PP!$A:$W,5,FALSE)&lt;&gt;E36,CONCATENATE($E$4," &lt;",E36,"&gt; se neshoduje s jednotkou v kartě PP"," &lt;",VLOOKUP(A36,[1]PP!$A:$W,5,FALSE),"&gt;"),IF(AND(COUNTIF(K36:O36,"")&lt;5,J36="",I36=""),CONCATENATE("Doplň: ",$I$4),IF(AND(YEAR(I36)&lt;&gt;$E$2,COUNTIF(I36,"")=0),CONCATENATE("špatně uveden &lt;",$D$2,"&gt; nebo &lt;",$I$4,"&gt;"),IF(OR(AND(OR(COUNTIF(C36,"*a"),COUNTIF(C36,"*ie"),COUNTIF(C36,"*ine"),COUNTIF(D36,"*Á")),F36="muž"),AND(AND(COUNTIF(C36,"&lt;&gt;"&amp;"*a"),COUNTIF(C36,"&lt;&gt;"&amp;"*ie"),COUNTIF(C36,"&lt;&gt;"&amp;"*ine"),COUNTIF(D36,"&lt;&gt;"&amp;"*Á")),F36="žena")),CONCATENATE(C36," ",D36," je ",F36,"?"),""))))))),IF(COUNTIF(B36:O36,"")=14,"",CONCATENATE("Doplň: ",IF(B36="",CONCATENATE($B$4,IF(COUNTIF(C36:G36,"")=0,"",", ")),""),IF(C36="",CONCATENATE($C$4,IF(COUNTIF(D36:G36,"")=0,"",", ")),""),IF(D36="",CONCATENATE($D$4,IF(COUNTIF(E36:G36,"")=0,"",", ")),""),IF(E36="",CONCATENATE($E$4,IF(COUNTIF(F36:G36,"")=0,"",", ")),""),IF(F36="",CONCATENATE($F$4,IF(G36="",", ","")),""),IF(G36="",$G$4,""))))</f>
        <v/>
      </c>
      <c r="AA36" s="30"/>
    </row>
    <row r="37" spans="1:27" ht="16" x14ac:dyDescent="0.35">
      <c r="A37" s="14" t="str">
        <f t="shared" si="0"/>
        <v xml:space="preserve">  </v>
      </c>
      <c r="B37" s="15"/>
      <c r="C37" s="31"/>
      <c r="D37" s="31"/>
      <c r="E37" s="17"/>
      <c r="F37" s="18"/>
      <c r="G37" s="32"/>
      <c r="H37" s="33" t="str">
        <f>IF(G37="","",IF(F37="žena",ROMAN(MATCH(G37+1,'[1]Normy VP'!$Y$27:$Y$33,-1)),ROMAN(MATCH(G37+1,'[1]Normy VP'!$Y$19:$Y$25,-1))))</f>
        <v/>
      </c>
      <c r="I37" s="21"/>
      <c r="J37" s="22"/>
      <c r="K37" s="23"/>
      <c r="L37" s="23"/>
      <c r="M37" s="23"/>
      <c r="N37" s="22"/>
      <c r="O37" s="22"/>
      <c r="P37" s="24" t="str">
        <f>IF(OR($J37="",$J37="odešel"),IF(K37="","",IF($F37="žena",CHOOSE(_xlfn.ARABIC($H37),MATCH(K37+1,'[1]Normy VP'!$C$25:$F$25,-1),MATCH(K37+1,'[1]Normy VP'!$C$26:$F$26,-1),MATCH(K37+1,'[1]Normy VP'!$C$27:$F$27,-1),MATCH(K37+1,'[1]Normy VP'!$C$28:$F$28,-1),MATCH(K37+1,'[1]Normy VP'!$C$29:$F$29,-1),"muž"),CHOOSE(_xlfn.ARABIC($H37),MATCH(K37+1,'[1]Normy VP'!$C$10:$F$10,-1),MATCH(K37+1,'[1]Normy VP'!$C$11:$F$11,-1),MATCH(K37+1,'[1]Normy VP'!$C$12:$F$12,-1),MATCH(K37+1,'[1]Normy VP'!$C$13:$F$13,-1),MATCH(K37+1,'[1]Normy VP'!$C$14:$F$14,-1),""))),"O")</f>
        <v/>
      </c>
      <c r="Q37" s="24" t="str">
        <f>IF(OR($J37="",$J37="odešel"),IF($F37="žena","",IF(L37="","",(CHOOSE(_xlfn.ARABIC($H37),MATCH(L37+1,'[1]Normy VP'!$G$10:$J$10,-1),MATCH(L37+1,'[1]Normy VP'!$G$11:$J$11,-1),MATCH(L37+1,'[1]Normy VP'!$G$12:$J$12,-1),MATCH(L37+1,'[1]Normy VP'!$G$13:$J$13,-1),MATCH(L37+1,'[1]Normy VP'!$G$14:$J$14,-1),"")))),"O")</f>
        <v/>
      </c>
      <c r="R37" s="34" t="str">
        <f t="shared" si="1"/>
        <v>N</v>
      </c>
      <c r="S37" s="24" t="str">
        <f>IF(OR($J37="",$J37="odešel"),IF(M37="","N",IF($F37="žena",CHOOSE(_xlfn.ARABIC($H37),MATCH(M37+1,'[1]Normy VP'!$G$25:$J$25,-1),MATCH(M37+1,'[1]Normy VP'!$G$26:$J$26,-1),MATCH(M37+1,'[1]Normy VP'!$G$27:$J$27,-1),MATCH(M37+1,'[1]Normy VP'!$G$28:$J$28,-1),MATCH(M37+1,'[1]Normy VP'!$G$29:$J$29,-1),"muž"),(CHOOSE(_xlfn.ARABIC($H37),MATCH(M37+1,'[1]Normy VP'!$K$10:$N$10,-1),MATCH(M37+1,'[1]Normy VP'!$K$11:$N$11,-1),MATCH(M37+1,'[1]Normy VP'!$K$12:$N$12,-1),MATCH(M37+1,'[1]Normy VP'!$K$13:$N$13,-1),MATCH(M37+1,'[1]Normy VP'!$K$14:$N$14,-1),"")))),"O")</f>
        <v>N</v>
      </c>
      <c r="T37" s="34" t="str">
        <f t="shared" si="2"/>
        <v>N</v>
      </c>
      <c r="U37" s="24" t="str">
        <f>IF(OR($J37="",$J37="odešel"),IF(N37="","N",IF($F37="žena",CHOOSE(_xlfn.ARABIC($H37),MATCH(N37+1,'[1]Normy VP'!$K$25:$N$25,-1),MATCH(N37+1,'[1]Normy VP'!$K$26:$N$26,-1),MATCH(N37+1,'[1]Normy VP'!$K$27:$N$27,-1),MATCH(N37+1,'[1]Normy VP'!$K$28:$N$28,-1),MATCH(N37+1,'[1]Normy VP'!$K$29:$N$29,-1),MATCH(N37+1,'[1]Normy VP'!$K$30:$N$30,-1)),CHOOSE(_xlfn.ARABIC($H37),MATCH(N37+1,'[1]Normy VP'!$O$10:$R$10,-1),MATCH(N37+1,'[1]Normy VP'!$O$11:$R$11,-1),MATCH(N37+1,'[1]Normy VP'!$O$12:$R$12,-1),MATCH(N37+1,'[1]Normy VP'!$O$13:$R$13,-1),MATCH(N37+1,'[1]Normy VP'!$O$14:$R$14,-1),MATCH(N37+1,'[1]Normy VP'!$O$15:$R$15,-1)))),"O")</f>
        <v>N</v>
      </c>
      <c r="V37" s="26" t="str">
        <f>IF(OR($J37="",$J37="odešel"),IF(O37="","N",IF($F37="žena",CHOOSE(_xlfn.ARABIC($H37),MATCH(O37-1,'[1]Normy VP'!$O$25:$R$25),MATCH(O37-1,'[1]Normy VP'!$O$26:$R$26),MATCH(O37-1,'[1]Normy VP'!$O$27:$R$27),MATCH(O37-1,'[1]Normy VP'!$O$28:$R$28),MATCH(O37-1,'[1]Normy VP'!$O$29:$R$29),MATCH(O37-1,'[1]Normy VP'!$O$30:$R$30)),CHOOSE(_xlfn.ARABIC($H37),MATCH(O37-1,'[1]Normy VP'!$S$10:$V$10),MATCH(O37-1,'[1]Normy VP'!$S$11:$V$11),MATCH(O37-1,'[1]Normy VP'!$S$12:$V$12),MATCH(O37-1,'[1]Normy VP'!$S$13:$V$13),MATCH(O37-1,'[1]Normy VP'!$S$14:$V$14),MATCH(O37-1,'[1]Normy VP'!$S$15:$V$15)))),"O")</f>
        <v>N</v>
      </c>
      <c r="W37" s="34" t="str">
        <f t="shared" si="3"/>
        <v>N</v>
      </c>
      <c r="X37" s="27" t="str">
        <f>IF(COUNTIF(B37:G37,"")&gt;0,"",IF(COUNTIF([1]PP!$A:$A,A37)=0,"neni v PP",IF(OR(Y37="odešel",VLOOKUP(A37,[1]PP!$A:$W,22,FALSE)="odešel"),"odešel",IF(OR(Y37="N",VLOOKUP(A37,[1]PP!$A:$W,22,FALSE)="N"),"N",IF(OR(Y37="C",VLOOKUP(A37,[1]PP!$A:$W,22,FALSE)="C"),"C",IF(OR(Y37="DZO",VLOOKUP(A37,[1]PP!$A:$W,22,FALSE)="DZO"),"DZO",IF(OR(Y37="mise",Y37="disp.",Y37="končí",Y37="DSC",VLOOKUP(A37,[1]PP!$A:$W,22,FALSE)="mise",VLOOKUP(A37,[1]PP!$A:$W,22,FALSE)="disp.",VLOOKUP(A37,[1]PP!$A:$W,22,FALSE)="končí",VLOOKUP(A37,[1]PP!$A:$W,22,FALSE)="DSC"),"jiné",IF(OR(Y37=4,VLOOKUP(A37,[1]PP!$A:$W,22,FALSE)=4),4,IF(OR(Y37=3,VLOOKUP(A37,[1]PP!$A:$W,22,FALSE)=3),3,IF(OR(Y37=2,VLOOKUP(A37,[1]PP!$A:$W,22,FALSE)=2),2,IF(AND(Y37=1,VLOOKUP(A37,[1]PP!$A:$W,22,FALSE)=1),1)))))))))))</f>
        <v/>
      </c>
      <c r="Y37" s="28" t="str">
        <f>IF(COUNTIF(B37:G37,"")&gt;0,"",IF(COUNTIF([1]PP!$A:$A,A37)=0,"neni v PP",IF(VLOOKUP(A37,[1]PP!$A:$W,8,FALSE)="odešel","odešel",IF(F37="","",IF(J37="",IF(OR(T37=4,W37=4),4,IF(AND(T37="N",W37="N"),"N",IF(OR(T37="N",W37="N"),4,ROUND(AVERAGE(T37,W37),0)))),J37)))))</f>
        <v/>
      </c>
      <c r="Z37" s="29" t="str">
        <f>IF(COUNTIF(B37:G37,"")=0,IF(X37="neni v PP",CONCATENATE("ID: &lt;",A37,"&gt; se neshoduje s žádným IDem v kartě PP"),IF(COUNTIF($A:$A,A37)&gt;1,CONCATENATE("ID: &lt;",A37,"&gt; se v kartě VP opakuje. Je nutné tyto IDy od sebe odlišit, např. mezerou za příjmením."),IF(COUNTIF([1]PP!A:A,A37)&gt;1,CONCATENATE("ID: &lt;",A37,"&gt; se v kartě PP opakuje. Je nutné tyto IDy od sebe odlišit, např. mezerou za příjmením."),IF(VLOOKUP(A37,[1]PP!$A:$W,5,FALSE)&lt;&gt;E37,CONCATENATE($E$4," &lt;",E37,"&gt; se neshoduje s jednotkou v kartě PP"," &lt;",VLOOKUP(A37,[1]PP!$A:$W,5,FALSE),"&gt;"),IF(AND(COUNTIF(K37:O37,"")&lt;5,J37="",I37=""),CONCATENATE("Doplň: ",$I$4),IF(AND(YEAR(I37)&lt;&gt;$E$2,COUNTIF(I37,"")=0),CONCATENATE("špatně uveden &lt;",$D$2,"&gt; nebo &lt;",$I$4,"&gt;"),IF(OR(AND(OR(COUNTIF(C37,"*a"),COUNTIF(C37,"*ie"),COUNTIF(C37,"*ine"),COUNTIF(D37,"*Á")),F37="muž"),AND(AND(COUNTIF(C37,"&lt;&gt;"&amp;"*a"),COUNTIF(C37,"&lt;&gt;"&amp;"*ie"),COUNTIF(C37,"&lt;&gt;"&amp;"*ine"),COUNTIF(D37,"&lt;&gt;"&amp;"*Á")),F37="žena")),CONCATENATE(C37," ",D37," je ",F37,"?"),""))))))),IF(COUNTIF(B37:O37,"")=14,"",CONCATENATE("Doplň: ",IF(B37="",CONCATENATE($B$4,IF(COUNTIF(C37:G37,"")=0,"",", ")),""),IF(C37="",CONCATENATE($C$4,IF(COUNTIF(D37:G37,"")=0,"",", ")),""),IF(D37="",CONCATENATE($D$4,IF(COUNTIF(E37:G37,"")=0,"",", ")),""),IF(E37="",CONCATENATE($E$4,IF(COUNTIF(F37:G37,"")=0,"",", ")),""),IF(F37="",CONCATENATE($F$4,IF(G37="",", ","")),""),IF(G37="",$G$4,""))))</f>
        <v/>
      </c>
      <c r="AA37" s="30"/>
    </row>
    <row r="38" spans="1:27" ht="16" x14ac:dyDescent="0.35">
      <c r="A38" s="14" t="str">
        <f t="shared" si="0"/>
        <v xml:space="preserve">  </v>
      </c>
      <c r="B38" s="15"/>
      <c r="C38" s="31"/>
      <c r="D38" s="31"/>
      <c r="E38" s="17"/>
      <c r="F38" s="18"/>
      <c r="G38" s="32"/>
      <c r="H38" s="33" t="str">
        <f>IF(G38="","",IF(F38="žena",ROMAN(MATCH(G38+1,'[1]Normy VP'!$Y$27:$Y$33,-1)),ROMAN(MATCH(G38+1,'[1]Normy VP'!$Y$19:$Y$25,-1))))</f>
        <v/>
      </c>
      <c r="I38" s="21"/>
      <c r="J38" s="22"/>
      <c r="K38" s="23"/>
      <c r="L38" s="23"/>
      <c r="M38" s="23"/>
      <c r="N38" s="22"/>
      <c r="O38" s="22"/>
      <c r="P38" s="24" t="str">
        <f>IF(OR($J38="",$J38="odešel"),IF(K38="","",IF($F38="žena",CHOOSE(_xlfn.ARABIC($H38),MATCH(K38+1,'[1]Normy VP'!$C$25:$F$25,-1),MATCH(K38+1,'[1]Normy VP'!$C$26:$F$26,-1),MATCH(K38+1,'[1]Normy VP'!$C$27:$F$27,-1),MATCH(K38+1,'[1]Normy VP'!$C$28:$F$28,-1),MATCH(K38+1,'[1]Normy VP'!$C$29:$F$29,-1),"muž"),CHOOSE(_xlfn.ARABIC($H38),MATCH(K38+1,'[1]Normy VP'!$C$10:$F$10,-1),MATCH(K38+1,'[1]Normy VP'!$C$11:$F$11,-1),MATCH(K38+1,'[1]Normy VP'!$C$12:$F$12,-1),MATCH(K38+1,'[1]Normy VP'!$C$13:$F$13,-1),MATCH(K38+1,'[1]Normy VP'!$C$14:$F$14,-1),""))),"O")</f>
        <v/>
      </c>
      <c r="Q38" s="24" t="str">
        <f>IF(OR($J38="",$J38="odešel"),IF($F38="žena","",IF(L38="","",(CHOOSE(_xlfn.ARABIC($H38),MATCH(L38+1,'[1]Normy VP'!$G$10:$J$10,-1),MATCH(L38+1,'[1]Normy VP'!$G$11:$J$11,-1),MATCH(L38+1,'[1]Normy VP'!$G$12:$J$12,-1),MATCH(L38+1,'[1]Normy VP'!$G$13:$J$13,-1),MATCH(L38+1,'[1]Normy VP'!$G$14:$J$14,-1),"")))),"O")</f>
        <v/>
      </c>
      <c r="R38" s="34" t="str">
        <f t="shared" si="1"/>
        <v>N</v>
      </c>
      <c r="S38" s="24" t="str">
        <f>IF(OR($J38="",$J38="odešel"),IF(M38="","N",IF($F38="žena",CHOOSE(_xlfn.ARABIC($H38),MATCH(M38+1,'[1]Normy VP'!$G$25:$J$25,-1),MATCH(M38+1,'[1]Normy VP'!$G$26:$J$26,-1),MATCH(M38+1,'[1]Normy VP'!$G$27:$J$27,-1),MATCH(M38+1,'[1]Normy VP'!$G$28:$J$28,-1),MATCH(M38+1,'[1]Normy VP'!$G$29:$J$29,-1),"muž"),(CHOOSE(_xlfn.ARABIC($H38),MATCH(M38+1,'[1]Normy VP'!$K$10:$N$10,-1),MATCH(M38+1,'[1]Normy VP'!$K$11:$N$11,-1),MATCH(M38+1,'[1]Normy VP'!$K$12:$N$12,-1),MATCH(M38+1,'[1]Normy VP'!$K$13:$N$13,-1),MATCH(M38+1,'[1]Normy VP'!$K$14:$N$14,-1),"")))),"O")</f>
        <v>N</v>
      </c>
      <c r="T38" s="34" t="str">
        <f t="shared" si="2"/>
        <v>N</v>
      </c>
      <c r="U38" s="24" t="str">
        <f>IF(OR($J38="",$J38="odešel"),IF(N38="","N",IF($F38="žena",CHOOSE(_xlfn.ARABIC($H38),MATCH(N38+1,'[1]Normy VP'!$K$25:$N$25,-1),MATCH(N38+1,'[1]Normy VP'!$K$26:$N$26,-1),MATCH(N38+1,'[1]Normy VP'!$K$27:$N$27,-1),MATCH(N38+1,'[1]Normy VP'!$K$28:$N$28,-1),MATCH(N38+1,'[1]Normy VP'!$K$29:$N$29,-1),MATCH(N38+1,'[1]Normy VP'!$K$30:$N$30,-1)),CHOOSE(_xlfn.ARABIC($H38),MATCH(N38+1,'[1]Normy VP'!$O$10:$R$10,-1),MATCH(N38+1,'[1]Normy VP'!$O$11:$R$11,-1),MATCH(N38+1,'[1]Normy VP'!$O$12:$R$12,-1),MATCH(N38+1,'[1]Normy VP'!$O$13:$R$13,-1),MATCH(N38+1,'[1]Normy VP'!$O$14:$R$14,-1),MATCH(N38+1,'[1]Normy VP'!$O$15:$R$15,-1)))),"O")</f>
        <v>N</v>
      </c>
      <c r="V38" s="26" t="str">
        <f>IF(OR($J38="",$J38="odešel"),IF(O38="","N",IF($F38="žena",CHOOSE(_xlfn.ARABIC($H38),MATCH(O38-1,'[1]Normy VP'!$O$25:$R$25),MATCH(O38-1,'[1]Normy VP'!$O$26:$R$26),MATCH(O38-1,'[1]Normy VP'!$O$27:$R$27),MATCH(O38-1,'[1]Normy VP'!$O$28:$R$28),MATCH(O38-1,'[1]Normy VP'!$O$29:$R$29),MATCH(O38-1,'[1]Normy VP'!$O$30:$R$30)),CHOOSE(_xlfn.ARABIC($H38),MATCH(O38-1,'[1]Normy VP'!$S$10:$V$10),MATCH(O38-1,'[1]Normy VP'!$S$11:$V$11),MATCH(O38-1,'[1]Normy VP'!$S$12:$V$12),MATCH(O38-1,'[1]Normy VP'!$S$13:$V$13),MATCH(O38-1,'[1]Normy VP'!$S$14:$V$14),MATCH(O38-1,'[1]Normy VP'!$S$15:$V$15)))),"O")</f>
        <v>N</v>
      </c>
      <c r="W38" s="34" t="str">
        <f t="shared" si="3"/>
        <v>N</v>
      </c>
      <c r="X38" s="27" t="str">
        <f>IF(COUNTIF(B38:G38,"")&gt;0,"",IF(COUNTIF([1]PP!$A:$A,A38)=0,"neni v PP",IF(OR(Y38="odešel",VLOOKUP(A38,[1]PP!$A:$W,22,FALSE)="odešel"),"odešel",IF(OR(Y38="N",VLOOKUP(A38,[1]PP!$A:$W,22,FALSE)="N"),"N",IF(OR(Y38="C",VLOOKUP(A38,[1]PP!$A:$W,22,FALSE)="C"),"C",IF(OR(Y38="DZO",VLOOKUP(A38,[1]PP!$A:$W,22,FALSE)="DZO"),"DZO",IF(OR(Y38="mise",Y38="disp.",Y38="končí",Y38="DSC",VLOOKUP(A38,[1]PP!$A:$W,22,FALSE)="mise",VLOOKUP(A38,[1]PP!$A:$W,22,FALSE)="disp.",VLOOKUP(A38,[1]PP!$A:$W,22,FALSE)="končí",VLOOKUP(A38,[1]PP!$A:$W,22,FALSE)="DSC"),"jiné",IF(OR(Y38=4,VLOOKUP(A38,[1]PP!$A:$W,22,FALSE)=4),4,IF(OR(Y38=3,VLOOKUP(A38,[1]PP!$A:$W,22,FALSE)=3),3,IF(OR(Y38=2,VLOOKUP(A38,[1]PP!$A:$W,22,FALSE)=2),2,IF(AND(Y38=1,VLOOKUP(A38,[1]PP!$A:$W,22,FALSE)=1),1)))))))))))</f>
        <v/>
      </c>
      <c r="Y38" s="28" t="str">
        <f>IF(COUNTIF(B38:G38,"")&gt;0,"",IF(COUNTIF([1]PP!$A:$A,A38)=0,"neni v PP",IF(VLOOKUP(A38,[1]PP!$A:$W,8,FALSE)="odešel","odešel",IF(F38="","",IF(J38="",IF(OR(T38=4,W38=4),4,IF(AND(T38="N",W38="N"),"N",IF(OR(T38="N",W38="N"),4,ROUND(AVERAGE(T38,W38),0)))),J38)))))</f>
        <v/>
      </c>
      <c r="Z38" s="29" t="str">
        <f>IF(COUNTIF(B38:G38,"")=0,IF(X38="neni v PP",CONCATENATE("ID: &lt;",A38,"&gt; se neshoduje s žádným IDem v kartě PP"),IF(COUNTIF($A:$A,A38)&gt;1,CONCATENATE("ID: &lt;",A38,"&gt; se v kartě VP opakuje. Je nutné tyto IDy od sebe odlišit, např. mezerou za příjmením."),IF(COUNTIF([1]PP!A:A,A38)&gt;1,CONCATENATE("ID: &lt;",A38,"&gt; se v kartě PP opakuje. Je nutné tyto IDy od sebe odlišit, např. mezerou za příjmením."),IF(VLOOKUP(A38,[1]PP!$A:$W,5,FALSE)&lt;&gt;E38,CONCATENATE($E$4," &lt;",E38,"&gt; se neshoduje s jednotkou v kartě PP"," &lt;",VLOOKUP(A38,[1]PP!$A:$W,5,FALSE),"&gt;"),IF(AND(COUNTIF(K38:O38,"")&lt;5,J38="",I38=""),CONCATENATE("Doplň: ",$I$4),IF(AND(YEAR(I38)&lt;&gt;$E$2,COUNTIF(I38,"")=0),CONCATENATE("špatně uveden &lt;",$D$2,"&gt; nebo &lt;",$I$4,"&gt;"),IF(OR(AND(OR(COUNTIF(C38,"*a"),COUNTIF(C38,"*ie"),COUNTIF(C38,"*ine"),COUNTIF(D38,"*Á")),F38="muž"),AND(AND(COUNTIF(C38,"&lt;&gt;"&amp;"*a"),COUNTIF(C38,"&lt;&gt;"&amp;"*ie"),COUNTIF(C38,"&lt;&gt;"&amp;"*ine"),COUNTIF(D38,"&lt;&gt;"&amp;"*Á")),F38="žena")),CONCATENATE(C38," ",D38," je ",F38,"?"),""))))))),IF(COUNTIF(B38:O38,"")=14,"",CONCATENATE("Doplň: ",IF(B38="",CONCATENATE($B$4,IF(COUNTIF(C38:G38,"")=0,"",", ")),""),IF(C38="",CONCATENATE($C$4,IF(COUNTIF(D38:G38,"")=0,"",", ")),""),IF(D38="",CONCATENATE($D$4,IF(COUNTIF(E38:G38,"")=0,"",", ")),""),IF(E38="",CONCATENATE($E$4,IF(COUNTIF(F38:G38,"")=0,"",", ")),""),IF(F38="",CONCATENATE($F$4,IF(G38="",", ","")),""),IF(G38="",$G$4,""))))</f>
        <v/>
      </c>
      <c r="AA38" s="30"/>
    </row>
    <row r="39" spans="1:27" ht="16" x14ac:dyDescent="0.35">
      <c r="A39" s="14" t="str">
        <f t="shared" si="0"/>
        <v xml:space="preserve">  </v>
      </c>
      <c r="B39" s="15"/>
      <c r="C39" s="31"/>
      <c r="D39" s="31"/>
      <c r="E39" s="17"/>
      <c r="F39" s="18"/>
      <c r="G39" s="32"/>
      <c r="H39" s="33" t="str">
        <f>IF(G39="","",IF(F39="žena",ROMAN(MATCH(G39+1,'[1]Normy VP'!$Y$27:$Y$33,-1)),ROMAN(MATCH(G39+1,'[1]Normy VP'!$Y$19:$Y$25,-1))))</f>
        <v/>
      </c>
      <c r="I39" s="21"/>
      <c r="J39" s="22"/>
      <c r="K39" s="23"/>
      <c r="L39" s="23"/>
      <c r="M39" s="23"/>
      <c r="N39" s="22"/>
      <c r="O39" s="22"/>
      <c r="P39" s="24" t="str">
        <f>IF(OR($J39="",$J39="odešel"),IF(K39="","",IF($F39="žena",CHOOSE(_xlfn.ARABIC($H39),MATCH(K39+1,'[1]Normy VP'!$C$25:$F$25,-1),MATCH(K39+1,'[1]Normy VP'!$C$26:$F$26,-1),MATCH(K39+1,'[1]Normy VP'!$C$27:$F$27,-1),MATCH(K39+1,'[1]Normy VP'!$C$28:$F$28,-1),MATCH(K39+1,'[1]Normy VP'!$C$29:$F$29,-1),"muž"),CHOOSE(_xlfn.ARABIC($H39),MATCH(K39+1,'[1]Normy VP'!$C$10:$F$10,-1),MATCH(K39+1,'[1]Normy VP'!$C$11:$F$11,-1),MATCH(K39+1,'[1]Normy VP'!$C$12:$F$12,-1),MATCH(K39+1,'[1]Normy VP'!$C$13:$F$13,-1),MATCH(K39+1,'[1]Normy VP'!$C$14:$F$14,-1),""))),"O")</f>
        <v/>
      </c>
      <c r="Q39" s="24" t="str">
        <f>IF(OR($J39="",$J39="odešel"),IF($F39="žena","",IF(L39="","",(CHOOSE(_xlfn.ARABIC($H39),MATCH(L39+1,'[1]Normy VP'!$G$10:$J$10,-1),MATCH(L39+1,'[1]Normy VP'!$G$11:$J$11,-1),MATCH(L39+1,'[1]Normy VP'!$G$12:$J$12,-1),MATCH(L39+1,'[1]Normy VP'!$G$13:$J$13,-1),MATCH(L39+1,'[1]Normy VP'!$G$14:$J$14,-1),"")))),"O")</f>
        <v/>
      </c>
      <c r="R39" s="34" t="str">
        <f t="shared" si="1"/>
        <v>N</v>
      </c>
      <c r="S39" s="24" t="str">
        <f>IF(OR($J39="",$J39="odešel"),IF(M39="","N",IF($F39="žena",CHOOSE(_xlfn.ARABIC($H39),MATCH(M39+1,'[1]Normy VP'!$G$25:$J$25,-1),MATCH(M39+1,'[1]Normy VP'!$G$26:$J$26,-1),MATCH(M39+1,'[1]Normy VP'!$G$27:$J$27,-1),MATCH(M39+1,'[1]Normy VP'!$G$28:$J$28,-1),MATCH(M39+1,'[1]Normy VP'!$G$29:$J$29,-1),"muž"),(CHOOSE(_xlfn.ARABIC($H39),MATCH(M39+1,'[1]Normy VP'!$K$10:$N$10,-1),MATCH(M39+1,'[1]Normy VP'!$K$11:$N$11,-1),MATCH(M39+1,'[1]Normy VP'!$K$12:$N$12,-1),MATCH(M39+1,'[1]Normy VP'!$K$13:$N$13,-1),MATCH(M39+1,'[1]Normy VP'!$K$14:$N$14,-1),"")))),"O")</f>
        <v>N</v>
      </c>
      <c r="T39" s="34" t="str">
        <f t="shared" si="2"/>
        <v>N</v>
      </c>
      <c r="U39" s="24" t="str">
        <f>IF(OR($J39="",$J39="odešel"),IF(N39="","N",IF($F39="žena",CHOOSE(_xlfn.ARABIC($H39),MATCH(N39+1,'[1]Normy VP'!$K$25:$N$25,-1),MATCH(N39+1,'[1]Normy VP'!$K$26:$N$26,-1),MATCH(N39+1,'[1]Normy VP'!$K$27:$N$27,-1),MATCH(N39+1,'[1]Normy VP'!$K$28:$N$28,-1),MATCH(N39+1,'[1]Normy VP'!$K$29:$N$29,-1),MATCH(N39+1,'[1]Normy VP'!$K$30:$N$30,-1)),CHOOSE(_xlfn.ARABIC($H39),MATCH(N39+1,'[1]Normy VP'!$O$10:$R$10,-1),MATCH(N39+1,'[1]Normy VP'!$O$11:$R$11,-1),MATCH(N39+1,'[1]Normy VP'!$O$12:$R$12,-1),MATCH(N39+1,'[1]Normy VP'!$O$13:$R$13,-1),MATCH(N39+1,'[1]Normy VP'!$O$14:$R$14,-1),MATCH(N39+1,'[1]Normy VP'!$O$15:$R$15,-1)))),"O")</f>
        <v>N</v>
      </c>
      <c r="V39" s="26" t="str">
        <f>IF(OR($J39="",$J39="odešel"),IF(O39="","N",IF($F39="žena",CHOOSE(_xlfn.ARABIC($H39),MATCH(O39-1,'[1]Normy VP'!$O$25:$R$25),MATCH(O39-1,'[1]Normy VP'!$O$26:$R$26),MATCH(O39-1,'[1]Normy VP'!$O$27:$R$27),MATCH(O39-1,'[1]Normy VP'!$O$28:$R$28),MATCH(O39-1,'[1]Normy VP'!$O$29:$R$29),MATCH(O39-1,'[1]Normy VP'!$O$30:$R$30)),CHOOSE(_xlfn.ARABIC($H39),MATCH(O39-1,'[1]Normy VP'!$S$10:$V$10),MATCH(O39-1,'[1]Normy VP'!$S$11:$V$11),MATCH(O39-1,'[1]Normy VP'!$S$12:$V$12),MATCH(O39-1,'[1]Normy VP'!$S$13:$V$13),MATCH(O39-1,'[1]Normy VP'!$S$14:$V$14),MATCH(O39-1,'[1]Normy VP'!$S$15:$V$15)))),"O")</f>
        <v>N</v>
      </c>
      <c r="W39" s="34" t="str">
        <f t="shared" si="3"/>
        <v>N</v>
      </c>
      <c r="X39" s="27" t="str">
        <f>IF(COUNTIF(B39:G39,"")&gt;0,"",IF(COUNTIF([1]PP!$A:$A,A39)=0,"neni v PP",IF(OR(Y39="odešel",VLOOKUP(A39,[1]PP!$A:$W,22,FALSE)="odešel"),"odešel",IF(OR(Y39="N",VLOOKUP(A39,[1]PP!$A:$W,22,FALSE)="N"),"N",IF(OR(Y39="C",VLOOKUP(A39,[1]PP!$A:$W,22,FALSE)="C"),"C",IF(OR(Y39="DZO",VLOOKUP(A39,[1]PP!$A:$W,22,FALSE)="DZO"),"DZO",IF(OR(Y39="mise",Y39="disp.",Y39="končí",Y39="DSC",VLOOKUP(A39,[1]PP!$A:$W,22,FALSE)="mise",VLOOKUP(A39,[1]PP!$A:$W,22,FALSE)="disp.",VLOOKUP(A39,[1]PP!$A:$W,22,FALSE)="končí",VLOOKUP(A39,[1]PP!$A:$W,22,FALSE)="DSC"),"jiné",IF(OR(Y39=4,VLOOKUP(A39,[1]PP!$A:$W,22,FALSE)=4),4,IF(OR(Y39=3,VLOOKUP(A39,[1]PP!$A:$W,22,FALSE)=3),3,IF(OR(Y39=2,VLOOKUP(A39,[1]PP!$A:$W,22,FALSE)=2),2,IF(AND(Y39=1,VLOOKUP(A39,[1]PP!$A:$W,22,FALSE)=1),1)))))))))))</f>
        <v/>
      </c>
      <c r="Y39" s="28" t="str">
        <f>IF(COUNTIF(B39:G39,"")&gt;0,"",IF(COUNTIF([1]PP!$A:$A,A39)=0,"neni v PP",IF(VLOOKUP(A39,[1]PP!$A:$W,8,FALSE)="odešel","odešel",IF(F39="","",IF(J39="",IF(OR(T39=4,W39=4),4,IF(AND(T39="N",W39="N"),"N",IF(OR(T39="N",W39="N"),4,ROUND(AVERAGE(T39,W39),0)))),J39)))))</f>
        <v/>
      </c>
      <c r="Z39" s="29" t="str">
        <f>IF(COUNTIF(B39:G39,"")=0,IF(X39="neni v PP",CONCATENATE("ID: &lt;",A39,"&gt; se neshoduje s žádným IDem v kartě PP"),IF(COUNTIF($A:$A,A39)&gt;1,CONCATENATE("ID: &lt;",A39,"&gt; se v kartě VP opakuje. Je nutné tyto IDy od sebe odlišit, např. mezerou za příjmením."),IF(COUNTIF([1]PP!A:A,A39)&gt;1,CONCATENATE("ID: &lt;",A39,"&gt; se v kartě PP opakuje. Je nutné tyto IDy od sebe odlišit, např. mezerou za příjmením."),IF(VLOOKUP(A39,[1]PP!$A:$W,5,FALSE)&lt;&gt;E39,CONCATENATE($E$4," &lt;",E39,"&gt; se neshoduje s jednotkou v kartě PP"," &lt;",VLOOKUP(A39,[1]PP!$A:$W,5,FALSE),"&gt;"),IF(AND(COUNTIF(K39:O39,"")&lt;5,J39="",I39=""),CONCATENATE("Doplň: ",$I$4),IF(AND(YEAR(I39)&lt;&gt;$E$2,COUNTIF(I39,"")=0),CONCATENATE("špatně uveden &lt;",$D$2,"&gt; nebo &lt;",$I$4,"&gt;"),IF(OR(AND(OR(COUNTIF(C39,"*a"),COUNTIF(C39,"*ie"),COUNTIF(C39,"*ine"),COUNTIF(D39,"*Á")),F39="muž"),AND(AND(COUNTIF(C39,"&lt;&gt;"&amp;"*a"),COUNTIF(C39,"&lt;&gt;"&amp;"*ie"),COUNTIF(C39,"&lt;&gt;"&amp;"*ine"),COUNTIF(D39,"&lt;&gt;"&amp;"*Á")),F39="žena")),CONCATENATE(C39," ",D39," je ",F39,"?"),""))))))),IF(COUNTIF(B39:O39,"")=14,"",CONCATENATE("Doplň: ",IF(B39="",CONCATENATE($B$4,IF(COUNTIF(C39:G39,"")=0,"",", ")),""),IF(C39="",CONCATENATE($C$4,IF(COUNTIF(D39:G39,"")=0,"",", ")),""),IF(D39="",CONCATENATE($D$4,IF(COUNTIF(E39:G39,"")=0,"",", ")),""),IF(E39="",CONCATENATE($E$4,IF(COUNTIF(F39:G39,"")=0,"",", ")),""),IF(F39="",CONCATENATE($F$4,IF(G39="",", ","")),""),IF(G39="",$G$4,""))))</f>
        <v/>
      </c>
      <c r="AA39" s="30"/>
    </row>
    <row r="40" spans="1:27" ht="16" x14ac:dyDescent="0.35">
      <c r="A40" s="14" t="str">
        <f t="shared" si="0"/>
        <v xml:space="preserve">  </v>
      </c>
      <c r="B40" s="15"/>
      <c r="C40" s="31"/>
      <c r="D40" s="31"/>
      <c r="E40" s="17"/>
      <c r="F40" s="18"/>
      <c r="G40" s="32"/>
      <c r="H40" s="33" t="str">
        <f>IF(G40="","",IF(F40="žena",ROMAN(MATCH(G40+1,'[1]Normy VP'!$Y$27:$Y$33,-1)),ROMAN(MATCH(G40+1,'[1]Normy VP'!$Y$19:$Y$25,-1))))</f>
        <v/>
      </c>
      <c r="I40" s="21"/>
      <c r="J40" s="22"/>
      <c r="K40" s="23"/>
      <c r="L40" s="23"/>
      <c r="M40" s="23"/>
      <c r="N40" s="22"/>
      <c r="O40" s="22"/>
      <c r="P40" s="24" t="str">
        <f>IF(OR($J40="",$J40="odešel"),IF(K40="","",IF($F40="žena",CHOOSE(_xlfn.ARABIC($H40),MATCH(K40+1,'[1]Normy VP'!$C$25:$F$25,-1),MATCH(K40+1,'[1]Normy VP'!$C$26:$F$26,-1),MATCH(K40+1,'[1]Normy VP'!$C$27:$F$27,-1),MATCH(K40+1,'[1]Normy VP'!$C$28:$F$28,-1),MATCH(K40+1,'[1]Normy VP'!$C$29:$F$29,-1),"muž"),CHOOSE(_xlfn.ARABIC($H40),MATCH(K40+1,'[1]Normy VP'!$C$10:$F$10,-1),MATCH(K40+1,'[1]Normy VP'!$C$11:$F$11,-1),MATCH(K40+1,'[1]Normy VP'!$C$12:$F$12,-1),MATCH(K40+1,'[1]Normy VP'!$C$13:$F$13,-1),MATCH(K40+1,'[1]Normy VP'!$C$14:$F$14,-1),""))),"O")</f>
        <v/>
      </c>
      <c r="Q40" s="24" t="str">
        <f>IF(OR($J40="",$J40="odešel"),IF($F40="žena","",IF(L40="","",(CHOOSE(_xlfn.ARABIC($H40),MATCH(L40+1,'[1]Normy VP'!$G$10:$J$10,-1),MATCH(L40+1,'[1]Normy VP'!$G$11:$J$11,-1),MATCH(L40+1,'[1]Normy VP'!$G$12:$J$12,-1),MATCH(L40+1,'[1]Normy VP'!$G$13:$J$13,-1),MATCH(L40+1,'[1]Normy VP'!$G$14:$J$14,-1),"")))),"O")</f>
        <v/>
      </c>
      <c r="R40" s="34" t="str">
        <f t="shared" si="1"/>
        <v>N</v>
      </c>
      <c r="S40" s="24" t="str">
        <f>IF(OR($J40="",$J40="odešel"),IF(M40="","N",IF($F40="žena",CHOOSE(_xlfn.ARABIC($H40),MATCH(M40+1,'[1]Normy VP'!$G$25:$J$25,-1),MATCH(M40+1,'[1]Normy VP'!$G$26:$J$26,-1),MATCH(M40+1,'[1]Normy VP'!$G$27:$J$27,-1),MATCH(M40+1,'[1]Normy VP'!$G$28:$J$28,-1),MATCH(M40+1,'[1]Normy VP'!$G$29:$J$29,-1),"muž"),(CHOOSE(_xlfn.ARABIC($H40),MATCH(M40+1,'[1]Normy VP'!$K$10:$N$10,-1),MATCH(M40+1,'[1]Normy VP'!$K$11:$N$11,-1),MATCH(M40+1,'[1]Normy VP'!$K$12:$N$12,-1),MATCH(M40+1,'[1]Normy VP'!$K$13:$N$13,-1),MATCH(M40+1,'[1]Normy VP'!$K$14:$N$14,-1),"")))),"O")</f>
        <v>N</v>
      </c>
      <c r="T40" s="34" t="str">
        <f t="shared" si="2"/>
        <v>N</v>
      </c>
      <c r="U40" s="24" t="str">
        <f>IF(OR($J40="",$J40="odešel"),IF(N40="","N",IF($F40="žena",CHOOSE(_xlfn.ARABIC($H40),MATCH(N40+1,'[1]Normy VP'!$K$25:$N$25,-1),MATCH(N40+1,'[1]Normy VP'!$K$26:$N$26,-1),MATCH(N40+1,'[1]Normy VP'!$K$27:$N$27,-1),MATCH(N40+1,'[1]Normy VP'!$K$28:$N$28,-1),MATCH(N40+1,'[1]Normy VP'!$K$29:$N$29,-1),MATCH(N40+1,'[1]Normy VP'!$K$30:$N$30,-1)),CHOOSE(_xlfn.ARABIC($H40),MATCH(N40+1,'[1]Normy VP'!$O$10:$R$10,-1),MATCH(N40+1,'[1]Normy VP'!$O$11:$R$11,-1),MATCH(N40+1,'[1]Normy VP'!$O$12:$R$12,-1),MATCH(N40+1,'[1]Normy VP'!$O$13:$R$13,-1),MATCH(N40+1,'[1]Normy VP'!$O$14:$R$14,-1),MATCH(N40+1,'[1]Normy VP'!$O$15:$R$15,-1)))),"O")</f>
        <v>N</v>
      </c>
      <c r="V40" s="26" t="str">
        <f>IF(OR($J40="",$J40="odešel"),IF(O40="","N",IF($F40="žena",CHOOSE(_xlfn.ARABIC($H40),MATCH(O40-1,'[1]Normy VP'!$O$25:$R$25),MATCH(O40-1,'[1]Normy VP'!$O$26:$R$26),MATCH(O40-1,'[1]Normy VP'!$O$27:$R$27),MATCH(O40-1,'[1]Normy VP'!$O$28:$R$28),MATCH(O40-1,'[1]Normy VP'!$O$29:$R$29),MATCH(O40-1,'[1]Normy VP'!$O$30:$R$30)),CHOOSE(_xlfn.ARABIC($H40),MATCH(O40-1,'[1]Normy VP'!$S$10:$V$10),MATCH(O40-1,'[1]Normy VP'!$S$11:$V$11),MATCH(O40-1,'[1]Normy VP'!$S$12:$V$12),MATCH(O40-1,'[1]Normy VP'!$S$13:$V$13),MATCH(O40-1,'[1]Normy VP'!$S$14:$V$14),MATCH(O40-1,'[1]Normy VP'!$S$15:$V$15)))),"O")</f>
        <v>N</v>
      </c>
      <c r="W40" s="34" t="str">
        <f t="shared" si="3"/>
        <v>N</v>
      </c>
      <c r="X40" s="27" t="str">
        <f>IF(COUNTIF(B40:G40,"")&gt;0,"",IF(COUNTIF([1]PP!$A:$A,A40)=0,"neni v PP",IF(OR(Y40="odešel",VLOOKUP(A40,[1]PP!$A:$W,22,FALSE)="odešel"),"odešel",IF(OR(Y40="N",VLOOKUP(A40,[1]PP!$A:$W,22,FALSE)="N"),"N",IF(OR(Y40="C",VLOOKUP(A40,[1]PP!$A:$W,22,FALSE)="C"),"C",IF(OR(Y40="DZO",VLOOKUP(A40,[1]PP!$A:$W,22,FALSE)="DZO"),"DZO",IF(OR(Y40="mise",Y40="disp.",Y40="končí",Y40="DSC",VLOOKUP(A40,[1]PP!$A:$W,22,FALSE)="mise",VLOOKUP(A40,[1]PP!$A:$W,22,FALSE)="disp.",VLOOKUP(A40,[1]PP!$A:$W,22,FALSE)="končí",VLOOKUP(A40,[1]PP!$A:$W,22,FALSE)="DSC"),"jiné",IF(OR(Y40=4,VLOOKUP(A40,[1]PP!$A:$W,22,FALSE)=4),4,IF(OR(Y40=3,VLOOKUP(A40,[1]PP!$A:$W,22,FALSE)=3),3,IF(OR(Y40=2,VLOOKUP(A40,[1]PP!$A:$W,22,FALSE)=2),2,IF(AND(Y40=1,VLOOKUP(A40,[1]PP!$A:$W,22,FALSE)=1),1)))))))))))</f>
        <v/>
      </c>
      <c r="Y40" s="28" t="str">
        <f>IF(COUNTIF(B40:G40,"")&gt;0,"",IF(COUNTIF([1]PP!$A:$A,A40)=0,"neni v PP",IF(VLOOKUP(A40,[1]PP!$A:$W,8,FALSE)="odešel","odešel",IF(F40="","",IF(J40="",IF(OR(T40=4,W40=4),4,IF(AND(T40="N",W40="N"),"N",IF(OR(T40="N",W40="N"),4,ROUND(AVERAGE(T40,W40),0)))),J40)))))</f>
        <v/>
      </c>
      <c r="Z40" s="29" t="str">
        <f>IF(COUNTIF(B40:G40,"")=0,IF(X40="neni v PP",CONCATENATE("ID: &lt;",A40,"&gt; se neshoduje s žádným IDem v kartě PP"),IF(COUNTIF($A:$A,A40)&gt;1,CONCATENATE("ID: &lt;",A40,"&gt; se v kartě VP opakuje. Je nutné tyto IDy od sebe odlišit, např. mezerou za příjmením."),IF(COUNTIF([1]PP!A:A,A40)&gt;1,CONCATENATE("ID: &lt;",A40,"&gt; se v kartě PP opakuje. Je nutné tyto IDy od sebe odlišit, např. mezerou za příjmením."),IF(VLOOKUP(A40,[1]PP!$A:$W,5,FALSE)&lt;&gt;E40,CONCATENATE($E$4," &lt;",E40,"&gt; se neshoduje s jednotkou v kartě PP"," &lt;",VLOOKUP(A40,[1]PP!$A:$W,5,FALSE),"&gt;"),IF(AND(COUNTIF(K40:O40,"")&lt;5,J40="",I40=""),CONCATENATE("Doplň: ",$I$4),IF(AND(YEAR(I40)&lt;&gt;$E$2,COUNTIF(I40,"")=0),CONCATENATE("špatně uveden &lt;",$D$2,"&gt; nebo &lt;",$I$4,"&gt;"),IF(OR(AND(OR(COUNTIF(C40,"*a"),COUNTIF(C40,"*ie"),COUNTIF(C40,"*ine"),COUNTIF(D40,"*Á")),F40="muž"),AND(AND(COUNTIF(C40,"&lt;&gt;"&amp;"*a"),COUNTIF(C40,"&lt;&gt;"&amp;"*ie"),COUNTIF(C40,"&lt;&gt;"&amp;"*ine"),COUNTIF(D40,"&lt;&gt;"&amp;"*Á")),F40="žena")),CONCATENATE(C40," ",D40," je ",F40,"?"),""))))))),IF(COUNTIF(B40:O40,"")=14,"",CONCATENATE("Doplň: ",IF(B40="",CONCATENATE($B$4,IF(COUNTIF(C40:G40,"")=0,"",", ")),""),IF(C40="",CONCATENATE($C$4,IF(COUNTIF(D40:G40,"")=0,"",", ")),""),IF(D40="",CONCATENATE($D$4,IF(COUNTIF(E40:G40,"")=0,"",", ")),""),IF(E40="",CONCATENATE($E$4,IF(COUNTIF(F40:G40,"")=0,"",", ")),""),IF(F40="",CONCATENATE($F$4,IF(G40="",", ","")),""),IF(G40="",$G$4,""))))</f>
        <v/>
      </c>
      <c r="AA40" s="30"/>
    </row>
    <row r="41" spans="1:27" ht="16" x14ac:dyDescent="0.35">
      <c r="A41" s="14" t="str">
        <f t="shared" si="0"/>
        <v xml:space="preserve">  </v>
      </c>
      <c r="B41" s="15"/>
      <c r="C41" s="31"/>
      <c r="D41" s="31"/>
      <c r="E41" s="17"/>
      <c r="F41" s="18"/>
      <c r="G41" s="32"/>
      <c r="H41" s="33" t="str">
        <f>IF(G41="","",IF(F41="žena",ROMAN(MATCH(G41+1,'[1]Normy VP'!$Y$27:$Y$33,-1)),ROMAN(MATCH(G41+1,'[1]Normy VP'!$Y$19:$Y$25,-1))))</f>
        <v/>
      </c>
      <c r="I41" s="21"/>
      <c r="J41" s="22"/>
      <c r="K41" s="23"/>
      <c r="L41" s="23"/>
      <c r="M41" s="23"/>
      <c r="N41" s="22"/>
      <c r="O41" s="22"/>
      <c r="P41" s="24" t="str">
        <f>IF(OR($J41="",$J41="odešel"),IF(K41="","",IF($F41="žena",CHOOSE(_xlfn.ARABIC($H41),MATCH(K41+1,'[1]Normy VP'!$C$25:$F$25,-1),MATCH(K41+1,'[1]Normy VP'!$C$26:$F$26,-1),MATCH(K41+1,'[1]Normy VP'!$C$27:$F$27,-1),MATCH(K41+1,'[1]Normy VP'!$C$28:$F$28,-1),MATCH(K41+1,'[1]Normy VP'!$C$29:$F$29,-1),"muž"),CHOOSE(_xlfn.ARABIC($H41),MATCH(K41+1,'[1]Normy VP'!$C$10:$F$10,-1),MATCH(K41+1,'[1]Normy VP'!$C$11:$F$11,-1),MATCH(K41+1,'[1]Normy VP'!$C$12:$F$12,-1),MATCH(K41+1,'[1]Normy VP'!$C$13:$F$13,-1),MATCH(K41+1,'[1]Normy VP'!$C$14:$F$14,-1),""))),"O")</f>
        <v/>
      </c>
      <c r="Q41" s="24" t="str">
        <f>IF(OR($J41="",$J41="odešel"),IF($F41="žena","",IF(L41="","",(CHOOSE(_xlfn.ARABIC($H41),MATCH(L41+1,'[1]Normy VP'!$G$10:$J$10,-1),MATCH(L41+1,'[1]Normy VP'!$G$11:$J$11,-1),MATCH(L41+1,'[1]Normy VP'!$G$12:$J$12,-1),MATCH(L41+1,'[1]Normy VP'!$G$13:$J$13,-1),MATCH(L41+1,'[1]Normy VP'!$G$14:$J$14,-1),"")))),"O")</f>
        <v/>
      </c>
      <c r="R41" s="34" t="str">
        <f t="shared" si="1"/>
        <v>N</v>
      </c>
      <c r="S41" s="24" t="str">
        <f>IF(OR($J41="",$J41="odešel"),IF(M41="","N",IF($F41="žena",CHOOSE(_xlfn.ARABIC($H41),MATCH(M41+1,'[1]Normy VP'!$G$25:$J$25,-1),MATCH(M41+1,'[1]Normy VP'!$G$26:$J$26,-1),MATCH(M41+1,'[1]Normy VP'!$G$27:$J$27,-1),MATCH(M41+1,'[1]Normy VP'!$G$28:$J$28,-1),MATCH(M41+1,'[1]Normy VP'!$G$29:$J$29,-1),"muž"),(CHOOSE(_xlfn.ARABIC($H41),MATCH(M41+1,'[1]Normy VP'!$K$10:$N$10,-1),MATCH(M41+1,'[1]Normy VP'!$K$11:$N$11,-1),MATCH(M41+1,'[1]Normy VP'!$K$12:$N$12,-1),MATCH(M41+1,'[1]Normy VP'!$K$13:$N$13,-1),MATCH(M41+1,'[1]Normy VP'!$K$14:$N$14,-1),"")))),"O")</f>
        <v>N</v>
      </c>
      <c r="T41" s="34" t="str">
        <f t="shared" si="2"/>
        <v>N</v>
      </c>
      <c r="U41" s="24" t="str">
        <f>IF(OR($J41="",$J41="odešel"),IF(N41="","N",IF($F41="žena",CHOOSE(_xlfn.ARABIC($H41),MATCH(N41+1,'[1]Normy VP'!$K$25:$N$25,-1),MATCH(N41+1,'[1]Normy VP'!$K$26:$N$26,-1),MATCH(N41+1,'[1]Normy VP'!$K$27:$N$27,-1),MATCH(N41+1,'[1]Normy VP'!$K$28:$N$28,-1),MATCH(N41+1,'[1]Normy VP'!$K$29:$N$29,-1),MATCH(N41+1,'[1]Normy VP'!$K$30:$N$30,-1)),CHOOSE(_xlfn.ARABIC($H41),MATCH(N41+1,'[1]Normy VP'!$O$10:$R$10,-1),MATCH(N41+1,'[1]Normy VP'!$O$11:$R$11,-1),MATCH(N41+1,'[1]Normy VP'!$O$12:$R$12,-1),MATCH(N41+1,'[1]Normy VP'!$O$13:$R$13,-1),MATCH(N41+1,'[1]Normy VP'!$O$14:$R$14,-1),MATCH(N41+1,'[1]Normy VP'!$O$15:$R$15,-1)))),"O")</f>
        <v>N</v>
      </c>
      <c r="V41" s="26" t="str">
        <f>IF(OR($J41="",$J41="odešel"),IF(O41="","N",IF($F41="žena",CHOOSE(_xlfn.ARABIC($H41),MATCH(O41-1,'[1]Normy VP'!$O$25:$R$25),MATCH(O41-1,'[1]Normy VP'!$O$26:$R$26),MATCH(O41-1,'[1]Normy VP'!$O$27:$R$27),MATCH(O41-1,'[1]Normy VP'!$O$28:$R$28),MATCH(O41-1,'[1]Normy VP'!$O$29:$R$29),MATCH(O41-1,'[1]Normy VP'!$O$30:$R$30)),CHOOSE(_xlfn.ARABIC($H41),MATCH(O41-1,'[1]Normy VP'!$S$10:$V$10),MATCH(O41-1,'[1]Normy VP'!$S$11:$V$11),MATCH(O41-1,'[1]Normy VP'!$S$12:$V$12),MATCH(O41-1,'[1]Normy VP'!$S$13:$V$13),MATCH(O41-1,'[1]Normy VP'!$S$14:$V$14),MATCH(O41-1,'[1]Normy VP'!$S$15:$V$15)))),"O")</f>
        <v>N</v>
      </c>
      <c r="W41" s="34" t="str">
        <f t="shared" si="3"/>
        <v>N</v>
      </c>
      <c r="X41" s="27" t="str">
        <f>IF(COUNTIF(B41:G41,"")&gt;0,"",IF(COUNTIF([1]PP!$A:$A,A41)=0,"neni v PP",IF(OR(Y41="odešel",VLOOKUP(A41,[1]PP!$A:$W,22,FALSE)="odešel"),"odešel",IF(OR(Y41="N",VLOOKUP(A41,[1]PP!$A:$W,22,FALSE)="N"),"N",IF(OR(Y41="C",VLOOKUP(A41,[1]PP!$A:$W,22,FALSE)="C"),"C",IF(OR(Y41="DZO",VLOOKUP(A41,[1]PP!$A:$W,22,FALSE)="DZO"),"DZO",IF(OR(Y41="mise",Y41="disp.",Y41="končí",Y41="DSC",VLOOKUP(A41,[1]PP!$A:$W,22,FALSE)="mise",VLOOKUP(A41,[1]PP!$A:$W,22,FALSE)="disp.",VLOOKUP(A41,[1]PP!$A:$W,22,FALSE)="končí",VLOOKUP(A41,[1]PP!$A:$W,22,FALSE)="DSC"),"jiné",IF(OR(Y41=4,VLOOKUP(A41,[1]PP!$A:$W,22,FALSE)=4),4,IF(OR(Y41=3,VLOOKUP(A41,[1]PP!$A:$W,22,FALSE)=3),3,IF(OR(Y41=2,VLOOKUP(A41,[1]PP!$A:$W,22,FALSE)=2),2,IF(AND(Y41=1,VLOOKUP(A41,[1]PP!$A:$W,22,FALSE)=1),1)))))))))))</f>
        <v/>
      </c>
      <c r="Y41" s="28" t="str">
        <f>IF(COUNTIF(B41:G41,"")&gt;0,"",IF(COUNTIF([1]PP!$A:$A,A41)=0,"neni v PP",IF(VLOOKUP(A41,[1]PP!$A:$W,8,FALSE)="odešel","odešel",IF(F41="","",IF(J41="",IF(OR(T41=4,W41=4),4,IF(AND(T41="N",W41="N"),"N",IF(OR(T41="N",W41="N"),4,ROUND(AVERAGE(T41,W41),0)))),J41)))))</f>
        <v/>
      </c>
      <c r="Z41" s="29" t="str">
        <f>IF(COUNTIF(B41:G41,"")=0,IF(X41="neni v PP",CONCATENATE("ID: &lt;",A41,"&gt; se neshoduje s žádným IDem v kartě PP"),IF(COUNTIF($A:$A,A41)&gt;1,CONCATENATE("ID: &lt;",A41,"&gt; se v kartě VP opakuje. Je nutné tyto IDy od sebe odlišit, např. mezerou za příjmením."),IF(COUNTIF([1]PP!A:A,A41)&gt;1,CONCATENATE("ID: &lt;",A41,"&gt; se v kartě PP opakuje. Je nutné tyto IDy od sebe odlišit, např. mezerou za příjmením."),IF(VLOOKUP(A41,[1]PP!$A:$W,5,FALSE)&lt;&gt;E41,CONCATENATE($E$4," &lt;",E41,"&gt; se neshoduje s jednotkou v kartě PP"," &lt;",VLOOKUP(A41,[1]PP!$A:$W,5,FALSE),"&gt;"),IF(AND(COUNTIF(K41:O41,"")&lt;5,J41="",I41=""),CONCATENATE("Doplň: ",$I$4),IF(AND(YEAR(I41)&lt;&gt;$E$2,COUNTIF(I41,"")=0),CONCATENATE("špatně uveden &lt;",$D$2,"&gt; nebo &lt;",$I$4,"&gt;"),IF(OR(AND(OR(COUNTIF(C41,"*a"),COUNTIF(C41,"*ie"),COUNTIF(C41,"*ine"),COUNTIF(D41,"*Á")),F41="muž"),AND(AND(COUNTIF(C41,"&lt;&gt;"&amp;"*a"),COUNTIF(C41,"&lt;&gt;"&amp;"*ie"),COUNTIF(C41,"&lt;&gt;"&amp;"*ine"),COUNTIF(D41,"&lt;&gt;"&amp;"*Á")),F41="žena")),CONCATENATE(C41," ",D41," je ",F41,"?"),""))))))),IF(COUNTIF(B41:O41,"")=14,"",CONCATENATE("Doplň: ",IF(B41="",CONCATENATE($B$4,IF(COUNTIF(C41:G41,"")=0,"",", ")),""),IF(C41="",CONCATENATE($C$4,IF(COUNTIF(D41:G41,"")=0,"",", ")),""),IF(D41="",CONCATENATE($D$4,IF(COUNTIF(E41:G41,"")=0,"",", ")),""),IF(E41="",CONCATENATE($E$4,IF(COUNTIF(F41:G41,"")=0,"",", ")),""),IF(F41="",CONCATENATE($F$4,IF(G41="",", ","")),""),IF(G41="",$G$4,""))))</f>
        <v/>
      </c>
      <c r="AA41" s="30"/>
    </row>
    <row r="42" spans="1:27" ht="16" x14ac:dyDescent="0.35">
      <c r="A42" s="14" t="str">
        <f t="shared" si="0"/>
        <v xml:space="preserve">  </v>
      </c>
      <c r="B42" s="15"/>
      <c r="C42" s="31"/>
      <c r="D42" s="31"/>
      <c r="E42" s="17"/>
      <c r="F42" s="18"/>
      <c r="G42" s="32"/>
      <c r="H42" s="33" t="str">
        <f>IF(G42="","",IF(F42="žena",ROMAN(MATCH(G42+1,'[1]Normy VP'!$Y$27:$Y$33,-1)),ROMAN(MATCH(G42+1,'[1]Normy VP'!$Y$19:$Y$25,-1))))</f>
        <v/>
      </c>
      <c r="I42" s="21"/>
      <c r="J42" s="22"/>
      <c r="K42" s="23"/>
      <c r="L42" s="23"/>
      <c r="M42" s="23"/>
      <c r="N42" s="22"/>
      <c r="O42" s="22"/>
      <c r="P42" s="24" t="str">
        <f>IF(OR($J42="",$J42="odešel"),IF(K42="","",IF($F42="žena",CHOOSE(_xlfn.ARABIC($H42),MATCH(K42+1,'[1]Normy VP'!$C$25:$F$25,-1),MATCH(K42+1,'[1]Normy VP'!$C$26:$F$26,-1),MATCH(K42+1,'[1]Normy VP'!$C$27:$F$27,-1),MATCH(K42+1,'[1]Normy VP'!$C$28:$F$28,-1),MATCH(K42+1,'[1]Normy VP'!$C$29:$F$29,-1),"muž"),CHOOSE(_xlfn.ARABIC($H42),MATCH(K42+1,'[1]Normy VP'!$C$10:$F$10,-1),MATCH(K42+1,'[1]Normy VP'!$C$11:$F$11,-1),MATCH(K42+1,'[1]Normy VP'!$C$12:$F$12,-1),MATCH(K42+1,'[1]Normy VP'!$C$13:$F$13,-1),MATCH(K42+1,'[1]Normy VP'!$C$14:$F$14,-1),""))),"O")</f>
        <v/>
      </c>
      <c r="Q42" s="24" t="str">
        <f>IF(OR($J42="",$J42="odešel"),IF($F42="žena","",IF(L42="","",(CHOOSE(_xlfn.ARABIC($H42),MATCH(L42+1,'[1]Normy VP'!$G$10:$J$10,-1),MATCH(L42+1,'[1]Normy VP'!$G$11:$J$11,-1),MATCH(L42+1,'[1]Normy VP'!$G$12:$J$12,-1),MATCH(L42+1,'[1]Normy VP'!$G$13:$J$13,-1),MATCH(L42+1,'[1]Normy VP'!$G$14:$J$14,-1),"")))),"O")</f>
        <v/>
      </c>
      <c r="R42" s="34" t="str">
        <f t="shared" si="1"/>
        <v>N</v>
      </c>
      <c r="S42" s="24" t="str">
        <f>IF(OR($J42="",$J42="odešel"),IF(M42="","N",IF($F42="žena",CHOOSE(_xlfn.ARABIC($H42),MATCH(M42+1,'[1]Normy VP'!$G$25:$J$25,-1),MATCH(M42+1,'[1]Normy VP'!$G$26:$J$26,-1),MATCH(M42+1,'[1]Normy VP'!$G$27:$J$27,-1),MATCH(M42+1,'[1]Normy VP'!$G$28:$J$28,-1),MATCH(M42+1,'[1]Normy VP'!$G$29:$J$29,-1),"muž"),(CHOOSE(_xlfn.ARABIC($H42),MATCH(M42+1,'[1]Normy VP'!$K$10:$N$10,-1),MATCH(M42+1,'[1]Normy VP'!$K$11:$N$11,-1),MATCH(M42+1,'[1]Normy VP'!$K$12:$N$12,-1),MATCH(M42+1,'[1]Normy VP'!$K$13:$N$13,-1),MATCH(M42+1,'[1]Normy VP'!$K$14:$N$14,-1),"")))),"O")</f>
        <v>N</v>
      </c>
      <c r="T42" s="34" t="str">
        <f t="shared" si="2"/>
        <v>N</v>
      </c>
      <c r="U42" s="24" t="str">
        <f>IF(OR($J42="",$J42="odešel"),IF(N42="","N",IF($F42="žena",CHOOSE(_xlfn.ARABIC($H42),MATCH(N42+1,'[1]Normy VP'!$K$25:$N$25,-1),MATCH(N42+1,'[1]Normy VP'!$K$26:$N$26,-1),MATCH(N42+1,'[1]Normy VP'!$K$27:$N$27,-1),MATCH(N42+1,'[1]Normy VP'!$K$28:$N$28,-1),MATCH(N42+1,'[1]Normy VP'!$K$29:$N$29,-1),MATCH(N42+1,'[1]Normy VP'!$K$30:$N$30,-1)),CHOOSE(_xlfn.ARABIC($H42),MATCH(N42+1,'[1]Normy VP'!$O$10:$R$10,-1),MATCH(N42+1,'[1]Normy VP'!$O$11:$R$11,-1),MATCH(N42+1,'[1]Normy VP'!$O$12:$R$12,-1),MATCH(N42+1,'[1]Normy VP'!$O$13:$R$13,-1),MATCH(N42+1,'[1]Normy VP'!$O$14:$R$14,-1),MATCH(N42+1,'[1]Normy VP'!$O$15:$R$15,-1)))),"O")</f>
        <v>N</v>
      </c>
      <c r="V42" s="26" t="str">
        <f>IF(OR($J42="",$J42="odešel"),IF(O42="","N",IF($F42="žena",CHOOSE(_xlfn.ARABIC($H42),MATCH(O42-1,'[1]Normy VP'!$O$25:$R$25),MATCH(O42-1,'[1]Normy VP'!$O$26:$R$26),MATCH(O42-1,'[1]Normy VP'!$O$27:$R$27),MATCH(O42-1,'[1]Normy VP'!$O$28:$R$28),MATCH(O42-1,'[1]Normy VP'!$O$29:$R$29),MATCH(O42-1,'[1]Normy VP'!$O$30:$R$30)),CHOOSE(_xlfn.ARABIC($H42),MATCH(O42-1,'[1]Normy VP'!$S$10:$V$10),MATCH(O42-1,'[1]Normy VP'!$S$11:$V$11),MATCH(O42-1,'[1]Normy VP'!$S$12:$V$12),MATCH(O42-1,'[1]Normy VP'!$S$13:$V$13),MATCH(O42-1,'[1]Normy VP'!$S$14:$V$14),MATCH(O42-1,'[1]Normy VP'!$S$15:$V$15)))),"O")</f>
        <v>N</v>
      </c>
      <c r="W42" s="34" t="str">
        <f t="shared" si="3"/>
        <v>N</v>
      </c>
      <c r="X42" s="27" t="str">
        <f>IF(COUNTIF(B42:G42,"")&gt;0,"",IF(COUNTIF([1]PP!$A:$A,A42)=0,"neni v PP",IF(OR(Y42="odešel",VLOOKUP(A42,[1]PP!$A:$W,22,FALSE)="odešel"),"odešel",IF(OR(Y42="N",VLOOKUP(A42,[1]PP!$A:$W,22,FALSE)="N"),"N",IF(OR(Y42="C",VLOOKUP(A42,[1]PP!$A:$W,22,FALSE)="C"),"C",IF(OR(Y42="DZO",VLOOKUP(A42,[1]PP!$A:$W,22,FALSE)="DZO"),"DZO",IF(OR(Y42="mise",Y42="disp.",Y42="končí",Y42="DSC",VLOOKUP(A42,[1]PP!$A:$W,22,FALSE)="mise",VLOOKUP(A42,[1]PP!$A:$W,22,FALSE)="disp.",VLOOKUP(A42,[1]PP!$A:$W,22,FALSE)="končí",VLOOKUP(A42,[1]PP!$A:$W,22,FALSE)="DSC"),"jiné",IF(OR(Y42=4,VLOOKUP(A42,[1]PP!$A:$W,22,FALSE)=4),4,IF(OR(Y42=3,VLOOKUP(A42,[1]PP!$A:$W,22,FALSE)=3),3,IF(OR(Y42=2,VLOOKUP(A42,[1]PP!$A:$W,22,FALSE)=2),2,IF(AND(Y42=1,VLOOKUP(A42,[1]PP!$A:$W,22,FALSE)=1),1)))))))))))</f>
        <v/>
      </c>
      <c r="Y42" s="28" t="str">
        <f>IF(COUNTIF(B42:G42,"")&gt;0,"",IF(COUNTIF([1]PP!$A:$A,A42)=0,"neni v PP",IF(VLOOKUP(A42,[1]PP!$A:$W,8,FALSE)="odešel","odešel",IF(F42="","",IF(J42="",IF(OR(T42=4,W42=4),4,IF(AND(T42="N",W42="N"),"N",IF(OR(T42="N",W42="N"),4,ROUND(AVERAGE(T42,W42),0)))),J42)))))</f>
        <v/>
      </c>
      <c r="Z42" s="29" t="str">
        <f>IF(COUNTIF(B42:G42,"")=0,IF(X42="neni v PP",CONCATENATE("ID: &lt;",A42,"&gt; se neshoduje s žádným IDem v kartě PP"),IF(COUNTIF($A:$A,A42)&gt;1,CONCATENATE("ID: &lt;",A42,"&gt; se v kartě VP opakuje. Je nutné tyto IDy od sebe odlišit, např. mezerou za příjmením."),IF(COUNTIF([1]PP!A:A,A42)&gt;1,CONCATENATE("ID: &lt;",A42,"&gt; se v kartě PP opakuje. Je nutné tyto IDy od sebe odlišit, např. mezerou za příjmením."),IF(VLOOKUP(A42,[1]PP!$A:$W,5,FALSE)&lt;&gt;E42,CONCATENATE($E$4," &lt;",E42,"&gt; se neshoduje s jednotkou v kartě PP"," &lt;",VLOOKUP(A42,[1]PP!$A:$W,5,FALSE),"&gt;"),IF(AND(COUNTIF(K42:O42,"")&lt;5,J42="",I42=""),CONCATENATE("Doplň: ",$I$4),IF(AND(YEAR(I42)&lt;&gt;$E$2,COUNTIF(I42,"")=0),CONCATENATE("špatně uveden &lt;",$D$2,"&gt; nebo &lt;",$I$4,"&gt;"),IF(OR(AND(OR(COUNTIF(C42,"*a"),COUNTIF(C42,"*ie"),COUNTIF(C42,"*ine"),COUNTIF(D42,"*Á")),F42="muž"),AND(AND(COUNTIF(C42,"&lt;&gt;"&amp;"*a"),COUNTIF(C42,"&lt;&gt;"&amp;"*ie"),COUNTIF(C42,"&lt;&gt;"&amp;"*ine"),COUNTIF(D42,"&lt;&gt;"&amp;"*Á")),F42="žena")),CONCATENATE(C42," ",D42," je ",F42,"?"),""))))))),IF(COUNTIF(B42:O42,"")=14,"",CONCATENATE("Doplň: ",IF(B42="",CONCATENATE($B$4,IF(COUNTIF(C42:G42,"")=0,"",", ")),""),IF(C42="",CONCATENATE($C$4,IF(COUNTIF(D42:G42,"")=0,"",", ")),""),IF(D42="",CONCATENATE($D$4,IF(COUNTIF(E42:G42,"")=0,"",", ")),""),IF(E42="",CONCATENATE($E$4,IF(COUNTIF(F42:G42,"")=0,"",", ")),""),IF(F42="",CONCATENATE($F$4,IF(G42="",", ","")),""),IF(G42="",$G$4,""))))</f>
        <v/>
      </c>
      <c r="AA42" s="30"/>
    </row>
    <row r="43" spans="1:27" ht="16" x14ac:dyDescent="0.35">
      <c r="A43" s="14" t="str">
        <f t="shared" si="0"/>
        <v xml:space="preserve">  </v>
      </c>
      <c r="B43" s="15"/>
      <c r="C43" s="31"/>
      <c r="D43" s="31"/>
      <c r="E43" s="17"/>
      <c r="F43" s="18"/>
      <c r="G43" s="32"/>
      <c r="H43" s="33" t="str">
        <f>IF(G43="","",IF(F43="žena",ROMAN(MATCH(G43+1,'[1]Normy VP'!$Y$27:$Y$33,-1)),ROMAN(MATCH(G43+1,'[1]Normy VP'!$Y$19:$Y$25,-1))))</f>
        <v/>
      </c>
      <c r="I43" s="21"/>
      <c r="J43" s="22"/>
      <c r="K43" s="23"/>
      <c r="L43" s="23"/>
      <c r="M43" s="23"/>
      <c r="N43" s="22"/>
      <c r="O43" s="22"/>
      <c r="P43" s="24" t="str">
        <f>IF(OR($J43="",$J43="odešel"),IF(K43="","",IF($F43="žena",CHOOSE(_xlfn.ARABIC($H43),MATCH(K43+1,'[1]Normy VP'!$C$25:$F$25,-1),MATCH(K43+1,'[1]Normy VP'!$C$26:$F$26,-1),MATCH(K43+1,'[1]Normy VP'!$C$27:$F$27,-1),MATCH(K43+1,'[1]Normy VP'!$C$28:$F$28,-1),MATCH(K43+1,'[1]Normy VP'!$C$29:$F$29,-1),"muž"),CHOOSE(_xlfn.ARABIC($H43),MATCH(K43+1,'[1]Normy VP'!$C$10:$F$10,-1),MATCH(K43+1,'[1]Normy VP'!$C$11:$F$11,-1),MATCH(K43+1,'[1]Normy VP'!$C$12:$F$12,-1),MATCH(K43+1,'[1]Normy VP'!$C$13:$F$13,-1),MATCH(K43+1,'[1]Normy VP'!$C$14:$F$14,-1),""))),"O")</f>
        <v/>
      </c>
      <c r="Q43" s="24" t="str">
        <f>IF(OR($J43="",$J43="odešel"),IF($F43="žena","",IF(L43="","",(CHOOSE(_xlfn.ARABIC($H43),MATCH(L43+1,'[1]Normy VP'!$G$10:$J$10,-1),MATCH(L43+1,'[1]Normy VP'!$G$11:$J$11,-1),MATCH(L43+1,'[1]Normy VP'!$G$12:$J$12,-1),MATCH(L43+1,'[1]Normy VP'!$G$13:$J$13,-1),MATCH(L43+1,'[1]Normy VP'!$G$14:$J$14,-1),"")))),"O")</f>
        <v/>
      </c>
      <c r="R43" s="34" t="str">
        <f t="shared" si="1"/>
        <v>N</v>
      </c>
      <c r="S43" s="24" t="str">
        <f>IF(OR($J43="",$J43="odešel"),IF(M43="","N",IF($F43="žena",CHOOSE(_xlfn.ARABIC($H43),MATCH(M43+1,'[1]Normy VP'!$G$25:$J$25,-1),MATCH(M43+1,'[1]Normy VP'!$G$26:$J$26,-1),MATCH(M43+1,'[1]Normy VP'!$G$27:$J$27,-1),MATCH(M43+1,'[1]Normy VP'!$G$28:$J$28,-1),MATCH(M43+1,'[1]Normy VP'!$G$29:$J$29,-1),"muž"),(CHOOSE(_xlfn.ARABIC($H43),MATCH(M43+1,'[1]Normy VP'!$K$10:$N$10,-1),MATCH(M43+1,'[1]Normy VP'!$K$11:$N$11,-1),MATCH(M43+1,'[1]Normy VP'!$K$12:$N$12,-1),MATCH(M43+1,'[1]Normy VP'!$K$13:$N$13,-1),MATCH(M43+1,'[1]Normy VP'!$K$14:$N$14,-1),"")))),"O")</f>
        <v>N</v>
      </c>
      <c r="T43" s="34" t="str">
        <f t="shared" si="2"/>
        <v>N</v>
      </c>
      <c r="U43" s="24" t="str">
        <f>IF(OR($J43="",$J43="odešel"),IF(N43="","N",IF($F43="žena",CHOOSE(_xlfn.ARABIC($H43),MATCH(N43+1,'[1]Normy VP'!$K$25:$N$25,-1),MATCH(N43+1,'[1]Normy VP'!$K$26:$N$26,-1),MATCH(N43+1,'[1]Normy VP'!$K$27:$N$27,-1),MATCH(N43+1,'[1]Normy VP'!$K$28:$N$28,-1),MATCH(N43+1,'[1]Normy VP'!$K$29:$N$29,-1),MATCH(N43+1,'[1]Normy VP'!$K$30:$N$30,-1)),CHOOSE(_xlfn.ARABIC($H43),MATCH(N43+1,'[1]Normy VP'!$O$10:$R$10,-1),MATCH(N43+1,'[1]Normy VP'!$O$11:$R$11,-1),MATCH(N43+1,'[1]Normy VP'!$O$12:$R$12,-1),MATCH(N43+1,'[1]Normy VP'!$O$13:$R$13,-1),MATCH(N43+1,'[1]Normy VP'!$O$14:$R$14,-1),MATCH(N43+1,'[1]Normy VP'!$O$15:$R$15,-1)))),"O")</f>
        <v>N</v>
      </c>
      <c r="V43" s="26" t="str">
        <f>IF(OR($J43="",$J43="odešel"),IF(O43="","N",IF($F43="žena",CHOOSE(_xlfn.ARABIC($H43),MATCH(O43-1,'[1]Normy VP'!$O$25:$R$25),MATCH(O43-1,'[1]Normy VP'!$O$26:$R$26),MATCH(O43-1,'[1]Normy VP'!$O$27:$R$27),MATCH(O43-1,'[1]Normy VP'!$O$28:$R$28),MATCH(O43-1,'[1]Normy VP'!$O$29:$R$29),MATCH(O43-1,'[1]Normy VP'!$O$30:$R$30)),CHOOSE(_xlfn.ARABIC($H43),MATCH(O43-1,'[1]Normy VP'!$S$10:$V$10),MATCH(O43-1,'[1]Normy VP'!$S$11:$V$11),MATCH(O43-1,'[1]Normy VP'!$S$12:$V$12),MATCH(O43-1,'[1]Normy VP'!$S$13:$V$13),MATCH(O43-1,'[1]Normy VP'!$S$14:$V$14),MATCH(O43-1,'[1]Normy VP'!$S$15:$V$15)))),"O")</f>
        <v>N</v>
      </c>
      <c r="W43" s="34" t="str">
        <f t="shared" si="3"/>
        <v>N</v>
      </c>
      <c r="X43" s="27" t="str">
        <f>IF(COUNTIF(B43:G43,"")&gt;0,"",IF(COUNTIF([1]PP!$A:$A,A43)=0,"neni v PP",IF(OR(Y43="odešel",VLOOKUP(A43,[1]PP!$A:$W,22,FALSE)="odešel"),"odešel",IF(OR(Y43="N",VLOOKUP(A43,[1]PP!$A:$W,22,FALSE)="N"),"N",IF(OR(Y43="C",VLOOKUP(A43,[1]PP!$A:$W,22,FALSE)="C"),"C",IF(OR(Y43="DZO",VLOOKUP(A43,[1]PP!$A:$W,22,FALSE)="DZO"),"DZO",IF(OR(Y43="mise",Y43="disp.",Y43="končí",Y43="DSC",VLOOKUP(A43,[1]PP!$A:$W,22,FALSE)="mise",VLOOKUP(A43,[1]PP!$A:$W,22,FALSE)="disp.",VLOOKUP(A43,[1]PP!$A:$W,22,FALSE)="končí",VLOOKUP(A43,[1]PP!$A:$W,22,FALSE)="DSC"),"jiné",IF(OR(Y43=4,VLOOKUP(A43,[1]PP!$A:$W,22,FALSE)=4),4,IF(OR(Y43=3,VLOOKUP(A43,[1]PP!$A:$W,22,FALSE)=3),3,IF(OR(Y43=2,VLOOKUP(A43,[1]PP!$A:$W,22,FALSE)=2),2,IF(AND(Y43=1,VLOOKUP(A43,[1]PP!$A:$W,22,FALSE)=1),1)))))))))))</f>
        <v/>
      </c>
      <c r="Y43" s="28" t="str">
        <f>IF(COUNTIF(B43:G43,"")&gt;0,"",IF(COUNTIF([1]PP!$A:$A,A43)=0,"neni v PP",IF(VLOOKUP(A43,[1]PP!$A:$W,8,FALSE)="odešel","odešel",IF(F43="","",IF(J43="",IF(OR(T43=4,W43=4),4,IF(AND(T43="N",W43="N"),"N",IF(OR(T43="N",W43="N"),4,ROUND(AVERAGE(T43,W43),0)))),J43)))))</f>
        <v/>
      </c>
      <c r="Z43" s="29" t="str">
        <f>IF(COUNTIF(B43:G43,"")=0,IF(X43="neni v PP",CONCATENATE("ID: &lt;",A43,"&gt; se neshoduje s žádným IDem v kartě PP"),IF(COUNTIF($A:$A,A43)&gt;1,CONCATENATE("ID: &lt;",A43,"&gt; se v kartě VP opakuje. Je nutné tyto IDy od sebe odlišit, např. mezerou za příjmením."),IF(COUNTIF([1]PP!A:A,A43)&gt;1,CONCATENATE("ID: &lt;",A43,"&gt; se v kartě PP opakuje. Je nutné tyto IDy od sebe odlišit, např. mezerou za příjmením."),IF(VLOOKUP(A43,[1]PP!$A:$W,5,FALSE)&lt;&gt;E43,CONCATENATE($E$4," &lt;",E43,"&gt; se neshoduje s jednotkou v kartě PP"," &lt;",VLOOKUP(A43,[1]PP!$A:$W,5,FALSE),"&gt;"),IF(AND(COUNTIF(K43:O43,"")&lt;5,J43="",I43=""),CONCATENATE("Doplň: ",$I$4),IF(AND(YEAR(I43)&lt;&gt;$E$2,COUNTIF(I43,"")=0),CONCATENATE("špatně uveden &lt;",$D$2,"&gt; nebo &lt;",$I$4,"&gt;"),IF(OR(AND(OR(COUNTIF(C43,"*a"),COUNTIF(C43,"*ie"),COUNTIF(C43,"*ine"),COUNTIF(D43,"*Á")),F43="muž"),AND(AND(COUNTIF(C43,"&lt;&gt;"&amp;"*a"),COUNTIF(C43,"&lt;&gt;"&amp;"*ie"),COUNTIF(C43,"&lt;&gt;"&amp;"*ine"),COUNTIF(D43,"&lt;&gt;"&amp;"*Á")),F43="žena")),CONCATENATE(C43," ",D43," je ",F43,"?"),""))))))),IF(COUNTIF(B43:O43,"")=14,"",CONCATENATE("Doplň: ",IF(B43="",CONCATENATE($B$4,IF(COUNTIF(C43:G43,"")=0,"",", ")),""),IF(C43="",CONCATENATE($C$4,IF(COUNTIF(D43:G43,"")=0,"",", ")),""),IF(D43="",CONCATENATE($D$4,IF(COUNTIF(E43:G43,"")=0,"",", ")),""),IF(E43="",CONCATENATE($E$4,IF(COUNTIF(F43:G43,"")=0,"",", ")),""),IF(F43="",CONCATENATE($F$4,IF(G43="",", ","")),""),IF(G43="",$G$4,""))))</f>
        <v/>
      </c>
      <c r="AA43" s="30"/>
    </row>
    <row r="44" spans="1:27" ht="16" x14ac:dyDescent="0.35">
      <c r="A44" s="14" t="str">
        <f t="shared" si="0"/>
        <v xml:space="preserve">  </v>
      </c>
      <c r="B44" s="15"/>
      <c r="C44" s="31"/>
      <c r="D44" s="31"/>
      <c r="E44" s="17"/>
      <c r="F44" s="18"/>
      <c r="G44" s="32"/>
      <c r="H44" s="33" t="str">
        <f>IF(G44="","",IF(F44="žena",ROMAN(MATCH(G44+1,'[1]Normy VP'!$Y$27:$Y$33,-1)),ROMAN(MATCH(G44+1,'[1]Normy VP'!$Y$19:$Y$25,-1))))</f>
        <v/>
      </c>
      <c r="I44" s="21"/>
      <c r="J44" s="22"/>
      <c r="K44" s="23"/>
      <c r="L44" s="23"/>
      <c r="M44" s="23"/>
      <c r="N44" s="22"/>
      <c r="O44" s="22"/>
      <c r="P44" s="24" t="str">
        <f>IF(OR($J44="",$J44="odešel"),IF(K44="","",IF($F44="žena",CHOOSE(_xlfn.ARABIC($H44),MATCH(K44+1,'[1]Normy VP'!$C$25:$F$25,-1),MATCH(K44+1,'[1]Normy VP'!$C$26:$F$26,-1),MATCH(K44+1,'[1]Normy VP'!$C$27:$F$27,-1),MATCH(K44+1,'[1]Normy VP'!$C$28:$F$28,-1),MATCH(K44+1,'[1]Normy VP'!$C$29:$F$29,-1),"muž"),CHOOSE(_xlfn.ARABIC($H44),MATCH(K44+1,'[1]Normy VP'!$C$10:$F$10,-1),MATCH(K44+1,'[1]Normy VP'!$C$11:$F$11,-1),MATCH(K44+1,'[1]Normy VP'!$C$12:$F$12,-1),MATCH(K44+1,'[1]Normy VP'!$C$13:$F$13,-1),MATCH(K44+1,'[1]Normy VP'!$C$14:$F$14,-1),""))),"O")</f>
        <v/>
      </c>
      <c r="Q44" s="24" t="str">
        <f>IF(OR($J44="",$J44="odešel"),IF($F44="žena","",IF(L44="","",(CHOOSE(_xlfn.ARABIC($H44),MATCH(L44+1,'[1]Normy VP'!$G$10:$J$10,-1),MATCH(L44+1,'[1]Normy VP'!$G$11:$J$11,-1),MATCH(L44+1,'[1]Normy VP'!$G$12:$J$12,-1),MATCH(L44+1,'[1]Normy VP'!$G$13:$J$13,-1),MATCH(L44+1,'[1]Normy VP'!$G$14:$J$14,-1),"")))),"O")</f>
        <v/>
      </c>
      <c r="R44" s="34" t="str">
        <f t="shared" si="1"/>
        <v>N</v>
      </c>
      <c r="S44" s="24" t="str">
        <f>IF(OR($J44="",$J44="odešel"),IF(M44="","N",IF($F44="žena",CHOOSE(_xlfn.ARABIC($H44),MATCH(M44+1,'[1]Normy VP'!$G$25:$J$25,-1),MATCH(M44+1,'[1]Normy VP'!$G$26:$J$26,-1),MATCH(M44+1,'[1]Normy VP'!$G$27:$J$27,-1),MATCH(M44+1,'[1]Normy VP'!$G$28:$J$28,-1),MATCH(M44+1,'[1]Normy VP'!$G$29:$J$29,-1),"muž"),(CHOOSE(_xlfn.ARABIC($H44),MATCH(M44+1,'[1]Normy VP'!$K$10:$N$10,-1),MATCH(M44+1,'[1]Normy VP'!$K$11:$N$11,-1),MATCH(M44+1,'[1]Normy VP'!$K$12:$N$12,-1),MATCH(M44+1,'[1]Normy VP'!$K$13:$N$13,-1),MATCH(M44+1,'[1]Normy VP'!$K$14:$N$14,-1),"")))),"O")</f>
        <v>N</v>
      </c>
      <c r="T44" s="34" t="str">
        <f t="shared" si="2"/>
        <v>N</v>
      </c>
      <c r="U44" s="24" t="str">
        <f>IF(OR($J44="",$J44="odešel"),IF(N44="","N",IF($F44="žena",CHOOSE(_xlfn.ARABIC($H44),MATCH(N44+1,'[1]Normy VP'!$K$25:$N$25,-1),MATCH(N44+1,'[1]Normy VP'!$K$26:$N$26,-1),MATCH(N44+1,'[1]Normy VP'!$K$27:$N$27,-1),MATCH(N44+1,'[1]Normy VP'!$K$28:$N$28,-1),MATCH(N44+1,'[1]Normy VP'!$K$29:$N$29,-1),MATCH(N44+1,'[1]Normy VP'!$K$30:$N$30,-1)),CHOOSE(_xlfn.ARABIC($H44),MATCH(N44+1,'[1]Normy VP'!$O$10:$R$10,-1),MATCH(N44+1,'[1]Normy VP'!$O$11:$R$11,-1),MATCH(N44+1,'[1]Normy VP'!$O$12:$R$12,-1),MATCH(N44+1,'[1]Normy VP'!$O$13:$R$13,-1),MATCH(N44+1,'[1]Normy VP'!$O$14:$R$14,-1),MATCH(N44+1,'[1]Normy VP'!$O$15:$R$15,-1)))),"O")</f>
        <v>N</v>
      </c>
      <c r="V44" s="26" t="str">
        <f>IF(OR($J44="",$J44="odešel"),IF(O44="","N",IF($F44="žena",CHOOSE(_xlfn.ARABIC($H44),MATCH(O44-1,'[1]Normy VP'!$O$25:$R$25),MATCH(O44-1,'[1]Normy VP'!$O$26:$R$26),MATCH(O44-1,'[1]Normy VP'!$O$27:$R$27),MATCH(O44-1,'[1]Normy VP'!$O$28:$R$28),MATCH(O44-1,'[1]Normy VP'!$O$29:$R$29),MATCH(O44-1,'[1]Normy VP'!$O$30:$R$30)),CHOOSE(_xlfn.ARABIC($H44),MATCH(O44-1,'[1]Normy VP'!$S$10:$V$10),MATCH(O44-1,'[1]Normy VP'!$S$11:$V$11),MATCH(O44-1,'[1]Normy VP'!$S$12:$V$12),MATCH(O44-1,'[1]Normy VP'!$S$13:$V$13),MATCH(O44-1,'[1]Normy VP'!$S$14:$V$14),MATCH(O44-1,'[1]Normy VP'!$S$15:$V$15)))),"O")</f>
        <v>N</v>
      </c>
      <c r="W44" s="34" t="str">
        <f t="shared" si="3"/>
        <v>N</v>
      </c>
      <c r="X44" s="27" t="str">
        <f>IF(COUNTIF(B44:G44,"")&gt;0,"",IF(COUNTIF([1]PP!$A:$A,A44)=0,"neni v PP",IF(OR(Y44="odešel",VLOOKUP(A44,[1]PP!$A:$W,22,FALSE)="odešel"),"odešel",IF(OR(Y44="N",VLOOKUP(A44,[1]PP!$A:$W,22,FALSE)="N"),"N",IF(OR(Y44="C",VLOOKUP(A44,[1]PP!$A:$W,22,FALSE)="C"),"C",IF(OR(Y44="DZO",VLOOKUP(A44,[1]PP!$A:$W,22,FALSE)="DZO"),"DZO",IF(OR(Y44="mise",Y44="disp.",Y44="končí",Y44="DSC",VLOOKUP(A44,[1]PP!$A:$W,22,FALSE)="mise",VLOOKUP(A44,[1]PP!$A:$W,22,FALSE)="disp.",VLOOKUP(A44,[1]PP!$A:$W,22,FALSE)="končí",VLOOKUP(A44,[1]PP!$A:$W,22,FALSE)="DSC"),"jiné",IF(OR(Y44=4,VLOOKUP(A44,[1]PP!$A:$W,22,FALSE)=4),4,IF(OR(Y44=3,VLOOKUP(A44,[1]PP!$A:$W,22,FALSE)=3),3,IF(OR(Y44=2,VLOOKUP(A44,[1]PP!$A:$W,22,FALSE)=2),2,IF(AND(Y44=1,VLOOKUP(A44,[1]PP!$A:$W,22,FALSE)=1),1)))))))))))</f>
        <v/>
      </c>
      <c r="Y44" s="28" t="str">
        <f>IF(COUNTIF(B44:G44,"")&gt;0,"",IF(COUNTIF([1]PP!$A:$A,A44)=0,"neni v PP",IF(VLOOKUP(A44,[1]PP!$A:$W,8,FALSE)="odešel","odešel",IF(F44="","",IF(J44="",IF(OR(T44=4,W44=4),4,IF(AND(T44="N",W44="N"),"N",IF(OR(T44="N",W44="N"),4,ROUND(AVERAGE(T44,W44),0)))),J44)))))</f>
        <v/>
      </c>
      <c r="Z44" s="29" t="str">
        <f>IF(COUNTIF(B44:G44,"")=0,IF(X44="neni v PP",CONCATENATE("ID: &lt;",A44,"&gt; se neshoduje s žádným IDem v kartě PP"),IF(COUNTIF($A:$A,A44)&gt;1,CONCATENATE("ID: &lt;",A44,"&gt; se v kartě VP opakuje. Je nutné tyto IDy od sebe odlišit, např. mezerou za příjmením."),IF(COUNTIF([1]PP!A:A,A44)&gt;1,CONCATENATE("ID: &lt;",A44,"&gt; se v kartě PP opakuje. Je nutné tyto IDy od sebe odlišit, např. mezerou za příjmením."),IF(VLOOKUP(A44,[1]PP!$A:$W,5,FALSE)&lt;&gt;E44,CONCATENATE($E$4," &lt;",E44,"&gt; se neshoduje s jednotkou v kartě PP"," &lt;",VLOOKUP(A44,[1]PP!$A:$W,5,FALSE),"&gt;"),IF(AND(COUNTIF(K44:O44,"")&lt;5,J44="",I44=""),CONCATENATE("Doplň: ",$I$4),IF(AND(YEAR(I44)&lt;&gt;$E$2,COUNTIF(I44,"")=0),CONCATENATE("špatně uveden &lt;",$D$2,"&gt; nebo &lt;",$I$4,"&gt;"),IF(OR(AND(OR(COUNTIF(C44,"*a"),COUNTIF(C44,"*ie"),COUNTIF(C44,"*ine"),COUNTIF(D44,"*Á")),F44="muž"),AND(AND(COUNTIF(C44,"&lt;&gt;"&amp;"*a"),COUNTIF(C44,"&lt;&gt;"&amp;"*ie"),COUNTIF(C44,"&lt;&gt;"&amp;"*ine"),COUNTIF(D44,"&lt;&gt;"&amp;"*Á")),F44="žena")),CONCATENATE(C44," ",D44," je ",F44,"?"),""))))))),IF(COUNTIF(B44:O44,"")=14,"",CONCATENATE("Doplň: ",IF(B44="",CONCATENATE($B$4,IF(COUNTIF(C44:G44,"")=0,"",", ")),""),IF(C44="",CONCATENATE($C$4,IF(COUNTIF(D44:G44,"")=0,"",", ")),""),IF(D44="",CONCATENATE($D$4,IF(COUNTIF(E44:G44,"")=0,"",", ")),""),IF(E44="",CONCATENATE($E$4,IF(COUNTIF(F44:G44,"")=0,"",", ")),""),IF(F44="",CONCATENATE($F$4,IF(G44="",", ","")),""),IF(G44="",$G$4,""))))</f>
        <v/>
      </c>
      <c r="AA44" s="30"/>
    </row>
    <row r="45" spans="1:27" ht="16" x14ac:dyDescent="0.35">
      <c r="A45" s="14" t="str">
        <f t="shared" si="0"/>
        <v xml:space="preserve">  </v>
      </c>
      <c r="B45" s="15"/>
      <c r="C45" s="31"/>
      <c r="D45" s="31"/>
      <c r="E45" s="17"/>
      <c r="F45" s="18"/>
      <c r="G45" s="32"/>
      <c r="H45" s="33" t="str">
        <f>IF(G45="","",IF(F45="žena",ROMAN(MATCH(G45+1,'[1]Normy VP'!$Y$27:$Y$33,-1)),ROMAN(MATCH(G45+1,'[1]Normy VP'!$Y$19:$Y$25,-1))))</f>
        <v/>
      </c>
      <c r="I45" s="21"/>
      <c r="J45" s="22"/>
      <c r="K45" s="23"/>
      <c r="L45" s="23"/>
      <c r="M45" s="23"/>
      <c r="N45" s="22"/>
      <c r="O45" s="22"/>
      <c r="P45" s="24" t="str">
        <f>IF(OR($J45="",$J45="odešel"),IF(K45="","",IF($F45="žena",CHOOSE(_xlfn.ARABIC($H45),MATCH(K45+1,'[1]Normy VP'!$C$25:$F$25,-1),MATCH(K45+1,'[1]Normy VP'!$C$26:$F$26,-1),MATCH(K45+1,'[1]Normy VP'!$C$27:$F$27,-1),MATCH(K45+1,'[1]Normy VP'!$C$28:$F$28,-1),MATCH(K45+1,'[1]Normy VP'!$C$29:$F$29,-1),"muž"),CHOOSE(_xlfn.ARABIC($H45),MATCH(K45+1,'[1]Normy VP'!$C$10:$F$10,-1),MATCH(K45+1,'[1]Normy VP'!$C$11:$F$11,-1),MATCH(K45+1,'[1]Normy VP'!$C$12:$F$12,-1),MATCH(K45+1,'[1]Normy VP'!$C$13:$F$13,-1),MATCH(K45+1,'[1]Normy VP'!$C$14:$F$14,-1),""))),"O")</f>
        <v/>
      </c>
      <c r="Q45" s="24" t="str">
        <f>IF(OR($J45="",$J45="odešel"),IF($F45="žena","",IF(L45="","",(CHOOSE(_xlfn.ARABIC($H45),MATCH(L45+1,'[1]Normy VP'!$G$10:$J$10,-1),MATCH(L45+1,'[1]Normy VP'!$G$11:$J$11,-1),MATCH(L45+1,'[1]Normy VP'!$G$12:$J$12,-1),MATCH(L45+1,'[1]Normy VP'!$G$13:$J$13,-1),MATCH(L45+1,'[1]Normy VP'!$G$14:$J$14,-1),"")))),"O")</f>
        <v/>
      </c>
      <c r="R45" s="34" t="str">
        <f t="shared" si="1"/>
        <v>N</v>
      </c>
      <c r="S45" s="24" t="str">
        <f>IF(OR($J45="",$J45="odešel"),IF(M45="","N",IF($F45="žena",CHOOSE(_xlfn.ARABIC($H45),MATCH(M45+1,'[1]Normy VP'!$G$25:$J$25,-1),MATCH(M45+1,'[1]Normy VP'!$G$26:$J$26,-1),MATCH(M45+1,'[1]Normy VP'!$G$27:$J$27,-1),MATCH(M45+1,'[1]Normy VP'!$G$28:$J$28,-1),MATCH(M45+1,'[1]Normy VP'!$G$29:$J$29,-1),"muž"),(CHOOSE(_xlfn.ARABIC($H45),MATCH(M45+1,'[1]Normy VP'!$K$10:$N$10,-1),MATCH(M45+1,'[1]Normy VP'!$K$11:$N$11,-1),MATCH(M45+1,'[1]Normy VP'!$K$12:$N$12,-1),MATCH(M45+1,'[1]Normy VP'!$K$13:$N$13,-1),MATCH(M45+1,'[1]Normy VP'!$K$14:$N$14,-1),"")))),"O")</f>
        <v>N</v>
      </c>
      <c r="T45" s="34" t="str">
        <f t="shared" si="2"/>
        <v>N</v>
      </c>
      <c r="U45" s="24" t="str">
        <f>IF(OR($J45="",$J45="odešel"),IF(N45="","N",IF($F45="žena",CHOOSE(_xlfn.ARABIC($H45),MATCH(N45+1,'[1]Normy VP'!$K$25:$N$25,-1),MATCH(N45+1,'[1]Normy VP'!$K$26:$N$26,-1),MATCH(N45+1,'[1]Normy VP'!$K$27:$N$27,-1),MATCH(N45+1,'[1]Normy VP'!$K$28:$N$28,-1),MATCH(N45+1,'[1]Normy VP'!$K$29:$N$29,-1),MATCH(N45+1,'[1]Normy VP'!$K$30:$N$30,-1)),CHOOSE(_xlfn.ARABIC($H45),MATCH(N45+1,'[1]Normy VP'!$O$10:$R$10,-1),MATCH(N45+1,'[1]Normy VP'!$O$11:$R$11,-1),MATCH(N45+1,'[1]Normy VP'!$O$12:$R$12,-1),MATCH(N45+1,'[1]Normy VP'!$O$13:$R$13,-1),MATCH(N45+1,'[1]Normy VP'!$O$14:$R$14,-1),MATCH(N45+1,'[1]Normy VP'!$O$15:$R$15,-1)))),"O")</f>
        <v>N</v>
      </c>
      <c r="V45" s="26" t="str">
        <f>IF(OR($J45="",$J45="odešel"),IF(O45="","N",IF($F45="žena",CHOOSE(_xlfn.ARABIC($H45),MATCH(O45-1,'[1]Normy VP'!$O$25:$R$25),MATCH(O45-1,'[1]Normy VP'!$O$26:$R$26),MATCH(O45-1,'[1]Normy VP'!$O$27:$R$27),MATCH(O45-1,'[1]Normy VP'!$O$28:$R$28),MATCH(O45-1,'[1]Normy VP'!$O$29:$R$29),MATCH(O45-1,'[1]Normy VP'!$O$30:$R$30)),CHOOSE(_xlfn.ARABIC($H45),MATCH(O45-1,'[1]Normy VP'!$S$10:$V$10),MATCH(O45-1,'[1]Normy VP'!$S$11:$V$11),MATCH(O45-1,'[1]Normy VP'!$S$12:$V$12),MATCH(O45-1,'[1]Normy VP'!$S$13:$V$13),MATCH(O45-1,'[1]Normy VP'!$S$14:$V$14),MATCH(O45-1,'[1]Normy VP'!$S$15:$V$15)))),"O")</f>
        <v>N</v>
      </c>
      <c r="W45" s="34" t="str">
        <f t="shared" si="3"/>
        <v>N</v>
      </c>
      <c r="X45" s="27" t="str">
        <f>IF(COUNTIF(B45:G45,"")&gt;0,"",IF(COUNTIF([1]PP!$A:$A,A45)=0,"neni v PP",IF(OR(Y45="odešel",VLOOKUP(A45,[1]PP!$A:$W,22,FALSE)="odešel"),"odešel",IF(OR(Y45="N",VLOOKUP(A45,[1]PP!$A:$W,22,FALSE)="N"),"N",IF(OR(Y45="C",VLOOKUP(A45,[1]PP!$A:$W,22,FALSE)="C"),"C",IF(OR(Y45="DZO",VLOOKUP(A45,[1]PP!$A:$W,22,FALSE)="DZO"),"DZO",IF(OR(Y45="mise",Y45="disp.",Y45="končí",Y45="DSC",VLOOKUP(A45,[1]PP!$A:$W,22,FALSE)="mise",VLOOKUP(A45,[1]PP!$A:$W,22,FALSE)="disp.",VLOOKUP(A45,[1]PP!$A:$W,22,FALSE)="končí",VLOOKUP(A45,[1]PP!$A:$W,22,FALSE)="DSC"),"jiné",IF(OR(Y45=4,VLOOKUP(A45,[1]PP!$A:$W,22,FALSE)=4),4,IF(OR(Y45=3,VLOOKUP(A45,[1]PP!$A:$W,22,FALSE)=3),3,IF(OR(Y45=2,VLOOKUP(A45,[1]PP!$A:$W,22,FALSE)=2),2,IF(AND(Y45=1,VLOOKUP(A45,[1]PP!$A:$W,22,FALSE)=1),1)))))))))))</f>
        <v/>
      </c>
      <c r="Y45" s="28" t="str">
        <f>IF(COUNTIF(B45:G45,"")&gt;0,"",IF(COUNTIF([1]PP!$A:$A,A45)=0,"neni v PP",IF(VLOOKUP(A45,[1]PP!$A:$W,8,FALSE)="odešel","odešel",IF(F45="","",IF(J45="",IF(OR(T45=4,W45=4),4,IF(AND(T45="N",W45="N"),"N",IF(OR(T45="N",W45="N"),4,ROUND(AVERAGE(T45,W45),0)))),J45)))))</f>
        <v/>
      </c>
      <c r="Z45" s="29" t="str">
        <f>IF(COUNTIF(B45:G45,"")=0,IF(X45="neni v PP",CONCATENATE("ID: &lt;",A45,"&gt; se neshoduje s žádným IDem v kartě PP"),IF(COUNTIF($A:$A,A45)&gt;1,CONCATENATE("ID: &lt;",A45,"&gt; se v kartě VP opakuje. Je nutné tyto IDy od sebe odlišit, např. mezerou za příjmením."),IF(COUNTIF([1]PP!A:A,A45)&gt;1,CONCATENATE("ID: &lt;",A45,"&gt; se v kartě PP opakuje. Je nutné tyto IDy od sebe odlišit, např. mezerou za příjmením."),IF(VLOOKUP(A45,[1]PP!$A:$W,5,FALSE)&lt;&gt;E45,CONCATENATE($E$4," &lt;",E45,"&gt; se neshoduje s jednotkou v kartě PP"," &lt;",VLOOKUP(A45,[1]PP!$A:$W,5,FALSE),"&gt;"),IF(AND(COUNTIF(K45:O45,"")&lt;5,J45="",I45=""),CONCATENATE("Doplň: ",$I$4),IF(AND(YEAR(I45)&lt;&gt;$E$2,COUNTIF(I45,"")=0),CONCATENATE("špatně uveden &lt;",$D$2,"&gt; nebo &lt;",$I$4,"&gt;"),IF(OR(AND(OR(COUNTIF(C45,"*a"),COUNTIF(C45,"*ie"),COUNTIF(C45,"*ine"),COUNTIF(D45,"*Á")),F45="muž"),AND(AND(COUNTIF(C45,"&lt;&gt;"&amp;"*a"),COUNTIF(C45,"&lt;&gt;"&amp;"*ie"),COUNTIF(C45,"&lt;&gt;"&amp;"*ine"),COUNTIF(D45,"&lt;&gt;"&amp;"*Á")),F45="žena")),CONCATENATE(C45," ",D45," je ",F45,"?"),""))))))),IF(COUNTIF(B45:O45,"")=14,"",CONCATENATE("Doplň: ",IF(B45="",CONCATENATE($B$4,IF(COUNTIF(C45:G45,"")=0,"",", ")),""),IF(C45="",CONCATENATE($C$4,IF(COUNTIF(D45:G45,"")=0,"",", ")),""),IF(D45="",CONCATENATE($D$4,IF(COUNTIF(E45:G45,"")=0,"",", ")),""),IF(E45="",CONCATENATE($E$4,IF(COUNTIF(F45:G45,"")=0,"",", ")),""),IF(F45="",CONCATENATE($F$4,IF(G45="",", ","")),""),IF(G45="",$G$4,""))))</f>
        <v/>
      </c>
      <c r="AA45" s="30"/>
    </row>
    <row r="46" spans="1:27" ht="16" x14ac:dyDescent="0.35">
      <c r="A46" s="14" t="str">
        <f t="shared" si="0"/>
        <v xml:space="preserve">  </v>
      </c>
      <c r="B46" s="15"/>
      <c r="C46" s="31"/>
      <c r="D46" s="31"/>
      <c r="E46" s="17"/>
      <c r="F46" s="18"/>
      <c r="G46" s="32"/>
      <c r="H46" s="33" t="str">
        <f>IF(G46="","",IF(F46="žena",ROMAN(MATCH(G46+1,'[1]Normy VP'!$Y$27:$Y$33,-1)),ROMAN(MATCH(G46+1,'[1]Normy VP'!$Y$19:$Y$25,-1))))</f>
        <v/>
      </c>
      <c r="I46" s="21"/>
      <c r="J46" s="22"/>
      <c r="K46" s="23"/>
      <c r="L46" s="23"/>
      <c r="M46" s="23"/>
      <c r="N46" s="22"/>
      <c r="O46" s="22"/>
      <c r="P46" s="24" t="str">
        <f>IF(OR($J46="",$J46="odešel"),IF(K46="","",IF($F46="žena",CHOOSE(_xlfn.ARABIC($H46),MATCH(K46+1,'[1]Normy VP'!$C$25:$F$25,-1),MATCH(K46+1,'[1]Normy VP'!$C$26:$F$26,-1),MATCH(K46+1,'[1]Normy VP'!$C$27:$F$27,-1),MATCH(K46+1,'[1]Normy VP'!$C$28:$F$28,-1),MATCH(K46+1,'[1]Normy VP'!$C$29:$F$29,-1),"muž"),CHOOSE(_xlfn.ARABIC($H46),MATCH(K46+1,'[1]Normy VP'!$C$10:$F$10,-1),MATCH(K46+1,'[1]Normy VP'!$C$11:$F$11,-1),MATCH(K46+1,'[1]Normy VP'!$C$12:$F$12,-1),MATCH(K46+1,'[1]Normy VP'!$C$13:$F$13,-1),MATCH(K46+1,'[1]Normy VP'!$C$14:$F$14,-1),""))),"O")</f>
        <v/>
      </c>
      <c r="Q46" s="24" t="str">
        <f>IF(OR($J46="",$J46="odešel"),IF($F46="žena","",IF(L46="","",(CHOOSE(_xlfn.ARABIC($H46),MATCH(L46+1,'[1]Normy VP'!$G$10:$J$10,-1),MATCH(L46+1,'[1]Normy VP'!$G$11:$J$11,-1),MATCH(L46+1,'[1]Normy VP'!$G$12:$J$12,-1),MATCH(L46+1,'[1]Normy VP'!$G$13:$J$13,-1),MATCH(L46+1,'[1]Normy VP'!$G$14:$J$14,-1),"")))),"O")</f>
        <v/>
      </c>
      <c r="R46" s="34" t="str">
        <f t="shared" si="1"/>
        <v>N</v>
      </c>
      <c r="S46" s="24" t="str">
        <f>IF(OR($J46="",$J46="odešel"),IF(M46="","N",IF($F46="žena",CHOOSE(_xlfn.ARABIC($H46),MATCH(M46+1,'[1]Normy VP'!$G$25:$J$25,-1),MATCH(M46+1,'[1]Normy VP'!$G$26:$J$26,-1),MATCH(M46+1,'[1]Normy VP'!$G$27:$J$27,-1),MATCH(M46+1,'[1]Normy VP'!$G$28:$J$28,-1),MATCH(M46+1,'[1]Normy VP'!$G$29:$J$29,-1),"muž"),(CHOOSE(_xlfn.ARABIC($H46),MATCH(M46+1,'[1]Normy VP'!$K$10:$N$10,-1),MATCH(M46+1,'[1]Normy VP'!$K$11:$N$11,-1),MATCH(M46+1,'[1]Normy VP'!$K$12:$N$12,-1),MATCH(M46+1,'[1]Normy VP'!$K$13:$N$13,-1),MATCH(M46+1,'[1]Normy VP'!$K$14:$N$14,-1),"")))),"O")</f>
        <v>N</v>
      </c>
      <c r="T46" s="34" t="str">
        <f t="shared" si="2"/>
        <v>N</v>
      </c>
      <c r="U46" s="24" t="str">
        <f>IF(OR($J46="",$J46="odešel"),IF(N46="","N",IF($F46="žena",CHOOSE(_xlfn.ARABIC($H46),MATCH(N46+1,'[1]Normy VP'!$K$25:$N$25,-1),MATCH(N46+1,'[1]Normy VP'!$K$26:$N$26,-1),MATCH(N46+1,'[1]Normy VP'!$K$27:$N$27,-1),MATCH(N46+1,'[1]Normy VP'!$K$28:$N$28,-1),MATCH(N46+1,'[1]Normy VP'!$K$29:$N$29,-1),MATCH(N46+1,'[1]Normy VP'!$K$30:$N$30,-1)),CHOOSE(_xlfn.ARABIC($H46),MATCH(N46+1,'[1]Normy VP'!$O$10:$R$10,-1),MATCH(N46+1,'[1]Normy VP'!$O$11:$R$11,-1),MATCH(N46+1,'[1]Normy VP'!$O$12:$R$12,-1),MATCH(N46+1,'[1]Normy VP'!$O$13:$R$13,-1),MATCH(N46+1,'[1]Normy VP'!$O$14:$R$14,-1),MATCH(N46+1,'[1]Normy VP'!$O$15:$R$15,-1)))),"O")</f>
        <v>N</v>
      </c>
      <c r="V46" s="26" t="str">
        <f>IF(OR($J46="",$J46="odešel"),IF(O46="","N",IF($F46="žena",CHOOSE(_xlfn.ARABIC($H46),MATCH(O46-1,'[1]Normy VP'!$O$25:$R$25),MATCH(O46-1,'[1]Normy VP'!$O$26:$R$26),MATCH(O46-1,'[1]Normy VP'!$O$27:$R$27),MATCH(O46-1,'[1]Normy VP'!$O$28:$R$28),MATCH(O46-1,'[1]Normy VP'!$O$29:$R$29),MATCH(O46-1,'[1]Normy VP'!$O$30:$R$30)),CHOOSE(_xlfn.ARABIC($H46),MATCH(O46-1,'[1]Normy VP'!$S$10:$V$10),MATCH(O46-1,'[1]Normy VP'!$S$11:$V$11),MATCH(O46-1,'[1]Normy VP'!$S$12:$V$12),MATCH(O46-1,'[1]Normy VP'!$S$13:$V$13),MATCH(O46-1,'[1]Normy VP'!$S$14:$V$14),MATCH(O46-1,'[1]Normy VP'!$S$15:$V$15)))),"O")</f>
        <v>N</v>
      </c>
      <c r="W46" s="34" t="str">
        <f t="shared" si="3"/>
        <v>N</v>
      </c>
      <c r="X46" s="27" t="str">
        <f>IF(COUNTIF(B46:G46,"")&gt;0,"",IF(COUNTIF([1]PP!$A:$A,A46)=0,"neni v PP",IF(OR(Y46="odešel",VLOOKUP(A46,[1]PP!$A:$W,22,FALSE)="odešel"),"odešel",IF(OR(Y46="N",VLOOKUP(A46,[1]PP!$A:$W,22,FALSE)="N"),"N",IF(OR(Y46="C",VLOOKUP(A46,[1]PP!$A:$W,22,FALSE)="C"),"C",IF(OR(Y46="DZO",VLOOKUP(A46,[1]PP!$A:$W,22,FALSE)="DZO"),"DZO",IF(OR(Y46="mise",Y46="disp.",Y46="končí",Y46="DSC",VLOOKUP(A46,[1]PP!$A:$W,22,FALSE)="mise",VLOOKUP(A46,[1]PP!$A:$W,22,FALSE)="disp.",VLOOKUP(A46,[1]PP!$A:$W,22,FALSE)="končí",VLOOKUP(A46,[1]PP!$A:$W,22,FALSE)="DSC"),"jiné",IF(OR(Y46=4,VLOOKUP(A46,[1]PP!$A:$W,22,FALSE)=4),4,IF(OR(Y46=3,VLOOKUP(A46,[1]PP!$A:$W,22,FALSE)=3),3,IF(OR(Y46=2,VLOOKUP(A46,[1]PP!$A:$W,22,FALSE)=2),2,IF(AND(Y46=1,VLOOKUP(A46,[1]PP!$A:$W,22,FALSE)=1),1)))))))))))</f>
        <v/>
      </c>
      <c r="Y46" s="28" t="str">
        <f>IF(COUNTIF(B46:G46,"")&gt;0,"",IF(COUNTIF([1]PP!$A:$A,A46)=0,"neni v PP",IF(VLOOKUP(A46,[1]PP!$A:$W,8,FALSE)="odešel","odešel",IF(F46="","",IF(J46="",IF(OR(T46=4,W46=4),4,IF(AND(T46="N",W46="N"),"N",IF(OR(T46="N",W46="N"),4,ROUND(AVERAGE(T46,W46),0)))),J46)))))</f>
        <v/>
      </c>
      <c r="Z46" s="29" t="str">
        <f>IF(COUNTIF(B46:G46,"")=0,IF(X46="neni v PP",CONCATENATE("ID: &lt;",A46,"&gt; se neshoduje s žádným IDem v kartě PP"),IF(COUNTIF($A:$A,A46)&gt;1,CONCATENATE("ID: &lt;",A46,"&gt; se v kartě VP opakuje. Je nutné tyto IDy od sebe odlišit, např. mezerou za příjmením."),IF(COUNTIF([1]PP!A:A,A46)&gt;1,CONCATENATE("ID: &lt;",A46,"&gt; se v kartě PP opakuje. Je nutné tyto IDy od sebe odlišit, např. mezerou za příjmením."),IF(VLOOKUP(A46,[1]PP!$A:$W,5,FALSE)&lt;&gt;E46,CONCATENATE($E$4," &lt;",E46,"&gt; se neshoduje s jednotkou v kartě PP"," &lt;",VLOOKUP(A46,[1]PP!$A:$W,5,FALSE),"&gt;"),IF(AND(COUNTIF(K46:O46,"")&lt;5,J46="",I46=""),CONCATENATE("Doplň: ",$I$4),IF(AND(YEAR(I46)&lt;&gt;$E$2,COUNTIF(I46,"")=0),CONCATENATE("špatně uveden &lt;",$D$2,"&gt; nebo &lt;",$I$4,"&gt;"),IF(OR(AND(OR(COUNTIF(C46,"*a"),COUNTIF(C46,"*ie"),COUNTIF(C46,"*ine"),COUNTIF(D46,"*Á")),F46="muž"),AND(AND(COUNTIF(C46,"&lt;&gt;"&amp;"*a"),COUNTIF(C46,"&lt;&gt;"&amp;"*ie"),COUNTIF(C46,"&lt;&gt;"&amp;"*ine"),COUNTIF(D46,"&lt;&gt;"&amp;"*Á")),F46="žena")),CONCATENATE(C46," ",D46," je ",F46,"?"),""))))))),IF(COUNTIF(B46:O46,"")=14,"",CONCATENATE("Doplň: ",IF(B46="",CONCATENATE($B$4,IF(COUNTIF(C46:G46,"")=0,"",", ")),""),IF(C46="",CONCATENATE($C$4,IF(COUNTIF(D46:G46,"")=0,"",", ")),""),IF(D46="",CONCATENATE($D$4,IF(COUNTIF(E46:G46,"")=0,"",", ")),""),IF(E46="",CONCATENATE($E$4,IF(COUNTIF(F46:G46,"")=0,"",", ")),""),IF(F46="",CONCATENATE($F$4,IF(G46="",", ","")),""),IF(G46="",$G$4,""))))</f>
        <v/>
      </c>
      <c r="AA46" s="30"/>
    </row>
    <row r="47" spans="1:27" ht="16" x14ac:dyDescent="0.35">
      <c r="A47" s="14" t="str">
        <f t="shared" si="0"/>
        <v xml:space="preserve">  </v>
      </c>
      <c r="B47" s="15"/>
      <c r="C47" s="31"/>
      <c r="D47" s="31"/>
      <c r="E47" s="17"/>
      <c r="F47" s="18"/>
      <c r="G47" s="32"/>
      <c r="H47" s="33" t="str">
        <f>IF(G47="","",IF(F47="žena",ROMAN(MATCH(G47+1,'[1]Normy VP'!$Y$27:$Y$33,-1)),ROMAN(MATCH(G47+1,'[1]Normy VP'!$Y$19:$Y$25,-1))))</f>
        <v/>
      </c>
      <c r="I47" s="21"/>
      <c r="J47" s="22"/>
      <c r="K47" s="23"/>
      <c r="L47" s="23"/>
      <c r="M47" s="23"/>
      <c r="N47" s="22"/>
      <c r="O47" s="22"/>
      <c r="P47" s="24" t="str">
        <f>IF(OR($J47="",$J47="odešel"),IF(K47="","",IF($F47="žena",CHOOSE(_xlfn.ARABIC($H47),MATCH(K47+1,'[1]Normy VP'!$C$25:$F$25,-1),MATCH(K47+1,'[1]Normy VP'!$C$26:$F$26,-1),MATCH(K47+1,'[1]Normy VP'!$C$27:$F$27,-1),MATCH(K47+1,'[1]Normy VP'!$C$28:$F$28,-1),MATCH(K47+1,'[1]Normy VP'!$C$29:$F$29,-1),"muž"),CHOOSE(_xlfn.ARABIC($H47),MATCH(K47+1,'[1]Normy VP'!$C$10:$F$10,-1),MATCH(K47+1,'[1]Normy VP'!$C$11:$F$11,-1),MATCH(K47+1,'[1]Normy VP'!$C$12:$F$12,-1),MATCH(K47+1,'[1]Normy VP'!$C$13:$F$13,-1),MATCH(K47+1,'[1]Normy VP'!$C$14:$F$14,-1),""))),"O")</f>
        <v/>
      </c>
      <c r="Q47" s="24" t="str">
        <f>IF(OR($J47="",$J47="odešel"),IF($F47="žena","",IF(L47="","",(CHOOSE(_xlfn.ARABIC($H47),MATCH(L47+1,'[1]Normy VP'!$G$10:$J$10,-1),MATCH(L47+1,'[1]Normy VP'!$G$11:$J$11,-1),MATCH(L47+1,'[1]Normy VP'!$G$12:$J$12,-1),MATCH(L47+1,'[1]Normy VP'!$G$13:$J$13,-1),MATCH(L47+1,'[1]Normy VP'!$G$14:$J$14,-1),"")))),"O")</f>
        <v/>
      </c>
      <c r="R47" s="34" t="str">
        <f t="shared" si="1"/>
        <v>N</v>
      </c>
      <c r="S47" s="24" t="str">
        <f>IF(OR($J47="",$J47="odešel"),IF(M47="","N",IF($F47="žena",CHOOSE(_xlfn.ARABIC($H47),MATCH(M47+1,'[1]Normy VP'!$G$25:$J$25,-1),MATCH(M47+1,'[1]Normy VP'!$G$26:$J$26,-1),MATCH(M47+1,'[1]Normy VP'!$G$27:$J$27,-1),MATCH(M47+1,'[1]Normy VP'!$G$28:$J$28,-1),MATCH(M47+1,'[1]Normy VP'!$G$29:$J$29,-1),"muž"),(CHOOSE(_xlfn.ARABIC($H47),MATCH(M47+1,'[1]Normy VP'!$K$10:$N$10,-1),MATCH(M47+1,'[1]Normy VP'!$K$11:$N$11,-1),MATCH(M47+1,'[1]Normy VP'!$K$12:$N$12,-1),MATCH(M47+1,'[1]Normy VP'!$K$13:$N$13,-1),MATCH(M47+1,'[1]Normy VP'!$K$14:$N$14,-1),"")))),"O")</f>
        <v>N</v>
      </c>
      <c r="T47" s="34" t="str">
        <f t="shared" si="2"/>
        <v>N</v>
      </c>
      <c r="U47" s="24" t="str">
        <f>IF(OR($J47="",$J47="odešel"),IF(N47="","N",IF($F47="žena",CHOOSE(_xlfn.ARABIC($H47),MATCH(N47+1,'[1]Normy VP'!$K$25:$N$25,-1),MATCH(N47+1,'[1]Normy VP'!$K$26:$N$26,-1),MATCH(N47+1,'[1]Normy VP'!$K$27:$N$27,-1),MATCH(N47+1,'[1]Normy VP'!$K$28:$N$28,-1),MATCH(N47+1,'[1]Normy VP'!$K$29:$N$29,-1),MATCH(N47+1,'[1]Normy VP'!$K$30:$N$30,-1)),CHOOSE(_xlfn.ARABIC($H47),MATCH(N47+1,'[1]Normy VP'!$O$10:$R$10,-1),MATCH(N47+1,'[1]Normy VP'!$O$11:$R$11,-1),MATCH(N47+1,'[1]Normy VP'!$O$12:$R$12,-1),MATCH(N47+1,'[1]Normy VP'!$O$13:$R$13,-1),MATCH(N47+1,'[1]Normy VP'!$O$14:$R$14,-1),MATCH(N47+1,'[1]Normy VP'!$O$15:$R$15,-1)))),"O")</f>
        <v>N</v>
      </c>
      <c r="V47" s="26" t="str">
        <f>IF(OR($J47="",$J47="odešel"),IF(O47="","N",IF($F47="žena",CHOOSE(_xlfn.ARABIC($H47),MATCH(O47-1,'[1]Normy VP'!$O$25:$R$25),MATCH(O47-1,'[1]Normy VP'!$O$26:$R$26),MATCH(O47-1,'[1]Normy VP'!$O$27:$R$27),MATCH(O47-1,'[1]Normy VP'!$O$28:$R$28),MATCH(O47-1,'[1]Normy VP'!$O$29:$R$29),MATCH(O47-1,'[1]Normy VP'!$O$30:$R$30)),CHOOSE(_xlfn.ARABIC($H47),MATCH(O47-1,'[1]Normy VP'!$S$10:$V$10),MATCH(O47-1,'[1]Normy VP'!$S$11:$V$11),MATCH(O47-1,'[1]Normy VP'!$S$12:$V$12),MATCH(O47-1,'[1]Normy VP'!$S$13:$V$13),MATCH(O47-1,'[1]Normy VP'!$S$14:$V$14),MATCH(O47-1,'[1]Normy VP'!$S$15:$V$15)))),"O")</f>
        <v>N</v>
      </c>
      <c r="W47" s="34" t="str">
        <f t="shared" si="3"/>
        <v>N</v>
      </c>
      <c r="X47" s="27" t="str">
        <f>IF(COUNTIF(B47:G47,"")&gt;0,"",IF(COUNTIF([1]PP!$A:$A,A47)=0,"neni v PP",IF(OR(Y47="odešel",VLOOKUP(A47,[1]PP!$A:$W,22,FALSE)="odešel"),"odešel",IF(OR(Y47="N",VLOOKUP(A47,[1]PP!$A:$W,22,FALSE)="N"),"N",IF(OR(Y47="C",VLOOKUP(A47,[1]PP!$A:$W,22,FALSE)="C"),"C",IF(OR(Y47="DZO",VLOOKUP(A47,[1]PP!$A:$W,22,FALSE)="DZO"),"DZO",IF(OR(Y47="mise",Y47="disp.",Y47="končí",Y47="DSC",VLOOKUP(A47,[1]PP!$A:$W,22,FALSE)="mise",VLOOKUP(A47,[1]PP!$A:$W,22,FALSE)="disp.",VLOOKUP(A47,[1]PP!$A:$W,22,FALSE)="končí",VLOOKUP(A47,[1]PP!$A:$W,22,FALSE)="DSC"),"jiné",IF(OR(Y47=4,VLOOKUP(A47,[1]PP!$A:$W,22,FALSE)=4),4,IF(OR(Y47=3,VLOOKUP(A47,[1]PP!$A:$W,22,FALSE)=3),3,IF(OR(Y47=2,VLOOKUP(A47,[1]PP!$A:$W,22,FALSE)=2),2,IF(AND(Y47=1,VLOOKUP(A47,[1]PP!$A:$W,22,FALSE)=1),1)))))))))))</f>
        <v/>
      </c>
      <c r="Y47" s="28" t="str">
        <f>IF(COUNTIF(B47:G47,"")&gt;0,"",IF(COUNTIF([1]PP!$A:$A,A47)=0,"neni v PP",IF(VLOOKUP(A47,[1]PP!$A:$W,8,FALSE)="odešel","odešel",IF(F47="","",IF(J47="",IF(OR(T47=4,W47=4),4,IF(AND(T47="N",W47="N"),"N",IF(OR(T47="N",W47="N"),4,ROUND(AVERAGE(T47,W47),0)))),J47)))))</f>
        <v/>
      </c>
      <c r="Z47" s="29" t="str">
        <f>IF(COUNTIF(B47:G47,"")=0,IF(X47="neni v PP",CONCATENATE("ID: &lt;",A47,"&gt; se neshoduje s žádným IDem v kartě PP"),IF(COUNTIF($A:$A,A47)&gt;1,CONCATENATE("ID: &lt;",A47,"&gt; se v kartě VP opakuje. Je nutné tyto IDy od sebe odlišit, např. mezerou za příjmením."),IF(COUNTIF([1]PP!A:A,A47)&gt;1,CONCATENATE("ID: &lt;",A47,"&gt; se v kartě PP opakuje. Je nutné tyto IDy od sebe odlišit, např. mezerou za příjmením."),IF(VLOOKUP(A47,[1]PP!$A:$W,5,FALSE)&lt;&gt;E47,CONCATENATE($E$4," &lt;",E47,"&gt; se neshoduje s jednotkou v kartě PP"," &lt;",VLOOKUP(A47,[1]PP!$A:$W,5,FALSE),"&gt;"),IF(AND(COUNTIF(K47:O47,"")&lt;5,J47="",I47=""),CONCATENATE("Doplň: ",$I$4),IF(AND(YEAR(I47)&lt;&gt;$E$2,COUNTIF(I47,"")=0),CONCATENATE("špatně uveden &lt;",$D$2,"&gt; nebo &lt;",$I$4,"&gt;"),IF(OR(AND(OR(COUNTIF(C47,"*a"),COUNTIF(C47,"*ie"),COUNTIF(C47,"*ine"),COUNTIF(D47,"*Á")),F47="muž"),AND(AND(COUNTIF(C47,"&lt;&gt;"&amp;"*a"),COUNTIF(C47,"&lt;&gt;"&amp;"*ie"),COUNTIF(C47,"&lt;&gt;"&amp;"*ine"),COUNTIF(D47,"&lt;&gt;"&amp;"*Á")),F47="žena")),CONCATENATE(C47," ",D47," je ",F47,"?"),""))))))),IF(COUNTIF(B47:O47,"")=14,"",CONCATENATE("Doplň: ",IF(B47="",CONCATENATE($B$4,IF(COUNTIF(C47:G47,"")=0,"",", ")),""),IF(C47="",CONCATENATE($C$4,IF(COUNTIF(D47:G47,"")=0,"",", ")),""),IF(D47="",CONCATENATE($D$4,IF(COUNTIF(E47:G47,"")=0,"",", ")),""),IF(E47="",CONCATENATE($E$4,IF(COUNTIF(F47:G47,"")=0,"",", ")),""),IF(F47="",CONCATENATE($F$4,IF(G47="",", ","")),""),IF(G47="",$G$4,""))))</f>
        <v/>
      </c>
      <c r="AA47" s="30"/>
    </row>
    <row r="48" spans="1:27" ht="16" x14ac:dyDescent="0.35">
      <c r="A48" s="14" t="str">
        <f t="shared" si="0"/>
        <v xml:space="preserve">  </v>
      </c>
      <c r="B48" s="15"/>
      <c r="C48" s="31"/>
      <c r="D48" s="31"/>
      <c r="E48" s="17"/>
      <c r="F48" s="18"/>
      <c r="G48" s="32"/>
      <c r="H48" s="33" t="str">
        <f>IF(G48="","",IF(F48="žena",ROMAN(MATCH(G48+1,'[1]Normy VP'!$Y$27:$Y$33,-1)),ROMAN(MATCH(G48+1,'[1]Normy VP'!$Y$19:$Y$25,-1))))</f>
        <v/>
      </c>
      <c r="I48" s="21"/>
      <c r="J48" s="22"/>
      <c r="K48" s="23"/>
      <c r="L48" s="23"/>
      <c r="M48" s="23"/>
      <c r="N48" s="22"/>
      <c r="O48" s="22"/>
      <c r="P48" s="24" t="str">
        <f>IF(OR($J48="",$J48="odešel"),IF(K48="","",IF($F48="žena",CHOOSE(_xlfn.ARABIC($H48),MATCH(K48+1,'[1]Normy VP'!$C$25:$F$25,-1),MATCH(K48+1,'[1]Normy VP'!$C$26:$F$26,-1),MATCH(K48+1,'[1]Normy VP'!$C$27:$F$27,-1),MATCH(K48+1,'[1]Normy VP'!$C$28:$F$28,-1),MATCH(K48+1,'[1]Normy VP'!$C$29:$F$29,-1),"muž"),CHOOSE(_xlfn.ARABIC($H48),MATCH(K48+1,'[1]Normy VP'!$C$10:$F$10,-1),MATCH(K48+1,'[1]Normy VP'!$C$11:$F$11,-1),MATCH(K48+1,'[1]Normy VP'!$C$12:$F$12,-1),MATCH(K48+1,'[1]Normy VP'!$C$13:$F$13,-1),MATCH(K48+1,'[1]Normy VP'!$C$14:$F$14,-1),""))),"O")</f>
        <v/>
      </c>
      <c r="Q48" s="24" t="str">
        <f>IF(OR($J48="",$J48="odešel"),IF($F48="žena","",IF(L48="","",(CHOOSE(_xlfn.ARABIC($H48),MATCH(L48+1,'[1]Normy VP'!$G$10:$J$10,-1),MATCH(L48+1,'[1]Normy VP'!$G$11:$J$11,-1),MATCH(L48+1,'[1]Normy VP'!$G$12:$J$12,-1),MATCH(L48+1,'[1]Normy VP'!$G$13:$J$13,-1),MATCH(L48+1,'[1]Normy VP'!$G$14:$J$14,-1),"")))),"O")</f>
        <v/>
      </c>
      <c r="R48" s="34" t="str">
        <f t="shared" si="1"/>
        <v>N</v>
      </c>
      <c r="S48" s="24" t="str">
        <f>IF(OR($J48="",$J48="odešel"),IF(M48="","N",IF($F48="žena",CHOOSE(_xlfn.ARABIC($H48),MATCH(M48+1,'[1]Normy VP'!$G$25:$J$25,-1),MATCH(M48+1,'[1]Normy VP'!$G$26:$J$26,-1),MATCH(M48+1,'[1]Normy VP'!$G$27:$J$27,-1),MATCH(M48+1,'[1]Normy VP'!$G$28:$J$28,-1),MATCH(M48+1,'[1]Normy VP'!$G$29:$J$29,-1),"muž"),(CHOOSE(_xlfn.ARABIC($H48),MATCH(M48+1,'[1]Normy VP'!$K$10:$N$10,-1),MATCH(M48+1,'[1]Normy VP'!$K$11:$N$11,-1),MATCH(M48+1,'[1]Normy VP'!$K$12:$N$12,-1),MATCH(M48+1,'[1]Normy VP'!$K$13:$N$13,-1),MATCH(M48+1,'[1]Normy VP'!$K$14:$N$14,-1),"")))),"O")</f>
        <v>N</v>
      </c>
      <c r="T48" s="34" t="str">
        <f t="shared" si="2"/>
        <v>N</v>
      </c>
      <c r="U48" s="24" t="str">
        <f>IF(OR($J48="",$J48="odešel"),IF(N48="","N",IF($F48="žena",CHOOSE(_xlfn.ARABIC($H48),MATCH(N48+1,'[1]Normy VP'!$K$25:$N$25,-1),MATCH(N48+1,'[1]Normy VP'!$K$26:$N$26,-1),MATCH(N48+1,'[1]Normy VP'!$K$27:$N$27,-1),MATCH(N48+1,'[1]Normy VP'!$K$28:$N$28,-1),MATCH(N48+1,'[1]Normy VP'!$K$29:$N$29,-1),MATCH(N48+1,'[1]Normy VP'!$K$30:$N$30,-1)),CHOOSE(_xlfn.ARABIC($H48),MATCH(N48+1,'[1]Normy VP'!$O$10:$R$10,-1),MATCH(N48+1,'[1]Normy VP'!$O$11:$R$11,-1),MATCH(N48+1,'[1]Normy VP'!$O$12:$R$12,-1),MATCH(N48+1,'[1]Normy VP'!$O$13:$R$13,-1),MATCH(N48+1,'[1]Normy VP'!$O$14:$R$14,-1),MATCH(N48+1,'[1]Normy VP'!$O$15:$R$15,-1)))),"O")</f>
        <v>N</v>
      </c>
      <c r="V48" s="26" t="str">
        <f>IF(OR($J48="",$J48="odešel"),IF(O48="","N",IF($F48="žena",CHOOSE(_xlfn.ARABIC($H48),MATCH(O48-1,'[1]Normy VP'!$O$25:$R$25),MATCH(O48-1,'[1]Normy VP'!$O$26:$R$26),MATCH(O48-1,'[1]Normy VP'!$O$27:$R$27),MATCH(O48-1,'[1]Normy VP'!$O$28:$R$28),MATCH(O48-1,'[1]Normy VP'!$O$29:$R$29),MATCH(O48-1,'[1]Normy VP'!$O$30:$R$30)),CHOOSE(_xlfn.ARABIC($H48),MATCH(O48-1,'[1]Normy VP'!$S$10:$V$10),MATCH(O48-1,'[1]Normy VP'!$S$11:$V$11),MATCH(O48-1,'[1]Normy VP'!$S$12:$V$12),MATCH(O48-1,'[1]Normy VP'!$S$13:$V$13),MATCH(O48-1,'[1]Normy VP'!$S$14:$V$14),MATCH(O48-1,'[1]Normy VP'!$S$15:$V$15)))),"O")</f>
        <v>N</v>
      </c>
      <c r="W48" s="34" t="str">
        <f t="shared" si="3"/>
        <v>N</v>
      </c>
      <c r="X48" s="27" t="str">
        <f>IF(COUNTIF(B48:G48,"")&gt;0,"",IF(COUNTIF([1]PP!$A:$A,A48)=0,"neni v PP",IF(OR(Y48="odešel",VLOOKUP(A48,[1]PP!$A:$W,22,FALSE)="odešel"),"odešel",IF(OR(Y48="N",VLOOKUP(A48,[1]PP!$A:$W,22,FALSE)="N"),"N",IF(OR(Y48="C",VLOOKUP(A48,[1]PP!$A:$W,22,FALSE)="C"),"C",IF(OR(Y48="DZO",VLOOKUP(A48,[1]PP!$A:$W,22,FALSE)="DZO"),"DZO",IF(OR(Y48="mise",Y48="disp.",Y48="končí",Y48="DSC",VLOOKUP(A48,[1]PP!$A:$W,22,FALSE)="mise",VLOOKUP(A48,[1]PP!$A:$W,22,FALSE)="disp.",VLOOKUP(A48,[1]PP!$A:$W,22,FALSE)="končí",VLOOKUP(A48,[1]PP!$A:$W,22,FALSE)="DSC"),"jiné",IF(OR(Y48=4,VLOOKUP(A48,[1]PP!$A:$W,22,FALSE)=4),4,IF(OR(Y48=3,VLOOKUP(A48,[1]PP!$A:$W,22,FALSE)=3),3,IF(OR(Y48=2,VLOOKUP(A48,[1]PP!$A:$W,22,FALSE)=2),2,IF(AND(Y48=1,VLOOKUP(A48,[1]PP!$A:$W,22,FALSE)=1),1)))))))))))</f>
        <v/>
      </c>
      <c r="Y48" s="28" t="str">
        <f>IF(COUNTIF(B48:G48,"")&gt;0,"",IF(COUNTIF([1]PP!$A:$A,A48)=0,"neni v PP",IF(VLOOKUP(A48,[1]PP!$A:$W,8,FALSE)="odešel","odešel",IF(F48="","",IF(J48="",IF(OR(T48=4,W48=4),4,IF(AND(T48="N",W48="N"),"N",IF(OR(T48="N",W48="N"),4,ROUND(AVERAGE(T48,W48),0)))),J48)))))</f>
        <v/>
      </c>
      <c r="Z48" s="29" t="str">
        <f>IF(COUNTIF(B48:G48,"")=0,IF(X48="neni v PP",CONCATENATE("ID: &lt;",A48,"&gt; se neshoduje s žádným IDem v kartě PP"),IF(COUNTIF($A:$A,A48)&gt;1,CONCATENATE("ID: &lt;",A48,"&gt; se v kartě VP opakuje. Je nutné tyto IDy od sebe odlišit, např. mezerou za příjmením."),IF(COUNTIF([1]PP!A:A,A48)&gt;1,CONCATENATE("ID: &lt;",A48,"&gt; se v kartě PP opakuje. Je nutné tyto IDy od sebe odlišit, např. mezerou za příjmením."),IF(VLOOKUP(A48,[1]PP!$A:$W,5,FALSE)&lt;&gt;E48,CONCATENATE($E$4," &lt;",E48,"&gt; se neshoduje s jednotkou v kartě PP"," &lt;",VLOOKUP(A48,[1]PP!$A:$W,5,FALSE),"&gt;"),IF(AND(COUNTIF(K48:O48,"")&lt;5,J48="",I48=""),CONCATENATE("Doplň: ",$I$4),IF(AND(YEAR(I48)&lt;&gt;$E$2,COUNTIF(I48,"")=0),CONCATENATE("špatně uveden &lt;",$D$2,"&gt; nebo &lt;",$I$4,"&gt;"),IF(OR(AND(OR(COUNTIF(C48,"*a"),COUNTIF(C48,"*ie"),COUNTIF(C48,"*ine"),COUNTIF(D48,"*Á")),F48="muž"),AND(AND(COUNTIF(C48,"&lt;&gt;"&amp;"*a"),COUNTIF(C48,"&lt;&gt;"&amp;"*ie"),COUNTIF(C48,"&lt;&gt;"&amp;"*ine"),COUNTIF(D48,"&lt;&gt;"&amp;"*Á")),F48="žena")),CONCATENATE(C48," ",D48," je ",F48,"?"),""))))))),IF(COUNTIF(B48:O48,"")=14,"",CONCATENATE("Doplň: ",IF(B48="",CONCATENATE($B$4,IF(COUNTIF(C48:G48,"")=0,"",", ")),""),IF(C48="",CONCATENATE($C$4,IF(COUNTIF(D48:G48,"")=0,"",", ")),""),IF(D48="",CONCATENATE($D$4,IF(COUNTIF(E48:G48,"")=0,"",", ")),""),IF(E48="",CONCATENATE($E$4,IF(COUNTIF(F48:G48,"")=0,"",", ")),""),IF(F48="",CONCATENATE($F$4,IF(G48="",", ","")),""),IF(G48="",$G$4,""))))</f>
        <v/>
      </c>
      <c r="AA48" s="30"/>
    </row>
    <row r="49" spans="1:27" ht="16" x14ac:dyDescent="0.35">
      <c r="A49" s="14" t="str">
        <f t="shared" si="0"/>
        <v xml:space="preserve">  </v>
      </c>
      <c r="B49" s="15"/>
      <c r="C49" s="31"/>
      <c r="D49" s="31"/>
      <c r="E49" s="17"/>
      <c r="F49" s="18"/>
      <c r="G49" s="32"/>
      <c r="H49" s="33" t="str">
        <f>IF(G49="","",IF(F49="žena",ROMAN(MATCH(G49+1,'[1]Normy VP'!$Y$27:$Y$33,-1)),ROMAN(MATCH(G49+1,'[1]Normy VP'!$Y$19:$Y$25,-1))))</f>
        <v/>
      </c>
      <c r="I49" s="21"/>
      <c r="J49" s="22"/>
      <c r="K49" s="23"/>
      <c r="L49" s="23"/>
      <c r="M49" s="23"/>
      <c r="N49" s="22"/>
      <c r="O49" s="22"/>
      <c r="P49" s="24" t="str">
        <f>IF(OR($J49="",$J49="odešel"),IF(K49="","",IF($F49="žena",CHOOSE(_xlfn.ARABIC($H49),MATCH(K49+1,'[1]Normy VP'!$C$25:$F$25,-1),MATCH(K49+1,'[1]Normy VP'!$C$26:$F$26,-1),MATCH(K49+1,'[1]Normy VP'!$C$27:$F$27,-1),MATCH(K49+1,'[1]Normy VP'!$C$28:$F$28,-1),MATCH(K49+1,'[1]Normy VP'!$C$29:$F$29,-1),"muž"),CHOOSE(_xlfn.ARABIC($H49),MATCH(K49+1,'[1]Normy VP'!$C$10:$F$10,-1),MATCH(K49+1,'[1]Normy VP'!$C$11:$F$11,-1),MATCH(K49+1,'[1]Normy VP'!$C$12:$F$12,-1),MATCH(K49+1,'[1]Normy VP'!$C$13:$F$13,-1),MATCH(K49+1,'[1]Normy VP'!$C$14:$F$14,-1),""))),"O")</f>
        <v/>
      </c>
      <c r="Q49" s="24" t="str">
        <f>IF(OR($J49="",$J49="odešel"),IF($F49="žena","",IF(L49="","",(CHOOSE(_xlfn.ARABIC($H49),MATCH(L49+1,'[1]Normy VP'!$G$10:$J$10,-1),MATCH(L49+1,'[1]Normy VP'!$G$11:$J$11,-1),MATCH(L49+1,'[1]Normy VP'!$G$12:$J$12,-1),MATCH(L49+1,'[1]Normy VP'!$G$13:$J$13,-1),MATCH(L49+1,'[1]Normy VP'!$G$14:$J$14,-1),"")))),"O")</f>
        <v/>
      </c>
      <c r="R49" s="34" t="str">
        <f t="shared" si="1"/>
        <v>N</v>
      </c>
      <c r="S49" s="24" t="str">
        <f>IF(OR($J49="",$J49="odešel"),IF(M49="","N",IF($F49="žena",CHOOSE(_xlfn.ARABIC($H49),MATCH(M49+1,'[1]Normy VP'!$G$25:$J$25,-1),MATCH(M49+1,'[1]Normy VP'!$G$26:$J$26,-1),MATCH(M49+1,'[1]Normy VP'!$G$27:$J$27,-1),MATCH(M49+1,'[1]Normy VP'!$G$28:$J$28,-1),MATCH(M49+1,'[1]Normy VP'!$G$29:$J$29,-1),"muž"),(CHOOSE(_xlfn.ARABIC($H49),MATCH(M49+1,'[1]Normy VP'!$K$10:$N$10,-1),MATCH(M49+1,'[1]Normy VP'!$K$11:$N$11,-1),MATCH(M49+1,'[1]Normy VP'!$K$12:$N$12,-1),MATCH(M49+1,'[1]Normy VP'!$K$13:$N$13,-1),MATCH(M49+1,'[1]Normy VP'!$K$14:$N$14,-1),"")))),"O")</f>
        <v>N</v>
      </c>
      <c r="T49" s="34" t="str">
        <f t="shared" si="2"/>
        <v>N</v>
      </c>
      <c r="U49" s="24" t="str">
        <f>IF(OR($J49="",$J49="odešel"),IF(N49="","N",IF($F49="žena",CHOOSE(_xlfn.ARABIC($H49),MATCH(N49+1,'[1]Normy VP'!$K$25:$N$25,-1),MATCH(N49+1,'[1]Normy VP'!$K$26:$N$26,-1),MATCH(N49+1,'[1]Normy VP'!$K$27:$N$27,-1),MATCH(N49+1,'[1]Normy VP'!$K$28:$N$28,-1),MATCH(N49+1,'[1]Normy VP'!$K$29:$N$29,-1),MATCH(N49+1,'[1]Normy VP'!$K$30:$N$30,-1)),CHOOSE(_xlfn.ARABIC($H49),MATCH(N49+1,'[1]Normy VP'!$O$10:$R$10,-1),MATCH(N49+1,'[1]Normy VP'!$O$11:$R$11,-1),MATCH(N49+1,'[1]Normy VP'!$O$12:$R$12,-1),MATCH(N49+1,'[1]Normy VP'!$O$13:$R$13,-1),MATCH(N49+1,'[1]Normy VP'!$O$14:$R$14,-1),MATCH(N49+1,'[1]Normy VP'!$O$15:$R$15,-1)))),"O")</f>
        <v>N</v>
      </c>
      <c r="V49" s="26" t="str">
        <f>IF(OR($J49="",$J49="odešel"),IF(O49="","N",IF($F49="žena",CHOOSE(_xlfn.ARABIC($H49),MATCH(O49-1,'[1]Normy VP'!$O$25:$R$25),MATCH(O49-1,'[1]Normy VP'!$O$26:$R$26),MATCH(O49-1,'[1]Normy VP'!$O$27:$R$27),MATCH(O49-1,'[1]Normy VP'!$O$28:$R$28),MATCH(O49-1,'[1]Normy VP'!$O$29:$R$29),MATCH(O49-1,'[1]Normy VP'!$O$30:$R$30)),CHOOSE(_xlfn.ARABIC($H49),MATCH(O49-1,'[1]Normy VP'!$S$10:$V$10),MATCH(O49-1,'[1]Normy VP'!$S$11:$V$11),MATCH(O49-1,'[1]Normy VP'!$S$12:$V$12),MATCH(O49-1,'[1]Normy VP'!$S$13:$V$13),MATCH(O49-1,'[1]Normy VP'!$S$14:$V$14),MATCH(O49-1,'[1]Normy VP'!$S$15:$V$15)))),"O")</f>
        <v>N</v>
      </c>
      <c r="W49" s="34" t="str">
        <f t="shared" si="3"/>
        <v>N</v>
      </c>
      <c r="X49" s="27" t="str">
        <f>IF(COUNTIF(B49:G49,"")&gt;0,"",IF(COUNTIF([1]PP!$A:$A,A49)=0,"neni v PP",IF(OR(Y49="odešel",VLOOKUP(A49,[1]PP!$A:$W,22,FALSE)="odešel"),"odešel",IF(OR(Y49="N",VLOOKUP(A49,[1]PP!$A:$W,22,FALSE)="N"),"N",IF(OR(Y49="C",VLOOKUP(A49,[1]PP!$A:$W,22,FALSE)="C"),"C",IF(OR(Y49="DZO",VLOOKUP(A49,[1]PP!$A:$W,22,FALSE)="DZO"),"DZO",IF(OR(Y49="mise",Y49="disp.",Y49="končí",Y49="DSC",VLOOKUP(A49,[1]PP!$A:$W,22,FALSE)="mise",VLOOKUP(A49,[1]PP!$A:$W,22,FALSE)="disp.",VLOOKUP(A49,[1]PP!$A:$W,22,FALSE)="končí",VLOOKUP(A49,[1]PP!$A:$W,22,FALSE)="DSC"),"jiné",IF(OR(Y49=4,VLOOKUP(A49,[1]PP!$A:$W,22,FALSE)=4),4,IF(OR(Y49=3,VLOOKUP(A49,[1]PP!$A:$W,22,FALSE)=3),3,IF(OR(Y49=2,VLOOKUP(A49,[1]PP!$A:$W,22,FALSE)=2),2,IF(AND(Y49=1,VLOOKUP(A49,[1]PP!$A:$W,22,FALSE)=1),1)))))))))))</f>
        <v/>
      </c>
      <c r="Y49" s="28" t="str">
        <f>IF(COUNTIF(B49:G49,"")&gt;0,"",IF(COUNTIF([1]PP!$A:$A,A49)=0,"neni v PP",IF(VLOOKUP(A49,[1]PP!$A:$W,8,FALSE)="odešel","odešel",IF(F49="","",IF(J49="",IF(OR(T49=4,W49=4),4,IF(AND(T49="N",W49="N"),"N",IF(OR(T49="N",W49="N"),4,ROUND(AVERAGE(T49,W49),0)))),J49)))))</f>
        <v/>
      </c>
      <c r="Z49" s="29" t="str">
        <f>IF(COUNTIF(B49:G49,"")=0,IF(X49="neni v PP",CONCATENATE("ID: &lt;",A49,"&gt; se neshoduje s žádným IDem v kartě PP"),IF(COUNTIF($A:$A,A49)&gt;1,CONCATENATE("ID: &lt;",A49,"&gt; se v kartě VP opakuje. Je nutné tyto IDy od sebe odlišit, např. mezerou za příjmením."),IF(COUNTIF([1]PP!A:A,A49)&gt;1,CONCATENATE("ID: &lt;",A49,"&gt; se v kartě PP opakuje. Je nutné tyto IDy od sebe odlišit, např. mezerou za příjmením."),IF(VLOOKUP(A49,[1]PP!$A:$W,5,FALSE)&lt;&gt;E49,CONCATENATE($E$4," &lt;",E49,"&gt; se neshoduje s jednotkou v kartě PP"," &lt;",VLOOKUP(A49,[1]PP!$A:$W,5,FALSE),"&gt;"),IF(AND(COUNTIF(K49:O49,"")&lt;5,J49="",I49=""),CONCATENATE("Doplň: ",$I$4),IF(AND(YEAR(I49)&lt;&gt;$E$2,COUNTIF(I49,"")=0),CONCATENATE("špatně uveden &lt;",$D$2,"&gt; nebo &lt;",$I$4,"&gt;"),IF(OR(AND(OR(COUNTIF(C49,"*a"),COUNTIF(C49,"*ie"),COUNTIF(C49,"*ine"),COUNTIF(D49,"*Á")),F49="muž"),AND(AND(COUNTIF(C49,"&lt;&gt;"&amp;"*a"),COUNTIF(C49,"&lt;&gt;"&amp;"*ie"),COUNTIF(C49,"&lt;&gt;"&amp;"*ine"),COUNTIF(D49,"&lt;&gt;"&amp;"*Á")),F49="žena")),CONCATENATE(C49," ",D49," je ",F49,"?"),""))))))),IF(COUNTIF(B49:O49,"")=14,"",CONCATENATE("Doplň: ",IF(B49="",CONCATENATE($B$4,IF(COUNTIF(C49:G49,"")=0,"",", ")),""),IF(C49="",CONCATENATE($C$4,IF(COUNTIF(D49:G49,"")=0,"",", ")),""),IF(D49="",CONCATENATE($D$4,IF(COUNTIF(E49:G49,"")=0,"",", ")),""),IF(E49="",CONCATENATE($E$4,IF(COUNTIF(F49:G49,"")=0,"",", ")),""),IF(F49="",CONCATENATE($F$4,IF(G49="",", ","")),""),IF(G49="",$G$4,""))))</f>
        <v/>
      </c>
      <c r="AA49" s="30"/>
    </row>
    <row r="50" spans="1:27" ht="16" x14ac:dyDescent="0.35">
      <c r="A50" s="14" t="str">
        <f t="shared" si="0"/>
        <v xml:space="preserve">  </v>
      </c>
      <c r="B50" s="15"/>
      <c r="C50" s="31"/>
      <c r="D50" s="31"/>
      <c r="E50" s="17"/>
      <c r="F50" s="18"/>
      <c r="G50" s="32"/>
      <c r="H50" s="33" t="str">
        <f>IF(G50="","",IF(F50="žena",ROMAN(MATCH(G50+1,'[1]Normy VP'!$Y$27:$Y$33,-1)),ROMAN(MATCH(G50+1,'[1]Normy VP'!$Y$19:$Y$25,-1))))</f>
        <v/>
      </c>
      <c r="I50" s="21"/>
      <c r="J50" s="22"/>
      <c r="K50" s="23"/>
      <c r="L50" s="23"/>
      <c r="M50" s="23"/>
      <c r="N50" s="22"/>
      <c r="O50" s="22"/>
      <c r="P50" s="24" t="str">
        <f>IF(OR($J50="",$J50="odešel"),IF(K50="","",IF($F50="žena",CHOOSE(_xlfn.ARABIC($H50),MATCH(K50+1,'[1]Normy VP'!$C$25:$F$25,-1),MATCH(K50+1,'[1]Normy VP'!$C$26:$F$26,-1),MATCH(K50+1,'[1]Normy VP'!$C$27:$F$27,-1),MATCH(K50+1,'[1]Normy VP'!$C$28:$F$28,-1),MATCH(K50+1,'[1]Normy VP'!$C$29:$F$29,-1),"muž"),CHOOSE(_xlfn.ARABIC($H50),MATCH(K50+1,'[1]Normy VP'!$C$10:$F$10,-1),MATCH(K50+1,'[1]Normy VP'!$C$11:$F$11,-1),MATCH(K50+1,'[1]Normy VP'!$C$12:$F$12,-1),MATCH(K50+1,'[1]Normy VP'!$C$13:$F$13,-1),MATCH(K50+1,'[1]Normy VP'!$C$14:$F$14,-1),""))),"O")</f>
        <v/>
      </c>
      <c r="Q50" s="24" t="str">
        <f>IF(OR($J50="",$J50="odešel"),IF($F50="žena","",IF(L50="","",(CHOOSE(_xlfn.ARABIC($H50),MATCH(L50+1,'[1]Normy VP'!$G$10:$J$10,-1),MATCH(L50+1,'[1]Normy VP'!$G$11:$J$11,-1),MATCH(L50+1,'[1]Normy VP'!$G$12:$J$12,-1),MATCH(L50+1,'[1]Normy VP'!$G$13:$J$13,-1),MATCH(L50+1,'[1]Normy VP'!$G$14:$J$14,-1),"")))),"O")</f>
        <v/>
      </c>
      <c r="R50" s="34" t="str">
        <f t="shared" si="1"/>
        <v>N</v>
      </c>
      <c r="S50" s="24" t="str">
        <f>IF(OR($J50="",$J50="odešel"),IF(M50="","N",IF($F50="žena",CHOOSE(_xlfn.ARABIC($H50),MATCH(M50+1,'[1]Normy VP'!$G$25:$J$25,-1),MATCH(M50+1,'[1]Normy VP'!$G$26:$J$26,-1),MATCH(M50+1,'[1]Normy VP'!$G$27:$J$27,-1),MATCH(M50+1,'[1]Normy VP'!$G$28:$J$28,-1),MATCH(M50+1,'[1]Normy VP'!$G$29:$J$29,-1),"muž"),(CHOOSE(_xlfn.ARABIC($H50),MATCH(M50+1,'[1]Normy VP'!$K$10:$N$10,-1),MATCH(M50+1,'[1]Normy VP'!$K$11:$N$11,-1),MATCH(M50+1,'[1]Normy VP'!$K$12:$N$12,-1),MATCH(M50+1,'[1]Normy VP'!$K$13:$N$13,-1),MATCH(M50+1,'[1]Normy VP'!$K$14:$N$14,-1),"")))),"O")</f>
        <v>N</v>
      </c>
      <c r="T50" s="34" t="str">
        <f t="shared" si="2"/>
        <v>N</v>
      </c>
      <c r="U50" s="24" t="str">
        <f>IF(OR($J50="",$J50="odešel"),IF(N50="","N",IF($F50="žena",CHOOSE(_xlfn.ARABIC($H50),MATCH(N50+1,'[1]Normy VP'!$K$25:$N$25,-1),MATCH(N50+1,'[1]Normy VP'!$K$26:$N$26,-1),MATCH(N50+1,'[1]Normy VP'!$K$27:$N$27,-1),MATCH(N50+1,'[1]Normy VP'!$K$28:$N$28,-1),MATCH(N50+1,'[1]Normy VP'!$K$29:$N$29,-1),MATCH(N50+1,'[1]Normy VP'!$K$30:$N$30,-1)),CHOOSE(_xlfn.ARABIC($H50),MATCH(N50+1,'[1]Normy VP'!$O$10:$R$10,-1),MATCH(N50+1,'[1]Normy VP'!$O$11:$R$11,-1),MATCH(N50+1,'[1]Normy VP'!$O$12:$R$12,-1),MATCH(N50+1,'[1]Normy VP'!$O$13:$R$13,-1),MATCH(N50+1,'[1]Normy VP'!$O$14:$R$14,-1),MATCH(N50+1,'[1]Normy VP'!$O$15:$R$15,-1)))),"O")</f>
        <v>N</v>
      </c>
      <c r="V50" s="26" t="str">
        <f>IF(OR($J50="",$J50="odešel"),IF(O50="","N",IF($F50="žena",CHOOSE(_xlfn.ARABIC($H50),MATCH(O50-1,'[1]Normy VP'!$O$25:$R$25),MATCH(O50-1,'[1]Normy VP'!$O$26:$R$26),MATCH(O50-1,'[1]Normy VP'!$O$27:$R$27),MATCH(O50-1,'[1]Normy VP'!$O$28:$R$28),MATCH(O50-1,'[1]Normy VP'!$O$29:$R$29),MATCH(O50-1,'[1]Normy VP'!$O$30:$R$30)),CHOOSE(_xlfn.ARABIC($H50),MATCH(O50-1,'[1]Normy VP'!$S$10:$V$10),MATCH(O50-1,'[1]Normy VP'!$S$11:$V$11),MATCH(O50-1,'[1]Normy VP'!$S$12:$V$12),MATCH(O50-1,'[1]Normy VP'!$S$13:$V$13),MATCH(O50-1,'[1]Normy VP'!$S$14:$V$14),MATCH(O50-1,'[1]Normy VP'!$S$15:$V$15)))),"O")</f>
        <v>N</v>
      </c>
      <c r="W50" s="34" t="str">
        <f t="shared" si="3"/>
        <v>N</v>
      </c>
      <c r="X50" s="27" t="str">
        <f>IF(COUNTIF(B50:G50,"")&gt;0,"",IF(COUNTIF([1]PP!$A:$A,A50)=0,"neni v PP",IF(OR(Y50="odešel",VLOOKUP(A50,[1]PP!$A:$W,22,FALSE)="odešel"),"odešel",IF(OR(Y50="N",VLOOKUP(A50,[1]PP!$A:$W,22,FALSE)="N"),"N",IF(OR(Y50="C",VLOOKUP(A50,[1]PP!$A:$W,22,FALSE)="C"),"C",IF(OR(Y50="DZO",VLOOKUP(A50,[1]PP!$A:$W,22,FALSE)="DZO"),"DZO",IF(OR(Y50="mise",Y50="disp.",Y50="končí",Y50="DSC",VLOOKUP(A50,[1]PP!$A:$W,22,FALSE)="mise",VLOOKUP(A50,[1]PP!$A:$W,22,FALSE)="disp.",VLOOKUP(A50,[1]PP!$A:$W,22,FALSE)="končí",VLOOKUP(A50,[1]PP!$A:$W,22,FALSE)="DSC"),"jiné",IF(OR(Y50=4,VLOOKUP(A50,[1]PP!$A:$W,22,FALSE)=4),4,IF(OR(Y50=3,VLOOKUP(A50,[1]PP!$A:$W,22,FALSE)=3),3,IF(OR(Y50=2,VLOOKUP(A50,[1]PP!$A:$W,22,FALSE)=2),2,IF(AND(Y50=1,VLOOKUP(A50,[1]PP!$A:$W,22,FALSE)=1),1)))))))))))</f>
        <v/>
      </c>
      <c r="Y50" s="28" t="str">
        <f>IF(COUNTIF(B50:G50,"")&gt;0,"",IF(COUNTIF([1]PP!$A:$A,A50)=0,"neni v PP",IF(VLOOKUP(A50,[1]PP!$A:$W,8,FALSE)="odešel","odešel",IF(F50="","",IF(J50="",IF(OR(T50=4,W50=4),4,IF(AND(T50="N",W50="N"),"N",IF(OR(T50="N",W50="N"),4,ROUND(AVERAGE(T50,W50),0)))),J50)))))</f>
        <v/>
      </c>
      <c r="Z50" s="29" t="str">
        <f>IF(COUNTIF(B50:G50,"")=0,IF(X50="neni v PP",CONCATENATE("ID: &lt;",A50,"&gt; se neshoduje s žádným IDem v kartě PP"),IF(COUNTIF($A:$A,A50)&gt;1,CONCATENATE("ID: &lt;",A50,"&gt; se v kartě VP opakuje. Je nutné tyto IDy od sebe odlišit, např. mezerou za příjmením."),IF(COUNTIF([1]PP!A:A,A50)&gt;1,CONCATENATE("ID: &lt;",A50,"&gt; se v kartě PP opakuje. Je nutné tyto IDy od sebe odlišit, např. mezerou za příjmením."),IF(VLOOKUP(A50,[1]PP!$A:$W,5,FALSE)&lt;&gt;E50,CONCATENATE($E$4," &lt;",E50,"&gt; se neshoduje s jednotkou v kartě PP"," &lt;",VLOOKUP(A50,[1]PP!$A:$W,5,FALSE),"&gt;"),IF(AND(COUNTIF(K50:O50,"")&lt;5,J50="",I50=""),CONCATENATE("Doplň: ",$I$4),IF(AND(YEAR(I50)&lt;&gt;$E$2,COUNTIF(I50,"")=0),CONCATENATE("špatně uveden &lt;",$D$2,"&gt; nebo &lt;",$I$4,"&gt;"),IF(OR(AND(OR(COUNTIF(C50,"*a"),COUNTIF(C50,"*ie"),COUNTIF(C50,"*ine"),COUNTIF(D50,"*Á")),F50="muž"),AND(AND(COUNTIF(C50,"&lt;&gt;"&amp;"*a"),COUNTIF(C50,"&lt;&gt;"&amp;"*ie"),COUNTIF(C50,"&lt;&gt;"&amp;"*ine"),COUNTIF(D50,"&lt;&gt;"&amp;"*Á")),F50="žena")),CONCATENATE(C50," ",D50," je ",F50,"?"),""))))))),IF(COUNTIF(B50:O50,"")=14,"",CONCATENATE("Doplň: ",IF(B50="",CONCATENATE($B$4,IF(COUNTIF(C50:G50,"")=0,"",", ")),""),IF(C50="",CONCATENATE($C$4,IF(COUNTIF(D50:G50,"")=0,"",", ")),""),IF(D50="",CONCATENATE($D$4,IF(COUNTIF(E50:G50,"")=0,"",", ")),""),IF(E50="",CONCATENATE($E$4,IF(COUNTIF(F50:G50,"")=0,"",", ")),""),IF(F50="",CONCATENATE($F$4,IF(G50="",", ","")),""),IF(G50="",$G$4,""))))</f>
        <v/>
      </c>
      <c r="AA50" s="30"/>
    </row>
    <row r="51" spans="1:27" ht="16" x14ac:dyDescent="0.35">
      <c r="A51" s="14" t="str">
        <f t="shared" si="0"/>
        <v xml:space="preserve">  </v>
      </c>
      <c r="B51" s="15"/>
      <c r="C51" s="31"/>
      <c r="D51" s="31"/>
      <c r="E51" s="17"/>
      <c r="F51" s="18"/>
      <c r="G51" s="32"/>
      <c r="H51" s="33" t="str">
        <f>IF(G51="","",IF(F51="žena",ROMAN(MATCH(G51+1,'[1]Normy VP'!$Y$27:$Y$33,-1)),ROMAN(MATCH(G51+1,'[1]Normy VP'!$Y$19:$Y$25,-1))))</f>
        <v/>
      </c>
      <c r="I51" s="21"/>
      <c r="J51" s="22"/>
      <c r="K51" s="23"/>
      <c r="L51" s="23"/>
      <c r="M51" s="23"/>
      <c r="N51" s="22"/>
      <c r="O51" s="22"/>
      <c r="P51" s="24" t="str">
        <f>IF(OR($J51="",$J51="odešel"),IF(K51="","",IF($F51="žena",CHOOSE(_xlfn.ARABIC($H51),MATCH(K51+1,'[1]Normy VP'!$C$25:$F$25,-1),MATCH(K51+1,'[1]Normy VP'!$C$26:$F$26,-1),MATCH(K51+1,'[1]Normy VP'!$C$27:$F$27,-1),MATCH(K51+1,'[1]Normy VP'!$C$28:$F$28,-1),MATCH(K51+1,'[1]Normy VP'!$C$29:$F$29,-1),"muž"),CHOOSE(_xlfn.ARABIC($H51),MATCH(K51+1,'[1]Normy VP'!$C$10:$F$10,-1),MATCH(K51+1,'[1]Normy VP'!$C$11:$F$11,-1),MATCH(K51+1,'[1]Normy VP'!$C$12:$F$12,-1),MATCH(K51+1,'[1]Normy VP'!$C$13:$F$13,-1),MATCH(K51+1,'[1]Normy VP'!$C$14:$F$14,-1),""))),"O")</f>
        <v/>
      </c>
      <c r="Q51" s="24" t="str">
        <f>IF(OR($J51="",$J51="odešel"),IF($F51="žena","",IF(L51="","",(CHOOSE(_xlfn.ARABIC($H51),MATCH(L51+1,'[1]Normy VP'!$G$10:$J$10,-1),MATCH(L51+1,'[1]Normy VP'!$G$11:$J$11,-1),MATCH(L51+1,'[1]Normy VP'!$G$12:$J$12,-1),MATCH(L51+1,'[1]Normy VP'!$G$13:$J$13,-1),MATCH(L51+1,'[1]Normy VP'!$G$14:$J$14,-1),"")))),"O")</f>
        <v/>
      </c>
      <c r="R51" s="34" t="str">
        <f t="shared" si="1"/>
        <v>N</v>
      </c>
      <c r="S51" s="24" t="str">
        <f>IF(OR($J51="",$J51="odešel"),IF(M51="","N",IF($F51="žena",CHOOSE(_xlfn.ARABIC($H51),MATCH(M51+1,'[1]Normy VP'!$G$25:$J$25,-1),MATCH(M51+1,'[1]Normy VP'!$G$26:$J$26,-1),MATCH(M51+1,'[1]Normy VP'!$G$27:$J$27,-1),MATCH(M51+1,'[1]Normy VP'!$G$28:$J$28,-1),MATCH(M51+1,'[1]Normy VP'!$G$29:$J$29,-1),"muž"),(CHOOSE(_xlfn.ARABIC($H51),MATCH(M51+1,'[1]Normy VP'!$K$10:$N$10,-1),MATCH(M51+1,'[1]Normy VP'!$K$11:$N$11,-1),MATCH(M51+1,'[1]Normy VP'!$K$12:$N$12,-1),MATCH(M51+1,'[1]Normy VP'!$K$13:$N$13,-1),MATCH(M51+1,'[1]Normy VP'!$K$14:$N$14,-1),"")))),"O")</f>
        <v>N</v>
      </c>
      <c r="T51" s="34" t="str">
        <f t="shared" si="2"/>
        <v>N</v>
      </c>
      <c r="U51" s="24" t="str">
        <f>IF(OR($J51="",$J51="odešel"),IF(N51="","N",IF($F51="žena",CHOOSE(_xlfn.ARABIC($H51),MATCH(N51+1,'[1]Normy VP'!$K$25:$N$25,-1),MATCH(N51+1,'[1]Normy VP'!$K$26:$N$26,-1),MATCH(N51+1,'[1]Normy VP'!$K$27:$N$27,-1),MATCH(N51+1,'[1]Normy VP'!$K$28:$N$28,-1),MATCH(N51+1,'[1]Normy VP'!$K$29:$N$29,-1),MATCH(N51+1,'[1]Normy VP'!$K$30:$N$30,-1)),CHOOSE(_xlfn.ARABIC($H51),MATCH(N51+1,'[1]Normy VP'!$O$10:$R$10,-1),MATCH(N51+1,'[1]Normy VP'!$O$11:$R$11,-1),MATCH(N51+1,'[1]Normy VP'!$O$12:$R$12,-1),MATCH(N51+1,'[1]Normy VP'!$O$13:$R$13,-1),MATCH(N51+1,'[1]Normy VP'!$O$14:$R$14,-1),MATCH(N51+1,'[1]Normy VP'!$O$15:$R$15,-1)))),"O")</f>
        <v>N</v>
      </c>
      <c r="V51" s="26" t="str">
        <f>IF(OR($J51="",$J51="odešel"),IF(O51="","N",IF($F51="žena",CHOOSE(_xlfn.ARABIC($H51),MATCH(O51-1,'[1]Normy VP'!$O$25:$R$25),MATCH(O51-1,'[1]Normy VP'!$O$26:$R$26),MATCH(O51-1,'[1]Normy VP'!$O$27:$R$27),MATCH(O51-1,'[1]Normy VP'!$O$28:$R$28),MATCH(O51-1,'[1]Normy VP'!$O$29:$R$29),MATCH(O51-1,'[1]Normy VP'!$O$30:$R$30)),CHOOSE(_xlfn.ARABIC($H51),MATCH(O51-1,'[1]Normy VP'!$S$10:$V$10),MATCH(O51-1,'[1]Normy VP'!$S$11:$V$11),MATCH(O51-1,'[1]Normy VP'!$S$12:$V$12),MATCH(O51-1,'[1]Normy VP'!$S$13:$V$13),MATCH(O51-1,'[1]Normy VP'!$S$14:$V$14),MATCH(O51-1,'[1]Normy VP'!$S$15:$V$15)))),"O")</f>
        <v>N</v>
      </c>
      <c r="W51" s="34" t="str">
        <f t="shared" si="3"/>
        <v>N</v>
      </c>
      <c r="X51" s="27" t="str">
        <f>IF(COUNTIF(B51:G51,"")&gt;0,"",IF(COUNTIF([1]PP!$A:$A,A51)=0,"neni v PP",IF(OR(Y51="odešel",VLOOKUP(A51,[1]PP!$A:$W,22,FALSE)="odešel"),"odešel",IF(OR(Y51="N",VLOOKUP(A51,[1]PP!$A:$W,22,FALSE)="N"),"N",IF(OR(Y51="C",VLOOKUP(A51,[1]PP!$A:$W,22,FALSE)="C"),"C",IF(OR(Y51="DZO",VLOOKUP(A51,[1]PP!$A:$W,22,FALSE)="DZO"),"DZO",IF(OR(Y51="mise",Y51="disp.",Y51="končí",Y51="DSC",VLOOKUP(A51,[1]PP!$A:$W,22,FALSE)="mise",VLOOKUP(A51,[1]PP!$A:$W,22,FALSE)="disp.",VLOOKUP(A51,[1]PP!$A:$W,22,FALSE)="končí",VLOOKUP(A51,[1]PP!$A:$W,22,FALSE)="DSC"),"jiné",IF(OR(Y51=4,VLOOKUP(A51,[1]PP!$A:$W,22,FALSE)=4),4,IF(OR(Y51=3,VLOOKUP(A51,[1]PP!$A:$W,22,FALSE)=3),3,IF(OR(Y51=2,VLOOKUP(A51,[1]PP!$A:$W,22,FALSE)=2),2,IF(AND(Y51=1,VLOOKUP(A51,[1]PP!$A:$W,22,FALSE)=1),1)))))))))))</f>
        <v/>
      </c>
      <c r="Y51" s="28" t="str">
        <f>IF(COUNTIF(B51:G51,"")&gt;0,"",IF(COUNTIF([1]PP!$A:$A,A51)=0,"neni v PP",IF(VLOOKUP(A51,[1]PP!$A:$W,8,FALSE)="odešel","odešel",IF(F51="","",IF(J51="",IF(OR(T51=4,W51=4),4,IF(AND(T51="N",W51="N"),"N",IF(OR(T51="N",W51="N"),4,ROUND(AVERAGE(T51,W51),0)))),J51)))))</f>
        <v/>
      </c>
      <c r="Z51" s="29" t="str">
        <f>IF(COUNTIF(B51:G51,"")=0,IF(X51="neni v PP",CONCATENATE("ID: &lt;",A51,"&gt; se neshoduje s žádným IDem v kartě PP"),IF(COUNTIF($A:$A,A51)&gt;1,CONCATENATE("ID: &lt;",A51,"&gt; se v kartě VP opakuje. Je nutné tyto IDy od sebe odlišit, např. mezerou za příjmením."),IF(COUNTIF([1]PP!A:A,A51)&gt;1,CONCATENATE("ID: &lt;",A51,"&gt; se v kartě PP opakuje. Je nutné tyto IDy od sebe odlišit, např. mezerou za příjmením."),IF(VLOOKUP(A51,[1]PP!$A:$W,5,FALSE)&lt;&gt;E51,CONCATENATE($E$4," &lt;",E51,"&gt; se neshoduje s jednotkou v kartě PP"," &lt;",VLOOKUP(A51,[1]PP!$A:$W,5,FALSE),"&gt;"),IF(AND(COUNTIF(K51:O51,"")&lt;5,J51="",I51=""),CONCATENATE("Doplň: ",$I$4),IF(AND(YEAR(I51)&lt;&gt;$E$2,COUNTIF(I51,"")=0),CONCATENATE("špatně uveden &lt;",$D$2,"&gt; nebo &lt;",$I$4,"&gt;"),IF(OR(AND(OR(COUNTIF(C51,"*a"),COUNTIF(C51,"*ie"),COUNTIF(C51,"*ine"),COUNTIF(D51,"*Á")),F51="muž"),AND(AND(COUNTIF(C51,"&lt;&gt;"&amp;"*a"),COUNTIF(C51,"&lt;&gt;"&amp;"*ie"),COUNTIF(C51,"&lt;&gt;"&amp;"*ine"),COUNTIF(D51,"&lt;&gt;"&amp;"*Á")),F51="žena")),CONCATENATE(C51," ",D51," je ",F51,"?"),""))))))),IF(COUNTIF(B51:O51,"")=14,"",CONCATENATE("Doplň: ",IF(B51="",CONCATENATE($B$4,IF(COUNTIF(C51:G51,"")=0,"",", ")),""),IF(C51="",CONCATENATE($C$4,IF(COUNTIF(D51:G51,"")=0,"",", ")),""),IF(D51="",CONCATENATE($D$4,IF(COUNTIF(E51:G51,"")=0,"",", ")),""),IF(E51="",CONCATENATE($E$4,IF(COUNTIF(F51:G51,"")=0,"",", ")),""),IF(F51="",CONCATENATE($F$4,IF(G51="",", ","")),""),IF(G51="",$G$4,""))))</f>
        <v/>
      </c>
      <c r="AA51" s="30"/>
    </row>
    <row r="52" spans="1:27" ht="16" x14ac:dyDescent="0.35">
      <c r="A52" s="14" t="str">
        <f t="shared" si="0"/>
        <v xml:space="preserve">  </v>
      </c>
      <c r="B52" s="15"/>
      <c r="C52" s="31"/>
      <c r="D52" s="31"/>
      <c r="E52" s="17"/>
      <c r="F52" s="18"/>
      <c r="G52" s="32"/>
      <c r="H52" s="33" t="str">
        <f>IF(G52="","",IF(F52="žena",ROMAN(MATCH(G52+1,'[1]Normy VP'!$Y$27:$Y$33,-1)),ROMAN(MATCH(G52+1,'[1]Normy VP'!$Y$19:$Y$25,-1))))</f>
        <v/>
      </c>
      <c r="I52" s="21"/>
      <c r="J52" s="22"/>
      <c r="K52" s="23"/>
      <c r="L52" s="23"/>
      <c r="M52" s="23"/>
      <c r="N52" s="22"/>
      <c r="O52" s="22"/>
      <c r="P52" s="24" t="str">
        <f>IF(OR($J52="",$J52="odešel"),IF(K52="","",IF($F52="žena",CHOOSE(_xlfn.ARABIC($H52),MATCH(K52+1,'[1]Normy VP'!$C$25:$F$25,-1),MATCH(K52+1,'[1]Normy VP'!$C$26:$F$26,-1),MATCH(K52+1,'[1]Normy VP'!$C$27:$F$27,-1),MATCH(K52+1,'[1]Normy VP'!$C$28:$F$28,-1),MATCH(K52+1,'[1]Normy VP'!$C$29:$F$29,-1),"muž"),CHOOSE(_xlfn.ARABIC($H52),MATCH(K52+1,'[1]Normy VP'!$C$10:$F$10,-1),MATCH(K52+1,'[1]Normy VP'!$C$11:$F$11,-1),MATCH(K52+1,'[1]Normy VP'!$C$12:$F$12,-1),MATCH(K52+1,'[1]Normy VP'!$C$13:$F$13,-1),MATCH(K52+1,'[1]Normy VP'!$C$14:$F$14,-1),""))),"O")</f>
        <v/>
      </c>
      <c r="Q52" s="24" t="str">
        <f>IF(OR($J52="",$J52="odešel"),IF($F52="žena","",IF(L52="","",(CHOOSE(_xlfn.ARABIC($H52),MATCH(L52+1,'[1]Normy VP'!$G$10:$J$10,-1),MATCH(L52+1,'[1]Normy VP'!$G$11:$J$11,-1),MATCH(L52+1,'[1]Normy VP'!$G$12:$J$12,-1),MATCH(L52+1,'[1]Normy VP'!$G$13:$J$13,-1),MATCH(L52+1,'[1]Normy VP'!$G$14:$J$14,-1),"")))),"O")</f>
        <v/>
      </c>
      <c r="R52" s="34" t="str">
        <f t="shared" si="1"/>
        <v>N</v>
      </c>
      <c r="S52" s="24" t="str">
        <f>IF(OR($J52="",$J52="odešel"),IF(M52="","N",IF($F52="žena",CHOOSE(_xlfn.ARABIC($H52),MATCH(M52+1,'[1]Normy VP'!$G$25:$J$25,-1),MATCH(M52+1,'[1]Normy VP'!$G$26:$J$26,-1),MATCH(M52+1,'[1]Normy VP'!$G$27:$J$27,-1),MATCH(M52+1,'[1]Normy VP'!$G$28:$J$28,-1),MATCH(M52+1,'[1]Normy VP'!$G$29:$J$29,-1),"muž"),(CHOOSE(_xlfn.ARABIC($H52),MATCH(M52+1,'[1]Normy VP'!$K$10:$N$10,-1),MATCH(M52+1,'[1]Normy VP'!$K$11:$N$11,-1),MATCH(M52+1,'[1]Normy VP'!$K$12:$N$12,-1),MATCH(M52+1,'[1]Normy VP'!$K$13:$N$13,-1),MATCH(M52+1,'[1]Normy VP'!$K$14:$N$14,-1),"")))),"O")</f>
        <v>N</v>
      </c>
      <c r="T52" s="34" t="str">
        <f t="shared" si="2"/>
        <v>N</v>
      </c>
      <c r="U52" s="24" t="str">
        <f>IF(OR($J52="",$J52="odešel"),IF(N52="","N",IF($F52="žena",CHOOSE(_xlfn.ARABIC($H52),MATCH(N52+1,'[1]Normy VP'!$K$25:$N$25,-1),MATCH(N52+1,'[1]Normy VP'!$K$26:$N$26,-1),MATCH(N52+1,'[1]Normy VP'!$K$27:$N$27,-1),MATCH(N52+1,'[1]Normy VP'!$K$28:$N$28,-1),MATCH(N52+1,'[1]Normy VP'!$K$29:$N$29,-1),MATCH(N52+1,'[1]Normy VP'!$K$30:$N$30,-1)),CHOOSE(_xlfn.ARABIC($H52),MATCH(N52+1,'[1]Normy VP'!$O$10:$R$10,-1),MATCH(N52+1,'[1]Normy VP'!$O$11:$R$11,-1),MATCH(N52+1,'[1]Normy VP'!$O$12:$R$12,-1),MATCH(N52+1,'[1]Normy VP'!$O$13:$R$13,-1),MATCH(N52+1,'[1]Normy VP'!$O$14:$R$14,-1),MATCH(N52+1,'[1]Normy VP'!$O$15:$R$15,-1)))),"O")</f>
        <v>N</v>
      </c>
      <c r="V52" s="26" t="str">
        <f>IF(OR($J52="",$J52="odešel"),IF(O52="","N",IF($F52="žena",CHOOSE(_xlfn.ARABIC($H52),MATCH(O52-1,'[1]Normy VP'!$O$25:$R$25),MATCH(O52-1,'[1]Normy VP'!$O$26:$R$26),MATCH(O52-1,'[1]Normy VP'!$O$27:$R$27),MATCH(O52-1,'[1]Normy VP'!$O$28:$R$28),MATCH(O52-1,'[1]Normy VP'!$O$29:$R$29),MATCH(O52-1,'[1]Normy VP'!$O$30:$R$30)),CHOOSE(_xlfn.ARABIC($H52),MATCH(O52-1,'[1]Normy VP'!$S$10:$V$10),MATCH(O52-1,'[1]Normy VP'!$S$11:$V$11),MATCH(O52-1,'[1]Normy VP'!$S$12:$V$12),MATCH(O52-1,'[1]Normy VP'!$S$13:$V$13),MATCH(O52-1,'[1]Normy VP'!$S$14:$V$14),MATCH(O52-1,'[1]Normy VP'!$S$15:$V$15)))),"O")</f>
        <v>N</v>
      </c>
      <c r="W52" s="34" t="str">
        <f t="shared" si="3"/>
        <v>N</v>
      </c>
      <c r="X52" s="27" t="str">
        <f>IF(COUNTIF(B52:G52,"")&gt;0,"",IF(COUNTIF([1]PP!$A:$A,A52)=0,"neni v PP",IF(OR(Y52="odešel",VLOOKUP(A52,[1]PP!$A:$W,22,FALSE)="odešel"),"odešel",IF(OR(Y52="N",VLOOKUP(A52,[1]PP!$A:$W,22,FALSE)="N"),"N",IF(OR(Y52="C",VLOOKUP(A52,[1]PP!$A:$W,22,FALSE)="C"),"C",IF(OR(Y52="DZO",VLOOKUP(A52,[1]PP!$A:$W,22,FALSE)="DZO"),"DZO",IF(OR(Y52="mise",Y52="disp.",Y52="končí",Y52="DSC",VLOOKUP(A52,[1]PP!$A:$W,22,FALSE)="mise",VLOOKUP(A52,[1]PP!$A:$W,22,FALSE)="disp.",VLOOKUP(A52,[1]PP!$A:$W,22,FALSE)="končí",VLOOKUP(A52,[1]PP!$A:$W,22,FALSE)="DSC"),"jiné",IF(OR(Y52=4,VLOOKUP(A52,[1]PP!$A:$W,22,FALSE)=4),4,IF(OR(Y52=3,VLOOKUP(A52,[1]PP!$A:$W,22,FALSE)=3),3,IF(OR(Y52=2,VLOOKUP(A52,[1]PP!$A:$W,22,FALSE)=2),2,IF(AND(Y52=1,VLOOKUP(A52,[1]PP!$A:$W,22,FALSE)=1),1)))))))))))</f>
        <v/>
      </c>
      <c r="Y52" s="28" t="str">
        <f>IF(COUNTIF(B52:G52,"")&gt;0,"",IF(COUNTIF([1]PP!$A:$A,A52)=0,"neni v PP",IF(VLOOKUP(A52,[1]PP!$A:$W,8,FALSE)="odešel","odešel",IF(F52="","",IF(J52="",IF(OR(T52=4,W52=4),4,IF(AND(T52="N",W52="N"),"N",IF(OR(T52="N",W52="N"),4,ROUND(AVERAGE(T52,W52),0)))),J52)))))</f>
        <v/>
      </c>
      <c r="Z52" s="29" t="str">
        <f>IF(COUNTIF(B52:G52,"")=0,IF(X52="neni v PP",CONCATENATE("ID: &lt;",A52,"&gt; se neshoduje s žádným IDem v kartě PP"),IF(COUNTIF($A:$A,A52)&gt;1,CONCATENATE("ID: &lt;",A52,"&gt; se v kartě VP opakuje. Je nutné tyto IDy od sebe odlišit, např. mezerou za příjmením."),IF(COUNTIF([1]PP!A:A,A52)&gt;1,CONCATENATE("ID: &lt;",A52,"&gt; se v kartě PP opakuje. Je nutné tyto IDy od sebe odlišit, např. mezerou za příjmením."),IF(VLOOKUP(A52,[1]PP!$A:$W,5,FALSE)&lt;&gt;E52,CONCATENATE($E$4," &lt;",E52,"&gt; se neshoduje s jednotkou v kartě PP"," &lt;",VLOOKUP(A52,[1]PP!$A:$W,5,FALSE),"&gt;"),IF(AND(COUNTIF(K52:O52,"")&lt;5,J52="",I52=""),CONCATENATE("Doplň: ",$I$4),IF(AND(YEAR(I52)&lt;&gt;$E$2,COUNTIF(I52,"")=0),CONCATENATE("špatně uveden &lt;",$D$2,"&gt; nebo &lt;",$I$4,"&gt;"),IF(OR(AND(OR(COUNTIF(C52,"*a"),COUNTIF(C52,"*ie"),COUNTIF(C52,"*ine"),COUNTIF(D52,"*Á")),F52="muž"),AND(AND(COUNTIF(C52,"&lt;&gt;"&amp;"*a"),COUNTIF(C52,"&lt;&gt;"&amp;"*ie"),COUNTIF(C52,"&lt;&gt;"&amp;"*ine"),COUNTIF(D52,"&lt;&gt;"&amp;"*Á")),F52="žena")),CONCATENATE(C52," ",D52," je ",F52,"?"),""))))))),IF(COUNTIF(B52:O52,"")=14,"",CONCATENATE("Doplň: ",IF(B52="",CONCATENATE($B$4,IF(COUNTIF(C52:G52,"")=0,"",", ")),""),IF(C52="",CONCATENATE($C$4,IF(COUNTIF(D52:G52,"")=0,"",", ")),""),IF(D52="",CONCATENATE($D$4,IF(COUNTIF(E52:G52,"")=0,"",", ")),""),IF(E52="",CONCATENATE($E$4,IF(COUNTIF(F52:G52,"")=0,"",", ")),""),IF(F52="",CONCATENATE($F$4,IF(G52="",", ","")),""),IF(G52="",$G$4,""))))</f>
        <v/>
      </c>
      <c r="AA52" s="30"/>
    </row>
    <row r="53" spans="1:27" ht="16" x14ac:dyDescent="0.35">
      <c r="A53" s="14" t="str">
        <f t="shared" si="0"/>
        <v xml:space="preserve">  </v>
      </c>
      <c r="B53" s="15"/>
      <c r="C53" s="31"/>
      <c r="D53" s="31"/>
      <c r="E53" s="17"/>
      <c r="F53" s="18"/>
      <c r="G53" s="32"/>
      <c r="H53" s="33" t="str">
        <f>IF(G53="","",IF(F53="žena",ROMAN(MATCH(G53+1,'[1]Normy VP'!$Y$27:$Y$33,-1)),ROMAN(MATCH(G53+1,'[1]Normy VP'!$Y$19:$Y$25,-1))))</f>
        <v/>
      </c>
      <c r="I53" s="21"/>
      <c r="J53" s="22"/>
      <c r="K53" s="23"/>
      <c r="L53" s="23"/>
      <c r="M53" s="23"/>
      <c r="N53" s="22"/>
      <c r="O53" s="22"/>
      <c r="P53" s="24" t="str">
        <f>IF(OR($J53="",$J53="odešel"),IF(K53="","",IF($F53="žena",CHOOSE(_xlfn.ARABIC($H53),MATCH(K53+1,'[1]Normy VP'!$C$25:$F$25,-1),MATCH(K53+1,'[1]Normy VP'!$C$26:$F$26,-1),MATCH(K53+1,'[1]Normy VP'!$C$27:$F$27,-1),MATCH(K53+1,'[1]Normy VP'!$C$28:$F$28,-1),MATCH(K53+1,'[1]Normy VP'!$C$29:$F$29,-1),"muž"),CHOOSE(_xlfn.ARABIC($H53),MATCH(K53+1,'[1]Normy VP'!$C$10:$F$10,-1),MATCH(K53+1,'[1]Normy VP'!$C$11:$F$11,-1),MATCH(K53+1,'[1]Normy VP'!$C$12:$F$12,-1),MATCH(K53+1,'[1]Normy VP'!$C$13:$F$13,-1),MATCH(K53+1,'[1]Normy VP'!$C$14:$F$14,-1),""))),"O")</f>
        <v/>
      </c>
      <c r="Q53" s="24" t="str">
        <f>IF(OR($J53="",$J53="odešel"),IF($F53="žena","",IF(L53="","",(CHOOSE(_xlfn.ARABIC($H53),MATCH(L53+1,'[1]Normy VP'!$G$10:$J$10,-1),MATCH(L53+1,'[1]Normy VP'!$G$11:$J$11,-1),MATCH(L53+1,'[1]Normy VP'!$G$12:$J$12,-1),MATCH(L53+1,'[1]Normy VP'!$G$13:$J$13,-1),MATCH(L53+1,'[1]Normy VP'!$G$14:$J$14,-1),"")))),"O")</f>
        <v/>
      </c>
      <c r="R53" s="34" t="str">
        <f t="shared" si="1"/>
        <v>N</v>
      </c>
      <c r="S53" s="24" t="str">
        <f>IF(OR($J53="",$J53="odešel"),IF(M53="","N",IF($F53="žena",CHOOSE(_xlfn.ARABIC($H53),MATCH(M53+1,'[1]Normy VP'!$G$25:$J$25,-1),MATCH(M53+1,'[1]Normy VP'!$G$26:$J$26,-1),MATCH(M53+1,'[1]Normy VP'!$G$27:$J$27,-1),MATCH(M53+1,'[1]Normy VP'!$G$28:$J$28,-1),MATCH(M53+1,'[1]Normy VP'!$G$29:$J$29,-1),"muž"),(CHOOSE(_xlfn.ARABIC($H53),MATCH(M53+1,'[1]Normy VP'!$K$10:$N$10,-1),MATCH(M53+1,'[1]Normy VP'!$K$11:$N$11,-1),MATCH(M53+1,'[1]Normy VP'!$K$12:$N$12,-1),MATCH(M53+1,'[1]Normy VP'!$K$13:$N$13,-1),MATCH(M53+1,'[1]Normy VP'!$K$14:$N$14,-1),"")))),"O")</f>
        <v>N</v>
      </c>
      <c r="T53" s="34" t="str">
        <f t="shared" si="2"/>
        <v>N</v>
      </c>
      <c r="U53" s="24" t="str">
        <f>IF(OR($J53="",$J53="odešel"),IF(N53="","N",IF($F53="žena",CHOOSE(_xlfn.ARABIC($H53),MATCH(N53+1,'[1]Normy VP'!$K$25:$N$25,-1),MATCH(N53+1,'[1]Normy VP'!$K$26:$N$26,-1),MATCH(N53+1,'[1]Normy VP'!$K$27:$N$27,-1),MATCH(N53+1,'[1]Normy VP'!$K$28:$N$28,-1),MATCH(N53+1,'[1]Normy VP'!$K$29:$N$29,-1),MATCH(N53+1,'[1]Normy VP'!$K$30:$N$30,-1)),CHOOSE(_xlfn.ARABIC($H53),MATCH(N53+1,'[1]Normy VP'!$O$10:$R$10,-1),MATCH(N53+1,'[1]Normy VP'!$O$11:$R$11,-1),MATCH(N53+1,'[1]Normy VP'!$O$12:$R$12,-1),MATCH(N53+1,'[1]Normy VP'!$O$13:$R$13,-1),MATCH(N53+1,'[1]Normy VP'!$O$14:$R$14,-1),MATCH(N53+1,'[1]Normy VP'!$O$15:$R$15,-1)))),"O")</f>
        <v>N</v>
      </c>
      <c r="V53" s="26" t="str">
        <f>IF(OR($J53="",$J53="odešel"),IF(O53="","N",IF($F53="žena",CHOOSE(_xlfn.ARABIC($H53),MATCH(O53-1,'[1]Normy VP'!$O$25:$R$25),MATCH(O53-1,'[1]Normy VP'!$O$26:$R$26),MATCH(O53-1,'[1]Normy VP'!$O$27:$R$27),MATCH(O53-1,'[1]Normy VP'!$O$28:$R$28),MATCH(O53-1,'[1]Normy VP'!$O$29:$R$29),MATCH(O53-1,'[1]Normy VP'!$O$30:$R$30)),CHOOSE(_xlfn.ARABIC($H53),MATCH(O53-1,'[1]Normy VP'!$S$10:$V$10),MATCH(O53-1,'[1]Normy VP'!$S$11:$V$11),MATCH(O53-1,'[1]Normy VP'!$S$12:$V$12),MATCH(O53-1,'[1]Normy VP'!$S$13:$V$13),MATCH(O53-1,'[1]Normy VP'!$S$14:$V$14),MATCH(O53-1,'[1]Normy VP'!$S$15:$V$15)))),"O")</f>
        <v>N</v>
      </c>
      <c r="W53" s="34" t="str">
        <f t="shared" si="3"/>
        <v>N</v>
      </c>
      <c r="X53" s="27" t="str">
        <f>IF(COUNTIF(B53:G53,"")&gt;0,"",IF(COUNTIF([1]PP!$A:$A,A53)=0,"neni v PP",IF(OR(Y53="odešel",VLOOKUP(A53,[1]PP!$A:$W,22,FALSE)="odešel"),"odešel",IF(OR(Y53="N",VLOOKUP(A53,[1]PP!$A:$W,22,FALSE)="N"),"N",IF(OR(Y53="C",VLOOKUP(A53,[1]PP!$A:$W,22,FALSE)="C"),"C",IF(OR(Y53="DZO",VLOOKUP(A53,[1]PP!$A:$W,22,FALSE)="DZO"),"DZO",IF(OR(Y53="mise",Y53="disp.",Y53="končí",Y53="DSC",VLOOKUP(A53,[1]PP!$A:$W,22,FALSE)="mise",VLOOKUP(A53,[1]PP!$A:$W,22,FALSE)="disp.",VLOOKUP(A53,[1]PP!$A:$W,22,FALSE)="končí",VLOOKUP(A53,[1]PP!$A:$W,22,FALSE)="DSC"),"jiné",IF(OR(Y53=4,VLOOKUP(A53,[1]PP!$A:$W,22,FALSE)=4),4,IF(OR(Y53=3,VLOOKUP(A53,[1]PP!$A:$W,22,FALSE)=3),3,IF(OR(Y53=2,VLOOKUP(A53,[1]PP!$A:$W,22,FALSE)=2),2,IF(AND(Y53=1,VLOOKUP(A53,[1]PP!$A:$W,22,FALSE)=1),1)))))))))))</f>
        <v/>
      </c>
      <c r="Y53" s="28" t="str">
        <f>IF(COUNTIF(B53:G53,"")&gt;0,"",IF(COUNTIF([1]PP!$A:$A,A53)=0,"neni v PP",IF(VLOOKUP(A53,[1]PP!$A:$W,8,FALSE)="odešel","odešel",IF(F53="","",IF(J53="",IF(OR(T53=4,W53=4),4,IF(AND(T53="N",W53="N"),"N",IF(OR(T53="N",W53="N"),4,ROUND(AVERAGE(T53,W53),0)))),J53)))))</f>
        <v/>
      </c>
      <c r="Z53" s="29" t="str">
        <f>IF(COUNTIF(B53:G53,"")=0,IF(X53="neni v PP",CONCATENATE("ID: &lt;",A53,"&gt; se neshoduje s žádným IDem v kartě PP"),IF(COUNTIF($A:$A,A53)&gt;1,CONCATENATE("ID: &lt;",A53,"&gt; se v kartě VP opakuje. Je nutné tyto IDy od sebe odlišit, např. mezerou za příjmením."),IF(COUNTIF([1]PP!A:A,A53)&gt;1,CONCATENATE("ID: &lt;",A53,"&gt; se v kartě PP opakuje. Je nutné tyto IDy od sebe odlišit, např. mezerou za příjmením."),IF(VLOOKUP(A53,[1]PP!$A:$W,5,FALSE)&lt;&gt;E53,CONCATENATE($E$4," &lt;",E53,"&gt; se neshoduje s jednotkou v kartě PP"," &lt;",VLOOKUP(A53,[1]PP!$A:$W,5,FALSE),"&gt;"),IF(AND(COUNTIF(K53:O53,"")&lt;5,J53="",I53=""),CONCATENATE("Doplň: ",$I$4),IF(AND(YEAR(I53)&lt;&gt;$E$2,COUNTIF(I53,"")=0),CONCATENATE("špatně uveden &lt;",$D$2,"&gt; nebo &lt;",$I$4,"&gt;"),IF(OR(AND(OR(COUNTIF(C53,"*a"),COUNTIF(C53,"*ie"),COUNTIF(C53,"*ine"),COUNTIF(D53,"*Á")),F53="muž"),AND(AND(COUNTIF(C53,"&lt;&gt;"&amp;"*a"),COUNTIF(C53,"&lt;&gt;"&amp;"*ie"),COUNTIF(C53,"&lt;&gt;"&amp;"*ine"),COUNTIF(D53,"&lt;&gt;"&amp;"*Á")),F53="žena")),CONCATENATE(C53," ",D53," je ",F53,"?"),""))))))),IF(COUNTIF(B53:O53,"")=14,"",CONCATENATE("Doplň: ",IF(B53="",CONCATENATE($B$4,IF(COUNTIF(C53:G53,"")=0,"",", ")),""),IF(C53="",CONCATENATE($C$4,IF(COUNTIF(D53:G53,"")=0,"",", ")),""),IF(D53="",CONCATENATE($D$4,IF(COUNTIF(E53:G53,"")=0,"",", ")),""),IF(E53="",CONCATENATE($E$4,IF(COUNTIF(F53:G53,"")=0,"",", ")),""),IF(F53="",CONCATENATE($F$4,IF(G53="",", ","")),""),IF(G53="",$G$4,""))))</f>
        <v/>
      </c>
      <c r="AA53" s="30"/>
    </row>
    <row r="54" spans="1:27" ht="16" x14ac:dyDescent="0.35">
      <c r="A54" s="14" t="str">
        <f t="shared" si="0"/>
        <v xml:space="preserve">  </v>
      </c>
      <c r="B54" s="15"/>
      <c r="C54" s="31"/>
      <c r="D54" s="31"/>
      <c r="E54" s="17"/>
      <c r="F54" s="18"/>
      <c r="G54" s="32"/>
      <c r="H54" s="33" t="str">
        <f>IF(G54="","",IF(F54="žena",ROMAN(MATCH(G54+1,'[1]Normy VP'!$Y$27:$Y$33,-1)),ROMAN(MATCH(G54+1,'[1]Normy VP'!$Y$19:$Y$25,-1))))</f>
        <v/>
      </c>
      <c r="I54" s="21"/>
      <c r="J54" s="22"/>
      <c r="K54" s="23"/>
      <c r="L54" s="23"/>
      <c r="M54" s="23"/>
      <c r="N54" s="22"/>
      <c r="O54" s="22"/>
      <c r="P54" s="24" t="str">
        <f>IF(OR($J54="",$J54="odešel"),IF(K54="","",IF($F54="žena",CHOOSE(_xlfn.ARABIC($H54),MATCH(K54+1,'[1]Normy VP'!$C$25:$F$25,-1),MATCH(K54+1,'[1]Normy VP'!$C$26:$F$26,-1),MATCH(K54+1,'[1]Normy VP'!$C$27:$F$27,-1),MATCH(K54+1,'[1]Normy VP'!$C$28:$F$28,-1),MATCH(K54+1,'[1]Normy VP'!$C$29:$F$29,-1),"muž"),CHOOSE(_xlfn.ARABIC($H54),MATCH(K54+1,'[1]Normy VP'!$C$10:$F$10,-1),MATCH(K54+1,'[1]Normy VP'!$C$11:$F$11,-1),MATCH(K54+1,'[1]Normy VP'!$C$12:$F$12,-1),MATCH(K54+1,'[1]Normy VP'!$C$13:$F$13,-1),MATCH(K54+1,'[1]Normy VP'!$C$14:$F$14,-1),""))),"O")</f>
        <v/>
      </c>
      <c r="Q54" s="24" t="str">
        <f>IF(OR($J54="",$J54="odešel"),IF($F54="žena","",IF(L54="","",(CHOOSE(_xlfn.ARABIC($H54),MATCH(L54+1,'[1]Normy VP'!$G$10:$J$10,-1),MATCH(L54+1,'[1]Normy VP'!$G$11:$J$11,-1),MATCH(L54+1,'[1]Normy VP'!$G$12:$J$12,-1),MATCH(L54+1,'[1]Normy VP'!$G$13:$J$13,-1),MATCH(L54+1,'[1]Normy VP'!$G$14:$J$14,-1),"")))),"O")</f>
        <v/>
      </c>
      <c r="R54" s="34" t="str">
        <f t="shared" si="1"/>
        <v>N</v>
      </c>
      <c r="S54" s="24" t="str">
        <f>IF(OR($J54="",$J54="odešel"),IF(M54="","N",IF($F54="žena",CHOOSE(_xlfn.ARABIC($H54),MATCH(M54+1,'[1]Normy VP'!$G$25:$J$25,-1),MATCH(M54+1,'[1]Normy VP'!$G$26:$J$26,-1),MATCH(M54+1,'[1]Normy VP'!$G$27:$J$27,-1),MATCH(M54+1,'[1]Normy VP'!$G$28:$J$28,-1),MATCH(M54+1,'[1]Normy VP'!$G$29:$J$29,-1),"muž"),(CHOOSE(_xlfn.ARABIC($H54),MATCH(M54+1,'[1]Normy VP'!$K$10:$N$10,-1),MATCH(M54+1,'[1]Normy VP'!$K$11:$N$11,-1),MATCH(M54+1,'[1]Normy VP'!$K$12:$N$12,-1),MATCH(M54+1,'[1]Normy VP'!$K$13:$N$13,-1),MATCH(M54+1,'[1]Normy VP'!$K$14:$N$14,-1),"")))),"O")</f>
        <v>N</v>
      </c>
      <c r="T54" s="34" t="str">
        <f t="shared" si="2"/>
        <v>N</v>
      </c>
      <c r="U54" s="24" t="str">
        <f>IF(OR($J54="",$J54="odešel"),IF(N54="","N",IF($F54="žena",CHOOSE(_xlfn.ARABIC($H54),MATCH(N54+1,'[1]Normy VP'!$K$25:$N$25,-1),MATCH(N54+1,'[1]Normy VP'!$K$26:$N$26,-1),MATCH(N54+1,'[1]Normy VP'!$K$27:$N$27,-1),MATCH(N54+1,'[1]Normy VP'!$K$28:$N$28,-1),MATCH(N54+1,'[1]Normy VP'!$K$29:$N$29,-1),MATCH(N54+1,'[1]Normy VP'!$K$30:$N$30,-1)),CHOOSE(_xlfn.ARABIC($H54),MATCH(N54+1,'[1]Normy VP'!$O$10:$R$10,-1),MATCH(N54+1,'[1]Normy VP'!$O$11:$R$11,-1),MATCH(N54+1,'[1]Normy VP'!$O$12:$R$12,-1),MATCH(N54+1,'[1]Normy VP'!$O$13:$R$13,-1),MATCH(N54+1,'[1]Normy VP'!$O$14:$R$14,-1),MATCH(N54+1,'[1]Normy VP'!$O$15:$R$15,-1)))),"O")</f>
        <v>N</v>
      </c>
      <c r="V54" s="26" t="str">
        <f>IF(OR($J54="",$J54="odešel"),IF(O54="","N",IF($F54="žena",CHOOSE(_xlfn.ARABIC($H54),MATCH(O54-1,'[1]Normy VP'!$O$25:$R$25),MATCH(O54-1,'[1]Normy VP'!$O$26:$R$26),MATCH(O54-1,'[1]Normy VP'!$O$27:$R$27),MATCH(O54-1,'[1]Normy VP'!$O$28:$R$28),MATCH(O54-1,'[1]Normy VP'!$O$29:$R$29),MATCH(O54-1,'[1]Normy VP'!$O$30:$R$30)),CHOOSE(_xlfn.ARABIC($H54),MATCH(O54-1,'[1]Normy VP'!$S$10:$V$10),MATCH(O54-1,'[1]Normy VP'!$S$11:$V$11),MATCH(O54-1,'[1]Normy VP'!$S$12:$V$12),MATCH(O54-1,'[1]Normy VP'!$S$13:$V$13),MATCH(O54-1,'[1]Normy VP'!$S$14:$V$14),MATCH(O54-1,'[1]Normy VP'!$S$15:$V$15)))),"O")</f>
        <v>N</v>
      </c>
      <c r="W54" s="34" t="str">
        <f t="shared" si="3"/>
        <v>N</v>
      </c>
      <c r="X54" s="27" t="str">
        <f>IF(COUNTIF(B54:G54,"")&gt;0,"",IF(COUNTIF([1]PP!$A:$A,A54)=0,"neni v PP",IF(OR(Y54="odešel",VLOOKUP(A54,[1]PP!$A:$W,22,FALSE)="odešel"),"odešel",IF(OR(Y54="N",VLOOKUP(A54,[1]PP!$A:$W,22,FALSE)="N"),"N",IF(OR(Y54="C",VLOOKUP(A54,[1]PP!$A:$W,22,FALSE)="C"),"C",IF(OR(Y54="DZO",VLOOKUP(A54,[1]PP!$A:$W,22,FALSE)="DZO"),"DZO",IF(OR(Y54="mise",Y54="disp.",Y54="končí",Y54="DSC",VLOOKUP(A54,[1]PP!$A:$W,22,FALSE)="mise",VLOOKUP(A54,[1]PP!$A:$W,22,FALSE)="disp.",VLOOKUP(A54,[1]PP!$A:$W,22,FALSE)="končí",VLOOKUP(A54,[1]PP!$A:$W,22,FALSE)="DSC"),"jiné",IF(OR(Y54=4,VLOOKUP(A54,[1]PP!$A:$W,22,FALSE)=4),4,IF(OR(Y54=3,VLOOKUP(A54,[1]PP!$A:$W,22,FALSE)=3),3,IF(OR(Y54=2,VLOOKUP(A54,[1]PP!$A:$W,22,FALSE)=2),2,IF(AND(Y54=1,VLOOKUP(A54,[1]PP!$A:$W,22,FALSE)=1),1)))))))))))</f>
        <v/>
      </c>
      <c r="Y54" s="28" t="str">
        <f>IF(COUNTIF(B54:G54,"")&gt;0,"",IF(COUNTIF([1]PP!$A:$A,A54)=0,"neni v PP",IF(VLOOKUP(A54,[1]PP!$A:$W,8,FALSE)="odešel","odešel",IF(F54="","",IF(J54="",IF(OR(T54=4,W54=4),4,IF(AND(T54="N",W54="N"),"N",IF(OR(T54="N",W54="N"),4,ROUND(AVERAGE(T54,W54),0)))),J54)))))</f>
        <v/>
      </c>
      <c r="Z54" s="29" t="str">
        <f>IF(COUNTIF(B54:G54,"")=0,IF(X54="neni v PP",CONCATENATE("ID: &lt;",A54,"&gt; se neshoduje s žádným IDem v kartě PP"),IF(COUNTIF($A:$A,A54)&gt;1,CONCATENATE("ID: &lt;",A54,"&gt; se v kartě VP opakuje. Je nutné tyto IDy od sebe odlišit, např. mezerou za příjmením."),IF(COUNTIF([1]PP!A:A,A54)&gt;1,CONCATENATE("ID: &lt;",A54,"&gt; se v kartě PP opakuje. Je nutné tyto IDy od sebe odlišit, např. mezerou za příjmením."),IF(VLOOKUP(A54,[1]PP!$A:$W,5,FALSE)&lt;&gt;E54,CONCATENATE($E$4," &lt;",E54,"&gt; se neshoduje s jednotkou v kartě PP"," &lt;",VLOOKUP(A54,[1]PP!$A:$W,5,FALSE),"&gt;"),IF(AND(COUNTIF(K54:O54,"")&lt;5,J54="",I54=""),CONCATENATE("Doplň: ",$I$4),IF(AND(YEAR(I54)&lt;&gt;$E$2,COUNTIF(I54,"")=0),CONCATENATE("špatně uveden &lt;",$D$2,"&gt; nebo &lt;",$I$4,"&gt;"),IF(OR(AND(OR(COUNTIF(C54,"*a"),COUNTIF(C54,"*ie"),COUNTIF(C54,"*ine"),COUNTIF(D54,"*Á")),F54="muž"),AND(AND(COUNTIF(C54,"&lt;&gt;"&amp;"*a"),COUNTIF(C54,"&lt;&gt;"&amp;"*ie"),COUNTIF(C54,"&lt;&gt;"&amp;"*ine"),COUNTIF(D54,"&lt;&gt;"&amp;"*Á")),F54="žena")),CONCATENATE(C54," ",D54," je ",F54,"?"),""))))))),IF(COUNTIF(B54:O54,"")=14,"",CONCATENATE("Doplň: ",IF(B54="",CONCATENATE($B$4,IF(COUNTIF(C54:G54,"")=0,"",", ")),""),IF(C54="",CONCATENATE($C$4,IF(COUNTIF(D54:G54,"")=0,"",", ")),""),IF(D54="",CONCATENATE($D$4,IF(COUNTIF(E54:G54,"")=0,"",", ")),""),IF(E54="",CONCATENATE($E$4,IF(COUNTIF(F54:G54,"")=0,"",", ")),""),IF(F54="",CONCATENATE($F$4,IF(G54="",", ","")),""),IF(G54="",$G$4,""))))</f>
        <v/>
      </c>
      <c r="AA54" s="30"/>
    </row>
    <row r="55" spans="1:27" ht="16" x14ac:dyDescent="0.35">
      <c r="A55" s="14" t="str">
        <f t="shared" si="0"/>
        <v xml:space="preserve">  </v>
      </c>
      <c r="B55" s="15"/>
      <c r="C55" s="31"/>
      <c r="D55" s="31"/>
      <c r="E55" s="17"/>
      <c r="F55" s="18"/>
      <c r="G55" s="32"/>
      <c r="H55" s="33" t="str">
        <f>IF(G55="","",IF(F55="žena",ROMAN(MATCH(G55+1,'[1]Normy VP'!$Y$27:$Y$33,-1)),ROMAN(MATCH(G55+1,'[1]Normy VP'!$Y$19:$Y$25,-1))))</f>
        <v/>
      </c>
      <c r="I55" s="21"/>
      <c r="J55" s="22"/>
      <c r="K55" s="23"/>
      <c r="L55" s="23"/>
      <c r="M55" s="23"/>
      <c r="N55" s="22"/>
      <c r="O55" s="22"/>
      <c r="P55" s="24" t="str">
        <f>IF(OR($J55="",$J55="odešel"),IF(K55="","",IF($F55="žena",CHOOSE(_xlfn.ARABIC($H55),MATCH(K55+1,'[1]Normy VP'!$C$25:$F$25,-1),MATCH(K55+1,'[1]Normy VP'!$C$26:$F$26,-1),MATCH(K55+1,'[1]Normy VP'!$C$27:$F$27,-1),MATCH(K55+1,'[1]Normy VP'!$C$28:$F$28,-1),MATCH(K55+1,'[1]Normy VP'!$C$29:$F$29,-1),"muž"),CHOOSE(_xlfn.ARABIC($H55),MATCH(K55+1,'[1]Normy VP'!$C$10:$F$10,-1),MATCH(K55+1,'[1]Normy VP'!$C$11:$F$11,-1),MATCH(K55+1,'[1]Normy VP'!$C$12:$F$12,-1),MATCH(K55+1,'[1]Normy VP'!$C$13:$F$13,-1),MATCH(K55+1,'[1]Normy VP'!$C$14:$F$14,-1),""))),"O")</f>
        <v/>
      </c>
      <c r="Q55" s="24" t="str">
        <f>IF(OR($J55="",$J55="odešel"),IF($F55="žena","",IF(L55="","",(CHOOSE(_xlfn.ARABIC($H55),MATCH(L55+1,'[1]Normy VP'!$G$10:$J$10,-1),MATCH(L55+1,'[1]Normy VP'!$G$11:$J$11,-1),MATCH(L55+1,'[1]Normy VP'!$G$12:$J$12,-1),MATCH(L55+1,'[1]Normy VP'!$G$13:$J$13,-1),MATCH(L55+1,'[1]Normy VP'!$G$14:$J$14,-1),"")))),"O")</f>
        <v/>
      </c>
      <c r="R55" s="34" t="str">
        <f t="shared" si="1"/>
        <v>N</v>
      </c>
      <c r="S55" s="24" t="str">
        <f>IF(OR($J55="",$J55="odešel"),IF(M55="","N",IF($F55="žena",CHOOSE(_xlfn.ARABIC($H55),MATCH(M55+1,'[1]Normy VP'!$G$25:$J$25,-1),MATCH(M55+1,'[1]Normy VP'!$G$26:$J$26,-1),MATCH(M55+1,'[1]Normy VP'!$G$27:$J$27,-1),MATCH(M55+1,'[1]Normy VP'!$G$28:$J$28,-1),MATCH(M55+1,'[1]Normy VP'!$G$29:$J$29,-1),"muž"),(CHOOSE(_xlfn.ARABIC($H55),MATCH(M55+1,'[1]Normy VP'!$K$10:$N$10,-1),MATCH(M55+1,'[1]Normy VP'!$K$11:$N$11,-1),MATCH(M55+1,'[1]Normy VP'!$K$12:$N$12,-1),MATCH(M55+1,'[1]Normy VP'!$K$13:$N$13,-1),MATCH(M55+1,'[1]Normy VP'!$K$14:$N$14,-1),"")))),"O")</f>
        <v>N</v>
      </c>
      <c r="T55" s="34" t="str">
        <f t="shared" si="2"/>
        <v>N</v>
      </c>
      <c r="U55" s="24" t="str">
        <f>IF(OR($J55="",$J55="odešel"),IF(N55="","N",IF($F55="žena",CHOOSE(_xlfn.ARABIC($H55),MATCH(N55+1,'[1]Normy VP'!$K$25:$N$25,-1),MATCH(N55+1,'[1]Normy VP'!$K$26:$N$26,-1),MATCH(N55+1,'[1]Normy VP'!$K$27:$N$27,-1),MATCH(N55+1,'[1]Normy VP'!$K$28:$N$28,-1),MATCH(N55+1,'[1]Normy VP'!$K$29:$N$29,-1),MATCH(N55+1,'[1]Normy VP'!$K$30:$N$30,-1)),CHOOSE(_xlfn.ARABIC($H55),MATCH(N55+1,'[1]Normy VP'!$O$10:$R$10,-1),MATCH(N55+1,'[1]Normy VP'!$O$11:$R$11,-1),MATCH(N55+1,'[1]Normy VP'!$O$12:$R$12,-1),MATCH(N55+1,'[1]Normy VP'!$O$13:$R$13,-1),MATCH(N55+1,'[1]Normy VP'!$O$14:$R$14,-1),MATCH(N55+1,'[1]Normy VP'!$O$15:$R$15,-1)))),"O")</f>
        <v>N</v>
      </c>
      <c r="V55" s="26" t="str">
        <f>IF(OR($J55="",$J55="odešel"),IF(O55="","N",IF($F55="žena",CHOOSE(_xlfn.ARABIC($H55),MATCH(O55-1,'[1]Normy VP'!$O$25:$R$25),MATCH(O55-1,'[1]Normy VP'!$O$26:$R$26),MATCH(O55-1,'[1]Normy VP'!$O$27:$R$27),MATCH(O55-1,'[1]Normy VP'!$O$28:$R$28),MATCH(O55-1,'[1]Normy VP'!$O$29:$R$29),MATCH(O55-1,'[1]Normy VP'!$O$30:$R$30)),CHOOSE(_xlfn.ARABIC($H55),MATCH(O55-1,'[1]Normy VP'!$S$10:$V$10),MATCH(O55-1,'[1]Normy VP'!$S$11:$V$11),MATCH(O55-1,'[1]Normy VP'!$S$12:$V$12),MATCH(O55-1,'[1]Normy VP'!$S$13:$V$13),MATCH(O55-1,'[1]Normy VP'!$S$14:$V$14),MATCH(O55-1,'[1]Normy VP'!$S$15:$V$15)))),"O")</f>
        <v>N</v>
      </c>
      <c r="W55" s="34" t="str">
        <f t="shared" si="3"/>
        <v>N</v>
      </c>
      <c r="X55" s="27" t="str">
        <f>IF(COUNTIF(B55:G55,"")&gt;0,"",IF(COUNTIF([1]PP!$A:$A,A55)=0,"neni v PP",IF(OR(Y55="odešel",VLOOKUP(A55,[1]PP!$A:$W,22,FALSE)="odešel"),"odešel",IF(OR(Y55="N",VLOOKUP(A55,[1]PP!$A:$W,22,FALSE)="N"),"N",IF(OR(Y55="C",VLOOKUP(A55,[1]PP!$A:$W,22,FALSE)="C"),"C",IF(OR(Y55="DZO",VLOOKUP(A55,[1]PP!$A:$W,22,FALSE)="DZO"),"DZO",IF(OR(Y55="mise",Y55="disp.",Y55="končí",Y55="DSC",VLOOKUP(A55,[1]PP!$A:$W,22,FALSE)="mise",VLOOKUP(A55,[1]PP!$A:$W,22,FALSE)="disp.",VLOOKUP(A55,[1]PP!$A:$W,22,FALSE)="končí",VLOOKUP(A55,[1]PP!$A:$W,22,FALSE)="DSC"),"jiné",IF(OR(Y55=4,VLOOKUP(A55,[1]PP!$A:$W,22,FALSE)=4),4,IF(OR(Y55=3,VLOOKUP(A55,[1]PP!$A:$W,22,FALSE)=3),3,IF(OR(Y55=2,VLOOKUP(A55,[1]PP!$A:$W,22,FALSE)=2),2,IF(AND(Y55=1,VLOOKUP(A55,[1]PP!$A:$W,22,FALSE)=1),1)))))))))))</f>
        <v/>
      </c>
      <c r="Y55" s="28" t="str">
        <f>IF(COUNTIF(B55:G55,"")&gt;0,"",IF(COUNTIF([1]PP!$A:$A,A55)=0,"neni v PP",IF(VLOOKUP(A55,[1]PP!$A:$W,8,FALSE)="odešel","odešel",IF(F55="","",IF(J55="",IF(OR(T55=4,W55=4),4,IF(AND(T55="N",W55="N"),"N",IF(OR(T55="N",W55="N"),4,ROUND(AVERAGE(T55,W55),0)))),J55)))))</f>
        <v/>
      </c>
      <c r="Z55" s="29" t="str">
        <f>IF(COUNTIF(B55:G55,"")=0,IF(X55="neni v PP",CONCATENATE("ID: &lt;",A55,"&gt; se neshoduje s žádným IDem v kartě PP"),IF(COUNTIF($A:$A,A55)&gt;1,CONCATENATE("ID: &lt;",A55,"&gt; se v kartě VP opakuje. Je nutné tyto IDy od sebe odlišit, např. mezerou za příjmením."),IF(COUNTIF([1]PP!A:A,A55)&gt;1,CONCATENATE("ID: &lt;",A55,"&gt; se v kartě PP opakuje. Je nutné tyto IDy od sebe odlišit, např. mezerou za příjmením."),IF(VLOOKUP(A55,[1]PP!$A:$W,5,FALSE)&lt;&gt;E55,CONCATENATE($E$4," &lt;",E55,"&gt; se neshoduje s jednotkou v kartě PP"," &lt;",VLOOKUP(A55,[1]PP!$A:$W,5,FALSE),"&gt;"),IF(AND(COUNTIF(K55:O55,"")&lt;5,J55="",I55=""),CONCATENATE("Doplň: ",$I$4),IF(AND(YEAR(I55)&lt;&gt;$E$2,COUNTIF(I55,"")=0),CONCATENATE("špatně uveden &lt;",$D$2,"&gt; nebo &lt;",$I$4,"&gt;"),IF(OR(AND(OR(COUNTIF(C55,"*a"),COUNTIF(C55,"*ie"),COUNTIF(C55,"*ine"),COUNTIF(D55,"*Á")),F55="muž"),AND(AND(COUNTIF(C55,"&lt;&gt;"&amp;"*a"),COUNTIF(C55,"&lt;&gt;"&amp;"*ie"),COUNTIF(C55,"&lt;&gt;"&amp;"*ine"),COUNTIF(D55,"&lt;&gt;"&amp;"*Á")),F55="žena")),CONCATENATE(C55," ",D55," je ",F55,"?"),""))))))),IF(COUNTIF(B55:O55,"")=14,"",CONCATENATE("Doplň: ",IF(B55="",CONCATENATE($B$4,IF(COUNTIF(C55:G55,"")=0,"",", ")),""),IF(C55="",CONCATENATE($C$4,IF(COUNTIF(D55:G55,"")=0,"",", ")),""),IF(D55="",CONCATENATE($D$4,IF(COUNTIF(E55:G55,"")=0,"",", ")),""),IF(E55="",CONCATENATE($E$4,IF(COUNTIF(F55:G55,"")=0,"",", ")),""),IF(F55="",CONCATENATE($F$4,IF(G55="",", ","")),""),IF(G55="",$G$4,""))))</f>
        <v/>
      </c>
      <c r="AA55" s="30"/>
    </row>
    <row r="56" spans="1:27" ht="16" x14ac:dyDescent="0.35">
      <c r="A56" s="14" t="str">
        <f t="shared" si="0"/>
        <v xml:space="preserve">  </v>
      </c>
      <c r="B56" s="15"/>
      <c r="C56" s="31"/>
      <c r="D56" s="31"/>
      <c r="E56" s="17"/>
      <c r="F56" s="18"/>
      <c r="G56" s="32"/>
      <c r="H56" s="33" t="str">
        <f>IF(G56="","",IF(F56="žena",ROMAN(MATCH(G56+1,'[1]Normy VP'!$Y$27:$Y$33,-1)),ROMAN(MATCH(G56+1,'[1]Normy VP'!$Y$19:$Y$25,-1))))</f>
        <v/>
      </c>
      <c r="I56" s="21"/>
      <c r="J56" s="22"/>
      <c r="K56" s="23"/>
      <c r="L56" s="23"/>
      <c r="M56" s="23"/>
      <c r="N56" s="22"/>
      <c r="O56" s="22"/>
      <c r="P56" s="24" t="str">
        <f>IF(OR($J56="",$J56="odešel"),IF(K56="","",IF($F56="žena",CHOOSE(_xlfn.ARABIC($H56),MATCH(K56+1,'[1]Normy VP'!$C$25:$F$25,-1),MATCH(K56+1,'[1]Normy VP'!$C$26:$F$26,-1),MATCH(K56+1,'[1]Normy VP'!$C$27:$F$27,-1),MATCH(K56+1,'[1]Normy VP'!$C$28:$F$28,-1),MATCH(K56+1,'[1]Normy VP'!$C$29:$F$29,-1),"muž"),CHOOSE(_xlfn.ARABIC($H56),MATCH(K56+1,'[1]Normy VP'!$C$10:$F$10,-1),MATCH(K56+1,'[1]Normy VP'!$C$11:$F$11,-1),MATCH(K56+1,'[1]Normy VP'!$C$12:$F$12,-1),MATCH(K56+1,'[1]Normy VP'!$C$13:$F$13,-1),MATCH(K56+1,'[1]Normy VP'!$C$14:$F$14,-1),""))),"O")</f>
        <v/>
      </c>
      <c r="Q56" s="24" t="str">
        <f>IF(OR($J56="",$J56="odešel"),IF($F56="žena","",IF(L56="","",(CHOOSE(_xlfn.ARABIC($H56),MATCH(L56+1,'[1]Normy VP'!$G$10:$J$10,-1),MATCH(L56+1,'[1]Normy VP'!$G$11:$J$11,-1),MATCH(L56+1,'[1]Normy VP'!$G$12:$J$12,-1),MATCH(L56+1,'[1]Normy VP'!$G$13:$J$13,-1),MATCH(L56+1,'[1]Normy VP'!$G$14:$J$14,-1),"")))),"O")</f>
        <v/>
      </c>
      <c r="R56" s="34" t="str">
        <f t="shared" si="1"/>
        <v>N</v>
      </c>
      <c r="S56" s="24" t="str">
        <f>IF(OR($J56="",$J56="odešel"),IF(M56="","N",IF($F56="žena",CHOOSE(_xlfn.ARABIC($H56),MATCH(M56+1,'[1]Normy VP'!$G$25:$J$25,-1),MATCH(M56+1,'[1]Normy VP'!$G$26:$J$26,-1),MATCH(M56+1,'[1]Normy VP'!$G$27:$J$27,-1),MATCH(M56+1,'[1]Normy VP'!$G$28:$J$28,-1),MATCH(M56+1,'[1]Normy VP'!$G$29:$J$29,-1),"muž"),(CHOOSE(_xlfn.ARABIC($H56),MATCH(M56+1,'[1]Normy VP'!$K$10:$N$10,-1),MATCH(M56+1,'[1]Normy VP'!$K$11:$N$11,-1),MATCH(M56+1,'[1]Normy VP'!$K$12:$N$12,-1),MATCH(M56+1,'[1]Normy VP'!$K$13:$N$13,-1),MATCH(M56+1,'[1]Normy VP'!$K$14:$N$14,-1),"")))),"O")</f>
        <v>N</v>
      </c>
      <c r="T56" s="34" t="str">
        <f t="shared" si="2"/>
        <v>N</v>
      </c>
      <c r="U56" s="24" t="str">
        <f>IF(OR($J56="",$J56="odešel"),IF(N56="","N",IF($F56="žena",CHOOSE(_xlfn.ARABIC($H56),MATCH(N56+1,'[1]Normy VP'!$K$25:$N$25,-1),MATCH(N56+1,'[1]Normy VP'!$K$26:$N$26,-1),MATCH(N56+1,'[1]Normy VP'!$K$27:$N$27,-1),MATCH(N56+1,'[1]Normy VP'!$K$28:$N$28,-1),MATCH(N56+1,'[1]Normy VP'!$K$29:$N$29,-1),MATCH(N56+1,'[1]Normy VP'!$K$30:$N$30,-1)),CHOOSE(_xlfn.ARABIC($H56),MATCH(N56+1,'[1]Normy VP'!$O$10:$R$10,-1),MATCH(N56+1,'[1]Normy VP'!$O$11:$R$11,-1),MATCH(N56+1,'[1]Normy VP'!$O$12:$R$12,-1),MATCH(N56+1,'[1]Normy VP'!$O$13:$R$13,-1),MATCH(N56+1,'[1]Normy VP'!$O$14:$R$14,-1),MATCH(N56+1,'[1]Normy VP'!$O$15:$R$15,-1)))),"O")</f>
        <v>N</v>
      </c>
      <c r="V56" s="26" t="str">
        <f>IF(OR($J56="",$J56="odešel"),IF(O56="","N",IF($F56="žena",CHOOSE(_xlfn.ARABIC($H56),MATCH(O56-1,'[1]Normy VP'!$O$25:$R$25),MATCH(O56-1,'[1]Normy VP'!$O$26:$R$26),MATCH(O56-1,'[1]Normy VP'!$O$27:$R$27),MATCH(O56-1,'[1]Normy VP'!$O$28:$R$28),MATCH(O56-1,'[1]Normy VP'!$O$29:$R$29),MATCH(O56-1,'[1]Normy VP'!$O$30:$R$30)),CHOOSE(_xlfn.ARABIC($H56),MATCH(O56-1,'[1]Normy VP'!$S$10:$V$10),MATCH(O56-1,'[1]Normy VP'!$S$11:$V$11),MATCH(O56-1,'[1]Normy VP'!$S$12:$V$12),MATCH(O56-1,'[1]Normy VP'!$S$13:$V$13),MATCH(O56-1,'[1]Normy VP'!$S$14:$V$14),MATCH(O56-1,'[1]Normy VP'!$S$15:$V$15)))),"O")</f>
        <v>N</v>
      </c>
      <c r="W56" s="34" t="str">
        <f t="shared" si="3"/>
        <v>N</v>
      </c>
      <c r="X56" s="27" t="str">
        <f>IF(COUNTIF(B56:G56,"")&gt;0,"",IF(COUNTIF([1]PP!$A:$A,A56)=0,"neni v PP",IF(OR(Y56="odešel",VLOOKUP(A56,[1]PP!$A:$W,22,FALSE)="odešel"),"odešel",IF(OR(Y56="N",VLOOKUP(A56,[1]PP!$A:$W,22,FALSE)="N"),"N",IF(OR(Y56="C",VLOOKUP(A56,[1]PP!$A:$W,22,FALSE)="C"),"C",IF(OR(Y56="DZO",VLOOKUP(A56,[1]PP!$A:$W,22,FALSE)="DZO"),"DZO",IF(OR(Y56="mise",Y56="disp.",Y56="končí",Y56="DSC",VLOOKUP(A56,[1]PP!$A:$W,22,FALSE)="mise",VLOOKUP(A56,[1]PP!$A:$W,22,FALSE)="disp.",VLOOKUP(A56,[1]PP!$A:$W,22,FALSE)="končí",VLOOKUP(A56,[1]PP!$A:$W,22,FALSE)="DSC"),"jiné",IF(OR(Y56=4,VLOOKUP(A56,[1]PP!$A:$W,22,FALSE)=4),4,IF(OR(Y56=3,VLOOKUP(A56,[1]PP!$A:$W,22,FALSE)=3),3,IF(OR(Y56=2,VLOOKUP(A56,[1]PP!$A:$W,22,FALSE)=2),2,IF(AND(Y56=1,VLOOKUP(A56,[1]PP!$A:$W,22,FALSE)=1),1)))))))))))</f>
        <v/>
      </c>
      <c r="Y56" s="28" t="str">
        <f>IF(COUNTIF(B56:G56,"")&gt;0,"",IF(COUNTIF([1]PP!$A:$A,A56)=0,"neni v PP",IF(VLOOKUP(A56,[1]PP!$A:$W,8,FALSE)="odešel","odešel",IF(F56="","",IF(J56="",IF(OR(T56=4,W56=4),4,IF(AND(T56="N",W56="N"),"N",IF(OR(T56="N",W56="N"),4,ROUND(AVERAGE(T56,W56),0)))),J56)))))</f>
        <v/>
      </c>
      <c r="Z56" s="29" t="str">
        <f>IF(COUNTIF(B56:G56,"")=0,IF(X56="neni v PP",CONCATENATE("ID: &lt;",A56,"&gt; se neshoduje s žádným IDem v kartě PP"),IF(COUNTIF($A:$A,A56)&gt;1,CONCATENATE("ID: &lt;",A56,"&gt; se v kartě VP opakuje. Je nutné tyto IDy od sebe odlišit, např. mezerou za příjmením."),IF(COUNTIF([1]PP!A:A,A56)&gt;1,CONCATENATE("ID: &lt;",A56,"&gt; se v kartě PP opakuje. Je nutné tyto IDy od sebe odlišit, např. mezerou za příjmením."),IF(VLOOKUP(A56,[1]PP!$A:$W,5,FALSE)&lt;&gt;E56,CONCATENATE($E$4," &lt;",E56,"&gt; se neshoduje s jednotkou v kartě PP"," &lt;",VLOOKUP(A56,[1]PP!$A:$W,5,FALSE),"&gt;"),IF(AND(COUNTIF(K56:O56,"")&lt;5,J56="",I56=""),CONCATENATE("Doplň: ",$I$4),IF(AND(YEAR(I56)&lt;&gt;$E$2,COUNTIF(I56,"")=0),CONCATENATE("špatně uveden &lt;",$D$2,"&gt; nebo &lt;",$I$4,"&gt;"),IF(OR(AND(OR(COUNTIF(C56,"*a"),COUNTIF(C56,"*ie"),COUNTIF(C56,"*ine"),COUNTIF(D56,"*Á")),F56="muž"),AND(AND(COUNTIF(C56,"&lt;&gt;"&amp;"*a"),COUNTIF(C56,"&lt;&gt;"&amp;"*ie"),COUNTIF(C56,"&lt;&gt;"&amp;"*ine"),COUNTIF(D56,"&lt;&gt;"&amp;"*Á")),F56="žena")),CONCATENATE(C56," ",D56," je ",F56,"?"),""))))))),IF(COUNTIF(B56:O56,"")=14,"",CONCATENATE("Doplň: ",IF(B56="",CONCATENATE($B$4,IF(COUNTIF(C56:G56,"")=0,"",", ")),""),IF(C56="",CONCATENATE($C$4,IF(COUNTIF(D56:G56,"")=0,"",", ")),""),IF(D56="",CONCATENATE($D$4,IF(COUNTIF(E56:G56,"")=0,"",", ")),""),IF(E56="",CONCATENATE($E$4,IF(COUNTIF(F56:G56,"")=0,"",", ")),""),IF(F56="",CONCATENATE($F$4,IF(G56="",", ","")),""),IF(G56="",$G$4,""))))</f>
        <v/>
      </c>
      <c r="AA56" s="30"/>
    </row>
    <row r="57" spans="1:27" ht="16" x14ac:dyDescent="0.35">
      <c r="A57" s="14" t="str">
        <f t="shared" si="0"/>
        <v xml:space="preserve">  </v>
      </c>
      <c r="B57" s="15"/>
      <c r="C57" s="31"/>
      <c r="D57" s="31"/>
      <c r="E57" s="17"/>
      <c r="F57" s="18"/>
      <c r="G57" s="32"/>
      <c r="H57" s="33" t="str">
        <f>IF(G57="","",IF(F57="žena",ROMAN(MATCH(G57+1,'[1]Normy VP'!$Y$27:$Y$33,-1)),ROMAN(MATCH(G57+1,'[1]Normy VP'!$Y$19:$Y$25,-1))))</f>
        <v/>
      </c>
      <c r="I57" s="21"/>
      <c r="J57" s="22"/>
      <c r="K57" s="23"/>
      <c r="L57" s="23"/>
      <c r="M57" s="23"/>
      <c r="N57" s="22"/>
      <c r="O57" s="22"/>
      <c r="P57" s="24" t="str">
        <f>IF(OR($J57="",$J57="odešel"),IF(K57="","",IF($F57="žena",CHOOSE(_xlfn.ARABIC($H57),MATCH(K57+1,'[1]Normy VP'!$C$25:$F$25,-1),MATCH(K57+1,'[1]Normy VP'!$C$26:$F$26,-1),MATCH(K57+1,'[1]Normy VP'!$C$27:$F$27,-1),MATCH(K57+1,'[1]Normy VP'!$C$28:$F$28,-1),MATCH(K57+1,'[1]Normy VP'!$C$29:$F$29,-1),"muž"),CHOOSE(_xlfn.ARABIC($H57),MATCH(K57+1,'[1]Normy VP'!$C$10:$F$10,-1),MATCH(K57+1,'[1]Normy VP'!$C$11:$F$11,-1),MATCH(K57+1,'[1]Normy VP'!$C$12:$F$12,-1),MATCH(K57+1,'[1]Normy VP'!$C$13:$F$13,-1),MATCH(K57+1,'[1]Normy VP'!$C$14:$F$14,-1),""))),"O")</f>
        <v/>
      </c>
      <c r="Q57" s="24" t="str">
        <f>IF(OR($J57="",$J57="odešel"),IF($F57="žena","",IF(L57="","",(CHOOSE(_xlfn.ARABIC($H57),MATCH(L57+1,'[1]Normy VP'!$G$10:$J$10,-1),MATCH(L57+1,'[1]Normy VP'!$G$11:$J$11,-1),MATCH(L57+1,'[1]Normy VP'!$G$12:$J$12,-1),MATCH(L57+1,'[1]Normy VP'!$G$13:$J$13,-1),MATCH(L57+1,'[1]Normy VP'!$G$14:$J$14,-1),"")))),"O")</f>
        <v/>
      </c>
      <c r="R57" s="34" t="str">
        <f t="shared" si="1"/>
        <v>N</v>
      </c>
      <c r="S57" s="24" t="str">
        <f>IF(OR($J57="",$J57="odešel"),IF(M57="","N",IF($F57="žena",CHOOSE(_xlfn.ARABIC($H57),MATCH(M57+1,'[1]Normy VP'!$G$25:$J$25,-1),MATCH(M57+1,'[1]Normy VP'!$G$26:$J$26,-1),MATCH(M57+1,'[1]Normy VP'!$G$27:$J$27,-1),MATCH(M57+1,'[1]Normy VP'!$G$28:$J$28,-1),MATCH(M57+1,'[1]Normy VP'!$G$29:$J$29,-1),"muž"),(CHOOSE(_xlfn.ARABIC($H57),MATCH(M57+1,'[1]Normy VP'!$K$10:$N$10,-1),MATCH(M57+1,'[1]Normy VP'!$K$11:$N$11,-1),MATCH(M57+1,'[1]Normy VP'!$K$12:$N$12,-1),MATCH(M57+1,'[1]Normy VP'!$K$13:$N$13,-1),MATCH(M57+1,'[1]Normy VP'!$K$14:$N$14,-1),"")))),"O")</f>
        <v>N</v>
      </c>
      <c r="T57" s="34" t="str">
        <f t="shared" si="2"/>
        <v>N</v>
      </c>
      <c r="U57" s="24" t="str">
        <f>IF(OR($J57="",$J57="odešel"),IF(N57="","N",IF($F57="žena",CHOOSE(_xlfn.ARABIC($H57),MATCH(N57+1,'[1]Normy VP'!$K$25:$N$25,-1),MATCH(N57+1,'[1]Normy VP'!$K$26:$N$26,-1),MATCH(N57+1,'[1]Normy VP'!$K$27:$N$27,-1),MATCH(N57+1,'[1]Normy VP'!$K$28:$N$28,-1),MATCH(N57+1,'[1]Normy VP'!$K$29:$N$29,-1),MATCH(N57+1,'[1]Normy VP'!$K$30:$N$30,-1)),CHOOSE(_xlfn.ARABIC($H57),MATCH(N57+1,'[1]Normy VP'!$O$10:$R$10,-1),MATCH(N57+1,'[1]Normy VP'!$O$11:$R$11,-1),MATCH(N57+1,'[1]Normy VP'!$O$12:$R$12,-1),MATCH(N57+1,'[1]Normy VP'!$O$13:$R$13,-1),MATCH(N57+1,'[1]Normy VP'!$O$14:$R$14,-1),MATCH(N57+1,'[1]Normy VP'!$O$15:$R$15,-1)))),"O")</f>
        <v>N</v>
      </c>
      <c r="V57" s="26" t="str">
        <f>IF(OR($J57="",$J57="odešel"),IF(O57="","N",IF($F57="žena",CHOOSE(_xlfn.ARABIC($H57),MATCH(O57-1,'[1]Normy VP'!$O$25:$R$25),MATCH(O57-1,'[1]Normy VP'!$O$26:$R$26),MATCH(O57-1,'[1]Normy VP'!$O$27:$R$27),MATCH(O57-1,'[1]Normy VP'!$O$28:$R$28),MATCH(O57-1,'[1]Normy VP'!$O$29:$R$29),MATCH(O57-1,'[1]Normy VP'!$O$30:$R$30)),CHOOSE(_xlfn.ARABIC($H57),MATCH(O57-1,'[1]Normy VP'!$S$10:$V$10),MATCH(O57-1,'[1]Normy VP'!$S$11:$V$11),MATCH(O57-1,'[1]Normy VP'!$S$12:$V$12),MATCH(O57-1,'[1]Normy VP'!$S$13:$V$13),MATCH(O57-1,'[1]Normy VP'!$S$14:$V$14),MATCH(O57-1,'[1]Normy VP'!$S$15:$V$15)))),"O")</f>
        <v>N</v>
      </c>
      <c r="W57" s="34" t="str">
        <f t="shared" si="3"/>
        <v>N</v>
      </c>
      <c r="X57" s="27" t="str">
        <f>IF(COUNTIF(B57:G57,"")&gt;0,"",IF(COUNTIF([1]PP!$A:$A,A57)=0,"neni v PP",IF(OR(Y57="odešel",VLOOKUP(A57,[1]PP!$A:$W,22,FALSE)="odešel"),"odešel",IF(OR(Y57="N",VLOOKUP(A57,[1]PP!$A:$W,22,FALSE)="N"),"N",IF(OR(Y57="C",VLOOKUP(A57,[1]PP!$A:$W,22,FALSE)="C"),"C",IF(OR(Y57="DZO",VLOOKUP(A57,[1]PP!$A:$W,22,FALSE)="DZO"),"DZO",IF(OR(Y57="mise",Y57="disp.",Y57="končí",Y57="DSC",VLOOKUP(A57,[1]PP!$A:$W,22,FALSE)="mise",VLOOKUP(A57,[1]PP!$A:$W,22,FALSE)="disp.",VLOOKUP(A57,[1]PP!$A:$W,22,FALSE)="končí",VLOOKUP(A57,[1]PP!$A:$W,22,FALSE)="DSC"),"jiné",IF(OR(Y57=4,VLOOKUP(A57,[1]PP!$A:$W,22,FALSE)=4),4,IF(OR(Y57=3,VLOOKUP(A57,[1]PP!$A:$W,22,FALSE)=3),3,IF(OR(Y57=2,VLOOKUP(A57,[1]PP!$A:$W,22,FALSE)=2),2,IF(AND(Y57=1,VLOOKUP(A57,[1]PP!$A:$W,22,FALSE)=1),1)))))))))))</f>
        <v/>
      </c>
      <c r="Y57" s="28" t="str">
        <f>IF(COUNTIF(B57:G57,"")&gt;0,"",IF(COUNTIF([1]PP!$A:$A,A57)=0,"neni v PP",IF(VLOOKUP(A57,[1]PP!$A:$W,8,FALSE)="odešel","odešel",IF(F57="","",IF(J57="",IF(OR(T57=4,W57=4),4,IF(AND(T57="N",W57="N"),"N",IF(OR(T57="N",W57="N"),4,ROUND(AVERAGE(T57,W57),0)))),J57)))))</f>
        <v/>
      </c>
      <c r="Z57" s="29" t="str">
        <f>IF(COUNTIF(B57:G57,"")=0,IF(X57="neni v PP",CONCATENATE("ID: &lt;",A57,"&gt; se neshoduje s žádným IDem v kartě PP"),IF(COUNTIF($A:$A,A57)&gt;1,CONCATENATE("ID: &lt;",A57,"&gt; se v kartě VP opakuje. Je nutné tyto IDy od sebe odlišit, např. mezerou za příjmením."),IF(COUNTIF([1]PP!A:A,A57)&gt;1,CONCATENATE("ID: &lt;",A57,"&gt; se v kartě PP opakuje. Je nutné tyto IDy od sebe odlišit, např. mezerou za příjmením."),IF(VLOOKUP(A57,[1]PP!$A:$W,5,FALSE)&lt;&gt;E57,CONCATENATE($E$4," &lt;",E57,"&gt; se neshoduje s jednotkou v kartě PP"," &lt;",VLOOKUP(A57,[1]PP!$A:$W,5,FALSE),"&gt;"),IF(AND(COUNTIF(K57:O57,"")&lt;5,J57="",I57=""),CONCATENATE("Doplň: ",$I$4),IF(AND(YEAR(I57)&lt;&gt;$E$2,COUNTIF(I57,"")=0),CONCATENATE("špatně uveden &lt;",$D$2,"&gt; nebo &lt;",$I$4,"&gt;"),IF(OR(AND(OR(COUNTIF(C57,"*a"),COUNTIF(C57,"*ie"),COUNTIF(C57,"*ine"),COUNTIF(D57,"*Á")),F57="muž"),AND(AND(COUNTIF(C57,"&lt;&gt;"&amp;"*a"),COUNTIF(C57,"&lt;&gt;"&amp;"*ie"),COUNTIF(C57,"&lt;&gt;"&amp;"*ine"),COUNTIF(D57,"&lt;&gt;"&amp;"*Á")),F57="žena")),CONCATENATE(C57," ",D57," je ",F57,"?"),""))))))),IF(COUNTIF(B57:O57,"")=14,"",CONCATENATE("Doplň: ",IF(B57="",CONCATENATE($B$4,IF(COUNTIF(C57:G57,"")=0,"",", ")),""),IF(C57="",CONCATENATE($C$4,IF(COUNTIF(D57:G57,"")=0,"",", ")),""),IF(D57="",CONCATENATE($D$4,IF(COUNTIF(E57:G57,"")=0,"",", ")),""),IF(E57="",CONCATENATE($E$4,IF(COUNTIF(F57:G57,"")=0,"",", ")),""),IF(F57="",CONCATENATE($F$4,IF(G57="",", ","")),""),IF(G57="",$G$4,""))))</f>
        <v/>
      </c>
      <c r="AA57" s="30"/>
    </row>
    <row r="58" spans="1:27" ht="16" x14ac:dyDescent="0.35">
      <c r="A58" s="14" t="str">
        <f t="shared" si="0"/>
        <v xml:space="preserve">  </v>
      </c>
      <c r="B58" s="15"/>
      <c r="C58" s="31"/>
      <c r="D58" s="31"/>
      <c r="E58" s="17"/>
      <c r="F58" s="18"/>
      <c r="G58" s="32"/>
      <c r="H58" s="33" t="str">
        <f>IF(G58="","",IF(F58="žena",ROMAN(MATCH(G58+1,'[1]Normy VP'!$Y$27:$Y$33,-1)),ROMAN(MATCH(G58+1,'[1]Normy VP'!$Y$19:$Y$25,-1))))</f>
        <v/>
      </c>
      <c r="I58" s="21"/>
      <c r="J58" s="22"/>
      <c r="K58" s="23"/>
      <c r="L58" s="23"/>
      <c r="M58" s="23"/>
      <c r="N58" s="22"/>
      <c r="O58" s="22"/>
      <c r="P58" s="24" t="str">
        <f>IF(OR($J58="",$J58="odešel"),IF(K58="","",IF($F58="žena",CHOOSE(_xlfn.ARABIC($H58),MATCH(K58+1,'[1]Normy VP'!$C$25:$F$25,-1),MATCH(K58+1,'[1]Normy VP'!$C$26:$F$26,-1),MATCH(K58+1,'[1]Normy VP'!$C$27:$F$27,-1),MATCH(K58+1,'[1]Normy VP'!$C$28:$F$28,-1),MATCH(K58+1,'[1]Normy VP'!$C$29:$F$29,-1),"muž"),CHOOSE(_xlfn.ARABIC($H58),MATCH(K58+1,'[1]Normy VP'!$C$10:$F$10,-1),MATCH(K58+1,'[1]Normy VP'!$C$11:$F$11,-1),MATCH(K58+1,'[1]Normy VP'!$C$12:$F$12,-1),MATCH(K58+1,'[1]Normy VP'!$C$13:$F$13,-1),MATCH(K58+1,'[1]Normy VP'!$C$14:$F$14,-1),""))),"O")</f>
        <v/>
      </c>
      <c r="Q58" s="24" t="str">
        <f>IF(OR($J58="",$J58="odešel"),IF($F58="žena","",IF(L58="","",(CHOOSE(_xlfn.ARABIC($H58),MATCH(L58+1,'[1]Normy VP'!$G$10:$J$10,-1),MATCH(L58+1,'[1]Normy VP'!$G$11:$J$11,-1),MATCH(L58+1,'[1]Normy VP'!$G$12:$J$12,-1),MATCH(L58+1,'[1]Normy VP'!$G$13:$J$13,-1),MATCH(L58+1,'[1]Normy VP'!$G$14:$J$14,-1),"")))),"O")</f>
        <v/>
      </c>
      <c r="R58" s="34" t="str">
        <f t="shared" si="1"/>
        <v>N</v>
      </c>
      <c r="S58" s="24" t="str">
        <f>IF(OR($J58="",$J58="odešel"),IF(M58="","N",IF($F58="žena",CHOOSE(_xlfn.ARABIC($H58),MATCH(M58+1,'[1]Normy VP'!$G$25:$J$25,-1),MATCH(M58+1,'[1]Normy VP'!$G$26:$J$26,-1),MATCH(M58+1,'[1]Normy VP'!$G$27:$J$27,-1),MATCH(M58+1,'[1]Normy VP'!$G$28:$J$28,-1),MATCH(M58+1,'[1]Normy VP'!$G$29:$J$29,-1),"muž"),(CHOOSE(_xlfn.ARABIC($H58),MATCH(M58+1,'[1]Normy VP'!$K$10:$N$10,-1),MATCH(M58+1,'[1]Normy VP'!$K$11:$N$11,-1),MATCH(M58+1,'[1]Normy VP'!$K$12:$N$12,-1),MATCH(M58+1,'[1]Normy VP'!$K$13:$N$13,-1),MATCH(M58+1,'[1]Normy VP'!$K$14:$N$14,-1),"")))),"O")</f>
        <v>N</v>
      </c>
      <c r="T58" s="34" t="str">
        <f t="shared" si="2"/>
        <v>N</v>
      </c>
      <c r="U58" s="24" t="str">
        <f>IF(OR($J58="",$J58="odešel"),IF(N58="","N",IF($F58="žena",CHOOSE(_xlfn.ARABIC($H58),MATCH(N58+1,'[1]Normy VP'!$K$25:$N$25,-1),MATCH(N58+1,'[1]Normy VP'!$K$26:$N$26,-1),MATCH(N58+1,'[1]Normy VP'!$K$27:$N$27,-1),MATCH(N58+1,'[1]Normy VP'!$K$28:$N$28,-1),MATCH(N58+1,'[1]Normy VP'!$K$29:$N$29,-1),MATCH(N58+1,'[1]Normy VP'!$K$30:$N$30,-1)),CHOOSE(_xlfn.ARABIC($H58),MATCH(N58+1,'[1]Normy VP'!$O$10:$R$10,-1),MATCH(N58+1,'[1]Normy VP'!$O$11:$R$11,-1),MATCH(N58+1,'[1]Normy VP'!$O$12:$R$12,-1),MATCH(N58+1,'[1]Normy VP'!$O$13:$R$13,-1),MATCH(N58+1,'[1]Normy VP'!$O$14:$R$14,-1),MATCH(N58+1,'[1]Normy VP'!$O$15:$R$15,-1)))),"O")</f>
        <v>N</v>
      </c>
      <c r="V58" s="26" t="str">
        <f>IF(OR($J58="",$J58="odešel"),IF(O58="","N",IF($F58="žena",CHOOSE(_xlfn.ARABIC($H58),MATCH(O58-1,'[1]Normy VP'!$O$25:$R$25),MATCH(O58-1,'[1]Normy VP'!$O$26:$R$26),MATCH(O58-1,'[1]Normy VP'!$O$27:$R$27),MATCH(O58-1,'[1]Normy VP'!$O$28:$R$28),MATCH(O58-1,'[1]Normy VP'!$O$29:$R$29),MATCH(O58-1,'[1]Normy VP'!$O$30:$R$30)),CHOOSE(_xlfn.ARABIC($H58),MATCH(O58-1,'[1]Normy VP'!$S$10:$V$10),MATCH(O58-1,'[1]Normy VP'!$S$11:$V$11),MATCH(O58-1,'[1]Normy VP'!$S$12:$V$12),MATCH(O58-1,'[1]Normy VP'!$S$13:$V$13),MATCH(O58-1,'[1]Normy VP'!$S$14:$V$14),MATCH(O58-1,'[1]Normy VP'!$S$15:$V$15)))),"O")</f>
        <v>N</v>
      </c>
      <c r="W58" s="34" t="str">
        <f t="shared" si="3"/>
        <v>N</v>
      </c>
      <c r="X58" s="27" t="str">
        <f>IF(COUNTIF(B58:G58,"")&gt;0,"",IF(COUNTIF([1]PP!$A:$A,A58)=0,"neni v PP",IF(OR(Y58="odešel",VLOOKUP(A58,[1]PP!$A:$W,22,FALSE)="odešel"),"odešel",IF(OR(Y58="N",VLOOKUP(A58,[1]PP!$A:$W,22,FALSE)="N"),"N",IF(OR(Y58="C",VLOOKUP(A58,[1]PP!$A:$W,22,FALSE)="C"),"C",IF(OR(Y58="DZO",VLOOKUP(A58,[1]PP!$A:$W,22,FALSE)="DZO"),"DZO",IF(OR(Y58="mise",Y58="disp.",Y58="končí",Y58="DSC",VLOOKUP(A58,[1]PP!$A:$W,22,FALSE)="mise",VLOOKUP(A58,[1]PP!$A:$W,22,FALSE)="disp.",VLOOKUP(A58,[1]PP!$A:$W,22,FALSE)="končí",VLOOKUP(A58,[1]PP!$A:$W,22,FALSE)="DSC"),"jiné",IF(OR(Y58=4,VLOOKUP(A58,[1]PP!$A:$W,22,FALSE)=4),4,IF(OR(Y58=3,VLOOKUP(A58,[1]PP!$A:$W,22,FALSE)=3),3,IF(OR(Y58=2,VLOOKUP(A58,[1]PP!$A:$W,22,FALSE)=2),2,IF(AND(Y58=1,VLOOKUP(A58,[1]PP!$A:$W,22,FALSE)=1),1)))))))))))</f>
        <v/>
      </c>
      <c r="Y58" s="28" t="str">
        <f>IF(COUNTIF(B58:G58,"")&gt;0,"",IF(COUNTIF([1]PP!$A:$A,A58)=0,"neni v PP",IF(VLOOKUP(A58,[1]PP!$A:$W,8,FALSE)="odešel","odešel",IF(F58="","",IF(J58="",IF(OR(T58=4,W58=4),4,IF(AND(T58="N",W58="N"),"N",IF(OR(T58="N",W58="N"),4,ROUND(AVERAGE(T58,W58),0)))),J58)))))</f>
        <v/>
      </c>
      <c r="Z58" s="29" t="str">
        <f>IF(COUNTIF(B58:G58,"")=0,IF(X58="neni v PP",CONCATENATE("ID: &lt;",A58,"&gt; se neshoduje s žádným IDem v kartě PP"),IF(COUNTIF($A:$A,A58)&gt;1,CONCATENATE("ID: &lt;",A58,"&gt; se v kartě VP opakuje. Je nutné tyto IDy od sebe odlišit, např. mezerou za příjmením."),IF(COUNTIF([1]PP!A:A,A58)&gt;1,CONCATENATE("ID: &lt;",A58,"&gt; se v kartě PP opakuje. Je nutné tyto IDy od sebe odlišit, např. mezerou za příjmením."),IF(VLOOKUP(A58,[1]PP!$A:$W,5,FALSE)&lt;&gt;E58,CONCATENATE($E$4," &lt;",E58,"&gt; se neshoduje s jednotkou v kartě PP"," &lt;",VLOOKUP(A58,[1]PP!$A:$W,5,FALSE),"&gt;"),IF(AND(COUNTIF(K58:O58,"")&lt;5,J58="",I58=""),CONCATENATE("Doplň: ",$I$4),IF(AND(YEAR(I58)&lt;&gt;$E$2,COUNTIF(I58,"")=0),CONCATENATE("špatně uveden &lt;",$D$2,"&gt; nebo &lt;",$I$4,"&gt;"),IF(OR(AND(OR(COUNTIF(C58,"*a"),COUNTIF(C58,"*ie"),COUNTIF(C58,"*ine"),COUNTIF(D58,"*Á")),F58="muž"),AND(AND(COUNTIF(C58,"&lt;&gt;"&amp;"*a"),COUNTIF(C58,"&lt;&gt;"&amp;"*ie"),COUNTIF(C58,"&lt;&gt;"&amp;"*ine"),COUNTIF(D58,"&lt;&gt;"&amp;"*Á")),F58="žena")),CONCATENATE(C58," ",D58," je ",F58,"?"),""))))))),IF(COUNTIF(B58:O58,"")=14,"",CONCATENATE("Doplň: ",IF(B58="",CONCATENATE($B$4,IF(COUNTIF(C58:G58,"")=0,"",", ")),""),IF(C58="",CONCATENATE($C$4,IF(COUNTIF(D58:G58,"")=0,"",", ")),""),IF(D58="",CONCATENATE($D$4,IF(COUNTIF(E58:G58,"")=0,"",", ")),""),IF(E58="",CONCATENATE($E$4,IF(COUNTIF(F58:G58,"")=0,"",", ")),""),IF(F58="",CONCATENATE($F$4,IF(G58="",", ","")),""),IF(G58="",$G$4,""))))</f>
        <v/>
      </c>
      <c r="AA58" s="30"/>
    </row>
    <row r="59" spans="1:27" ht="16" x14ac:dyDescent="0.35">
      <c r="A59" s="14" t="str">
        <f t="shared" si="0"/>
        <v xml:space="preserve">  </v>
      </c>
      <c r="B59" s="15"/>
      <c r="C59" s="31"/>
      <c r="D59" s="31"/>
      <c r="E59" s="17"/>
      <c r="F59" s="18"/>
      <c r="G59" s="32"/>
      <c r="H59" s="33" t="str">
        <f>IF(G59="","",IF(F59="žena",ROMAN(MATCH(G59+1,'[1]Normy VP'!$Y$27:$Y$33,-1)),ROMAN(MATCH(G59+1,'[1]Normy VP'!$Y$19:$Y$25,-1))))</f>
        <v/>
      </c>
      <c r="I59" s="21"/>
      <c r="J59" s="22"/>
      <c r="K59" s="23"/>
      <c r="L59" s="23"/>
      <c r="M59" s="23"/>
      <c r="N59" s="22"/>
      <c r="O59" s="22"/>
      <c r="P59" s="24" t="str">
        <f>IF(OR($J59="",$J59="odešel"),IF(K59="","",IF($F59="žena",CHOOSE(_xlfn.ARABIC($H59),MATCH(K59+1,'[1]Normy VP'!$C$25:$F$25,-1),MATCH(K59+1,'[1]Normy VP'!$C$26:$F$26,-1),MATCH(K59+1,'[1]Normy VP'!$C$27:$F$27,-1),MATCH(K59+1,'[1]Normy VP'!$C$28:$F$28,-1),MATCH(K59+1,'[1]Normy VP'!$C$29:$F$29,-1),"muž"),CHOOSE(_xlfn.ARABIC($H59),MATCH(K59+1,'[1]Normy VP'!$C$10:$F$10,-1),MATCH(K59+1,'[1]Normy VP'!$C$11:$F$11,-1),MATCH(K59+1,'[1]Normy VP'!$C$12:$F$12,-1),MATCH(K59+1,'[1]Normy VP'!$C$13:$F$13,-1),MATCH(K59+1,'[1]Normy VP'!$C$14:$F$14,-1),""))),"O")</f>
        <v/>
      </c>
      <c r="Q59" s="24" t="str">
        <f>IF(OR($J59="",$J59="odešel"),IF($F59="žena","",IF(L59="","",(CHOOSE(_xlfn.ARABIC($H59),MATCH(L59+1,'[1]Normy VP'!$G$10:$J$10,-1),MATCH(L59+1,'[1]Normy VP'!$G$11:$J$11,-1),MATCH(L59+1,'[1]Normy VP'!$G$12:$J$12,-1),MATCH(L59+1,'[1]Normy VP'!$G$13:$J$13,-1),MATCH(L59+1,'[1]Normy VP'!$G$14:$J$14,-1),"")))),"O")</f>
        <v/>
      </c>
      <c r="R59" s="34" t="str">
        <f t="shared" si="1"/>
        <v>N</v>
      </c>
      <c r="S59" s="24" t="str">
        <f>IF(OR($J59="",$J59="odešel"),IF(M59="","N",IF($F59="žena",CHOOSE(_xlfn.ARABIC($H59),MATCH(M59+1,'[1]Normy VP'!$G$25:$J$25,-1),MATCH(M59+1,'[1]Normy VP'!$G$26:$J$26,-1),MATCH(M59+1,'[1]Normy VP'!$G$27:$J$27,-1),MATCH(M59+1,'[1]Normy VP'!$G$28:$J$28,-1),MATCH(M59+1,'[1]Normy VP'!$G$29:$J$29,-1),"muž"),(CHOOSE(_xlfn.ARABIC($H59),MATCH(M59+1,'[1]Normy VP'!$K$10:$N$10,-1),MATCH(M59+1,'[1]Normy VP'!$K$11:$N$11,-1),MATCH(M59+1,'[1]Normy VP'!$K$12:$N$12,-1),MATCH(M59+1,'[1]Normy VP'!$K$13:$N$13,-1),MATCH(M59+1,'[1]Normy VP'!$K$14:$N$14,-1),"")))),"O")</f>
        <v>N</v>
      </c>
      <c r="T59" s="34" t="str">
        <f t="shared" si="2"/>
        <v>N</v>
      </c>
      <c r="U59" s="24" t="str">
        <f>IF(OR($J59="",$J59="odešel"),IF(N59="","N",IF($F59="žena",CHOOSE(_xlfn.ARABIC($H59),MATCH(N59+1,'[1]Normy VP'!$K$25:$N$25,-1),MATCH(N59+1,'[1]Normy VP'!$K$26:$N$26,-1),MATCH(N59+1,'[1]Normy VP'!$K$27:$N$27,-1),MATCH(N59+1,'[1]Normy VP'!$K$28:$N$28,-1),MATCH(N59+1,'[1]Normy VP'!$K$29:$N$29,-1),MATCH(N59+1,'[1]Normy VP'!$K$30:$N$30,-1)),CHOOSE(_xlfn.ARABIC($H59),MATCH(N59+1,'[1]Normy VP'!$O$10:$R$10,-1),MATCH(N59+1,'[1]Normy VP'!$O$11:$R$11,-1),MATCH(N59+1,'[1]Normy VP'!$O$12:$R$12,-1),MATCH(N59+1,'[1]Normy VP'!$O$13:$R$13,-1),MATCH(N59+1,'[1]Normy VP'!$O$14:$R$14,-1),MATCH(N59+1,'[1]Normy VP'!$O$15:$R$15,-1)))),"O")</f>
        <v>N</v>
      </c>
      <c r="V59" s="26" t="str">
        <f>IF(OR($J59="",$J59="odešel"),IF(O59="","N",IF($F59="žena",CHOOSE(_xlfn.ARABIC($H59),MATCH(O59-1,'[1]Normy VP'!$O$25:$R$25),MATCH(O59-1,'[1]Normy VP'!$O$26:$R$26),MATCH(O59-1,'[1]Normy VP'!$O$27:$R$27),MATCH(O59-1,'[1]Normy VP'!$O$28:$R$28),MATCH(O59-1,'[1]Normy VP'!$O$29:$R$29),MATCH(O59-1,'[1]Normy VP'!$O$30:$R$30)),CHOOSE(_xlfn.ARABIC($H59),MATCH(O59-1,'[1]Normy VP'!$S$10:$V$10),MATCH(O59-1,'[1]Normy VP'!$S$11:$V$11),MATCH(O59-1,'[1]Normy VP'!$S$12:$V$12),MATCH(O59-1,'[1]Normy VP'!$S$13:$V$13),MATCH(O59-1,'[1]Normy VP'!$S$14:$V$14),MATCH(O59-1,'[1]Normy VP'!$S$15:$V$15)))),"O")</f>
        <v>N</v>
      </c>
      <c r="W59" s="34" t="str">
        <f t="shared" si="3"/>
        <v>N</v>
      </c>
      <c r="X59" s="27" t="str">
        <f>IF(COUNTIF(B59:G59,"")&gt;0,"",IF(COUNTIF([1]PP!$A:$A,A59)=0,"neni v PP",IF(OR(Y59="odešel",VLOOKUP(A59,[1]PP!$A:$W,22,FALSE)="odešel"),"odešel",IF(OR(Y59="N",VLOOKUP(A59,[1]PP!$A:$W,22,FALSE)="N"),"N",IF(OR(Y59="C",VLOOKUP(A59,[1]PP!$A:$W,22,FALSE)="C"),"C",IF(OR(Y59="DZO",VLOOKUP(A59,[1]PP!$A:$W,22,FALSE)="DZO"),"DZO",IF(OR(Y59="mise",Y59="disp.",Y59="končí",Y59="DSC",VLOOKUP(A59,[1]PP!$A:$W,22,FALSE)="mise",VLOOKUP(A59,[1]PP!$A:$W,22,FALSE)="disp.",VLOOKUP(A59,[1]PP!$A:$W,22,FALSE)="končí",VLOOKUP(A59,[1]PP!$A:$W,22,FALSE)="DSC"),"jiné",IF(OR(Y59=4,VLOOKUP(A59,[1]PP!$A:$W,22,FALSE)=4),4,IF(OR(Y59=3,VLOOKUP(A59,[1]PP!$A:$W,22,FALSE)=3),3,IF(OR(Y59=2,VLOOKUP(A59,[1]PP!$A:$W,22,FALSE)=2),2,IF(AND(Y59=1,VLOOKUP(A59,[1]PP!$A:$W,22,FALSE)=1),1)))))))))))</f>
        <v/>
      </c>
      <c r="Y59" s="28" t="str">
        <f>IF(COUNTIF(B59:G59,"")&gt;0,"",IF(COUNTIF([1]PP!$A:$A,A59)=0,"neni v PP",IF(VLOOKUP(A59,[1]PP!$A:$W,8,FALSE)="odešel","odešel",IF(F59="","",IF(J59="",IF(OR(T59=4,W59=4),4,IF(AND(T59="N",W59="N"),"N",IF(OR(T59="N",W59="N"),4,ROUND(AVERAGE(T59,W59),0)))),J59)))))</f>
        <v/>
      </c>
      <c r="Z59" s="29" t="str">
        <f>IF(COUNTIF(B59:G59,"")=0,IF(X59="neni v PP",CONCATENATE("ID: &lt;",A59,"&gt; se neshoduje s žádným IDem v kartě PP"),IF(COUNTIF($A:$A,A59)&gt;1,CONCATENATE("ID: &lt;",A59,"&gt; se v kartě VP opakuje. Je nutné tyto IDy od sebe odlišit, např. mezerou za příjmením."),IF(COUNTIF([1]PP!A:A,A59)&gt;1,CONCATENATE("ID: &lt;",A59,"&gt; se v kartě PP opakuje. Je nutné tyto IDy od sebe odlišit, např. mezerou za příjmením."),IF(VLOOKUP(A59,[1]PP!$A:$W,5,FALSE)&lt;&gt;E59,CONCATENATE($E$4," &lt;",E59,"&gt; se neshoduje s jednotkou v kartě PP"," &lt;",VLOOKUP(A59,[1]PP!$A:$W,5,FALSE),"&gt;"),IF(AND(COUNTIF(K59:O59,"")&lt;5,J59="",I59=""),CONCATENATE("Doplň: ",$I$4),IF(AND(YEAR(I59)&lt;&gt;$E$2,COUNTIF(I59,"")=0),CONCATENATE("špatně uveden &lt;",$D$2,"&gt; nebo &lt;",$I$4,"&gt;"),IF(OR(AND(OR(COUNTIF(C59,"*a"),COUNTIF(C59,"*ie"),COUNTIF(C59,"*ine"),COUNTIF(D59,"*Á")),F59="muž"),AND(AND(COUNTIF(C59,"&lt;&gt;"&amp;"*a"),COUNTIF(C59,"&lt;&gt;"&amp;"*ie"),COUNTIF(C59,"&lt;&gt;"&amp;"*ine"),COUNTIF(D59,"&lt;&gt;"&amp;"*Á")),F59="žena")),CONCATENATE(C59," ",D59," je ",F59,"?"),""))))))),IF(COUNTIF(B59:O59,"")=14,"",CONCATENATE("Doplň: ",IF(B59="",CONCATENATE($B$4,IF(COUNTIF(C59:G59,"")=0,"",", ")),""),IF(C59="",CONCATENATE($C$4,IF(COUNTIF(D59:G59,"")=0,"",", ")),""),IF(D59="",CONCATENATE($D$4,IF(COUNTIF(E59:G59,"")=0,"",", ")),""),IF(E59="",CONCATENATE($E$4,IF(COUNTIF(F59:G59,"")=0,"",", ")),""),IF(F59="",CONCATENATE($F$4,IF(G59="",", ","")),""),IF(G59="",$G$4,""))))</f>
        <v/>
      </c>
      <c r="AA59" s="30"/>
    </row>
    <row r="60" spans="1:27" ht="16" x14ac:dyDescent="0.35">
      <c r="A60" s="14" t="str">
        <f t="shared" si="0"/>
        <v xml:space="preserve">  </v>
      </c>
      <c r="B60" s="15"/>
      <c r="C60" s="31"/>
      <c r="D60" s="31"/>
      <c r="E60" s="17"/>
      <c r="F60" s="18"/>
      <c r="G60" s="32"/>
      <c r="H60" s="33" t="str">
        <f>IF(G60="","",IF(F60="žena",ROMAN(MATCH(G60+1,'[1]Normy VP'!$Y$27:$Y$33,-1)),ROMAN(MATCH(G60+1,'[1]Normy VP'!$Y$19:$Y$25,-1))))</f>
        <v/>
      </c>
      <c r="I60" s="21"/>
      <c r="J60" s="22"/>
      <c r="K60" s="23"/>
      <c r="L60" s="23"/>
      <c r="M60" s="23"/>
      <c r="N60" s="22"/>
      <c r="O60" s="22"/>
      <c r="P60" s="24" t="str">
        <f>IF(OR($J60="",$J60="odešel"),IF(K60="","",IF($F60="žena",CHOOSE(_xlfn.ARABIC($H60),MATCH(K60+1,'[1]Normy VP'!$C$25:$F$25,-1),MATCH(K60+1,'[1]Normy VP'!$C$26:$F$26,-1),MATCH(K60+1,'[1]Normy VP'!$C$27:$F$27,-1),MATCH(K60+1,'[1]Normy VP'!$C$28:$F$28,-1),MATCH(K60+1,'[1]Normy VP'!$C$29:$F$29,-1),"muž"),CHOOSE(_xlfn.ARABIC($H60),MATCH(K60+1,'[1]Normy VP'!$C$10:$F$10,-1),MATCH(K60+1,'[1]Normy VP'!$C$11:$F$11,-1),MATCH(K60+1,'[1]Normy VP'!$C$12:$F$12,-1),MATCH(K60+1,'[1]Normy VP'!$C$13:$F$13,-1),MATCH(K60+1,'[1]Normy VP'!$C$14:$F$14,-1),""))),"O")</f>
        <v/>
      </c>
      <c r="Q60" s="24" t="str">
        <f>IF(OR($J60="",$J60="odešel"),IF($F60="žena","",IF(L60="","",(CHOOSE(_xlfn.ARABIC($H60),MATCH(L60+1,'[1]Normy VP'!$G$10:$J$10,-1),MATCH(L60+1,'[1]Normy VP'!$G$11:$J$11,-1),MATCH(L60+1,'[1]Normy VP'!$G$12:$J$12,-1),MATCH(L60+1,'[1]Normy VP'!$G$13:$J$13,-1),MATCH(L60+1,'[1]Normy VP'!$G$14:$J$14,-1),"")))),"O")</f>
        <v/>
      </c>
      <c r="R60" s="34" t="str">
        <f t="shared" si="1"/>
        <v>N</v>
      </c>
      <c r="S60" s="24" t="str">
        <f>IF(OR($J60="",$J60="odešel"),IF(M60="","N",IF($F60="žena",CHOOSE(_xlfn.ARABIC($H60),MATCH(M60+1,'[1]Normy VP'!$G$25:$J$25,-1),MATCH(M60+1,'[1]Normy VP'!$G$26:$J$26,-1),MATCH(M60+1,'[1]Normy VP'!$G$27:$J$27,-1),MATCH(M60+1,'[1]Normy VP'!$G$28:$J$28,-1),MATCH(M60+1,'[1]Normy VP'!$G$29:$J$29,-1),"muž"),(CHOOSE(_xlfn.ARABIC($H60),MATCH(M60+1,'[1]Normy VP'!$K$10:$N$10,-1),MATCH(M60+1,'[1]Normy VP'!$K$11:$N$11,-1),MATCH(M60+1,'[1]Normy VP'!$K$12:$N$12,-1),MATCH(M60+1,'[1]Normy VP'!$K$13:$N$13,-1),MATCH(M60+1,'[1]Normy VP'!$K$14:$N$14,-1),"")))),"O")</f>
        <v>N</v>
      </c>
      <c r="T60" s="34" t="str">
        <f t="shared" si="2"/>
        <v>N</v>
      </c>
      <c r="U60" s="24" t="str">
        <f>IF(OR($J60="",$J60="odešel"),IF(N60="","N",IF($F60="žena",CHOOSE(_xlfn.ARABIC($H60),MATCH(N60+1,'[1]Normy VP'!$K$25:$N$25,-1),MATCH(N60+1,'[1]Normy VP'!$K$26:$N$26,-1),MATCH(N60+1,'[1]Normy VP'!$K$27:$N$27,-1),MATCH(N60+1,'[1]Normy VP'!$K$28:$N$28,-1),MATCH(N60+1,'[1]Normy VP'!$K$29:$N$29,-1),MATCH(N60+1,'[1]Normy VP'!$K$30:$N$30,-1)),CHOOSE(_xlfn.ARABIC($H60),MATCH(N60+1,'[1]Normy VP'!$O$10:$R$10,-1),MATCH(N60+1,'[1]Normy VP'!$O$11:$R$11,-1),MATCH(N60+1,'[1]Normy VP'!$O$12:$R$12,-1),MATCH(N60+1,'[1]Normy VP'!$O$13:$R$13,-1),MATCH(N60+1,'[1]Normy VP'!$O$14:$R$14,-1),MATCH(N60+1,'[1]Normy VP'!$O$15:$R$15,-1)))),"O")</f>
        <v>N</v>
      </c>
      <c r="V60" s="26" t="str">
        <f>IF(OR($J60="",$J60="odešel"),IF(O60="","N",IF($F60="žena",CHOOSE(_xlfn.ARABIC($H60),MATCH(O60-1,'[1]Normy VP'!$O$25:$R$25),MATCH(O60-1,'[1]Normy VP'!$O$26:$R$26),MATCH(O60-1,'[1]Normy VP'!$O$27:$R$27),MATCH(O60-1,'[1]Normy VP'!$O$28:$R$28),MATCH(O60-1,'[1]Normy VP'!$O$29:$R$29),MATCH(O60-1,'[1]Normy VP'!$O$30:$R$30)),CHOOSE(_xlfn.ARABIC($H60),MATCH(O60-1,'[1]Normy VP'!$S$10:$V$10),MATCH(O60-1,'[1]Normy VP'!$S$11:$V$11),MATCH(O60-1,'[1]Normy VP'!$S$12:$V$12),MATCH(O60-1,'[1]Normy VP'!$S$13:$V$13),MATCH(O60-1,'[1]Normy VP'!$S$14:$V$14),MATCH(O60-1,'[1]Normy VP'!$S$15:$V$15)))),"O")</f>
        <v>N</v>
      </c>
      <c r="W60" s="34" t="str">
        <f t="shared" si="3"/>
        <v>N</v>
      </c>
      <c r="X60" s="27" t="str">
        <f>IF(COUNTIF(B60:G60,"")&gt;0,"",IF(COUNTIF([1]PP!$A:$A,A60)=0,"neni v PP",IF(OR(Y60="odešel",VLOOKUP(A60,[1]PP!$A:$W,22,FALSE)="odešel"),"odešel",IF(OR(Y60="N",VLOOKUP(A60,[1]PP!$A:$W,22,FALSE)="N"),"N",IF(OR(Y60="C",VLOOKUP(A60,[1]PP!$A:$W,22,FALSE)="C"),"C",IF(OR(Y60="DZO",VLOOKUP(A60,[1]PP!$A:$W,22,FALSE)="DZO"),"DZO",IF(OR(Y60="mise",Y60="disp.",Y60="končí",Y60="DSC",VLOOKUP(A60,[1]PP!$A:$W,22,FALSE)="mise",VLOOKUP(A60,[1]PP!$A:$W,22,FALSE)="disp.",VLOOKUP(A60,[1]PP!$A:$W,22,FALSE)="končí",VLOOKUP(A60,[1]PP!$A:$W,22,FALSE)="DSC"),"jiné",IF(OR(Y60=4,VLOOKUP(A60,[1]PP!$A:$W,22,FALSE)=4),4,IF(OR(Y60=3,VLOOKUP(A60,[1]PP!$A:$W,22,FALSE)=3),3,IF(OR(Y60=2,VLOOKUP(A60,[1]PP!$A:$W,22,FALSE)=2),2,IF(AND(Y60=1,VLOOKUP(A60,[1]PP!$A:$W,22,FALSE)=1),1)))))))))))</f>
        <v/>
      </c>
      <c r="Y60" s="28" t="str">
        <f>IF(COUNTIF(B60:G60,"")&gt;0,"",IF(COUNTIF([1]PP!$A:$A,A60)=0,"neni v PP",IF(VLOOKUP(A60,[1]PP!$A:$W,8,FALSE)="odešel","odešel",IF(F60="","",IF(J60="",IF(OR(T60=4,W60=4),4,IF(AND(T60="N",W60="N"),"N",IF(OR(T60="N",W60="N"),4,ROUND(AVERAGE(T60,W60),0)))),J60)))))</f>
        <v/>
      </c>
      <c r="Z60" s="29" t="str">
        <f>IF(COUNTIF(B60:G60,"")=0,IF(X60="neni v PP",CONCATENATE("ID: &lt;",A60,"&gt; se neshoduje s žádným IDem v kartě PP"),IF(COUNTIF($A:$A,A60)&gt;1,CONCATENATE("ID: &lt;",A60,"&gt; se v kartě VP opakuje. Je nutné tyto IDy od sebe odlišit, např. mezerou za příjmením."),IF(COUNTIF([1]PP!A:A,A60)&gt;1,CONCATENATE("ID: &lt;",A60,"&gt; se v kartě PP opakuje. Je nutné tyto IDy od sebe odlišit, např. mezerou za příjmením."),IF(VLOOKUP(A60,[1]PP!$A:$W,5,FALSE)&lt;&gt;E60,CONCATENATE($E$4," &lt;",E60,"&gt; se neshoduje s jednotkou v kartě PP"," &lt;",VLOOKUP(A60,[1]PP!$A:$W,5,FALSE),"&gt;"),IF(AND(COUNTIF(K60:O60,"")&lt;5,J60="",I60=""),CONCATENATE("Doplň: ",$I$4),IF(AND(YEAR(I60)&lt;&gt;$E$2,COUNTIF(I60,"")=0),CONCATENATE("špatně uveden &lt;",$D$2,"&gt; nebo &lt;",$I$4,"&gt;"),IF(OR(AND(OR(COUNTIF(C60,"*a"),COUNTIF(C60,"*ie"),COUNTIF(C60,"*ine"),COUNTIF(D60,"*Á")),F60="muž"),AND(AND(COUNTIF(C60,"&lt;&gt;"&amp;"*a"),COUNTIF(C60,"&lt;&gt;"&amp;"*ie"),COUNTIF(C60,"&lt;&gt;"&amp;"*ine"),COUNTIF(D60,"&lt;&gt;"&amp;"*Á")),F60="žena")),CONCATENATE(C60," ",D60," je ",F60,"?"),""))))))),IF(COUNTIF(B60:O60,"")=14,"",CONCATENATE("Doplň: ",IF(B60="",CONCATENATE($B$4,IF(COUNTIF(C60:G60,"")=0,"",", ")),""),IF(C60="",CONCATENATE($C$4,IF(COUNTIF(D60:G60,"")=0,"",", ")),""),IF(D60="",CONCATENATE($D$4,IF(COUNTIF(E60:G60,"")=0,"",", ")),""),IF(E60="",CONCATENATE($E$4,IF(COUNTIF(F60:G60,"")=0,"",", ")),""),IF(F60="",CONCATENATE($F$4,IF(G60="",", ","")),""),IF(G60="",$G$4,""))))</f>
        <v/>
      </c>
      <c r="AA60" s="30"/>
    </row>
    <row r="61" spans="1:27" ht="16" x14ac:dyDescent="0.35">
      <c r="A61" s="14" t="str">
        <f t="shared" si="0"/>
        <v xml:space="preserve">  </v>
      </c>
      <c r="B61" s="15"/>
      <c r="C61" s="35"/>
      <c r="D61" s="35"/>
      <c r="E61" s="17"/>
      <c r="F61" s="18"/>
      <c r="G61" s="32"/>
      <c r="H61" s="33" t="str">
        <f>IF(G61="","",IF(F61="žena",ROMAN(MATCH(G61+1,'[1]Normy VP'!$Y$27:$Y$33,-1)),ROMAN(MATCH(G61+1,'[1]Normy VP'!$Y$19:$Y$25,-1))))</f>
        <v/>
      </c>
      <c r="I61" s="21"/>
      <c r="J61" s="22"/>
      <c r="K61" s="23"/>
      <c r="L61" s="23"/>
      <c r="M61" s="23"/>
      <c r="N61" s="22"/>
      <c r="O61" s="22"/>
      <c r="P61" s="24" t="str">
        <f>IF(OR($J61="",$J61="odešel"),IF(K61="","",IF($F61="žena",CHOOSE(_xlfn.ARABIC($H61),MATCH(K61+1,'[1]Normy VP'!$C$25:$F$25,-1),MATCH(K61+1,'[1]Normy VP'!$C$26:$F$26,-1),MATCH(K61+1,'[1]Normy VP'!$C$27:$F$27,-1),MATCH(K61+1,'[1]Normy VP'!$C$28:$F$28,-1),MATCH(K61+1,'[1]Normy VP'!$C$29:$F$29,-1),"muž"),CHOOSE(_xlfn.ARABIC($H61),MATCH(K61+1,'[1]Normy VP'!$C$10:$F$10,-1),MATCH(K61+1,'[1]Normy VP'!$C$11:$F$11,-1),MATCH(K61+1,'[1]Normy VP'!$C$12:$F$12,-1),MATCH(K61+1,'[1]Normy VP'!$C$13:$F$13,-1),MATCH(K61+1,'[1]Normy VP'!$C$14:$F$14,-1),""))),"O")</f>
        <v/>
      </c>
      <c r="Q61" s="24" t="str">
        <f>IF(OR($J61="",$J61="odešel"),IF($F61="žena","",IF(L61="","",(CHOOSE(_xlfn.ARABIC($H61),MATCH(L61+1,'[1]Normy VP'!$G$10:$J$10,-1),MATCH(L61+1,'[1]Normy VP'!$G$11:$J$11,-1),MATCH(L61+1,'[1]Normy VP'!$G$12:$J$12,-1),MATCH(L61+1,'[1]Normy VP'!$G$13:$J$13,-1),MATCH(L61+1,'[1]Normy VP'!$G$14:$J$14,-1),"")))),"O")</f>
        <v/>
      </c>
      <c r="R61" s="34" t="str">
        <f t="shared" si="1"/>
        <v>N</v>
      </c>
      <c r="S61" s="24" t="str">
        <f>IF(OR($J61="",$J61="odešel"),IF(M61="","N",IF($F61="žena",CHOOSE(_xlfn.ARABIC($H61),MATCH(M61+1,'[1]Normy VP'!$G$25:$J$25,-1),MATCH(M61+1,'[1]Normy VP'!$G$26:$J$26,-1),MATCH(M61+1,'[1]Normy VP'!$G$27:$J$27,-1),MATCH(M61+1,'[1]Normy VP'!$G$28:$J$28,-1),MATCH(M61+1,'[1]Normy VP'!$G$29:$J$29,-1),"muž"),(CHOOSE(_xlfn.ARABIC($H61),MATCH(M61+1,'[1]Normy VP'!$K$10:$N$10,-1),MATCH(M61+1,'[1]Normy VP'!$K$11:$N$11,-1),MATCH(M61+1,'[1]Normy VP'!$K$12:$N$12,-1),MATCH(M61+1,'[1]Normy VP'!$K$13:$N$13,-1),MATCH(M61+1,'[1]Normy VP'!$K$14:$N$14,-1),"")))),"O")</f>
        <v>N</v>
      </c>
      <c r="T61" s="34" t="str">
        <f t="shared" si="2"/>
        <v>N</v>
      </c>
      <c r="U61" s="24" t="str">
        <f>IF(OR($J61="",$J61="odešel"),IF(N61="","N",IF($F61="žena",CHOOSE(_xlfn.ARABIC($H61),MATCH(N61+1,'[1]Normy VP'!$K$25:$N$25,-1),MATCH(N61+1,'[1]Normy VP'!$K$26:$N$26,-1),MATCH(N61+1,'[1]Normy VP'!$K$27:$N$27,-1),MATCH(N61+1,'[1]Normy VP'!$K$28:$N$28,-1),MATCH(N61+1,'[1]Normy VP'!$K$29:$N$29,-1),MATCH(N61+1,'[1]Normy VP'!$K$30:$N$30,-1)),CHOOSE(_xlfn.ARABIC($H61),MATCH(N61+1,'[1]Normy VP'!$O$10:$R$10,-1),MATCH(N61+1,'[1]Normy VP'!$O$11:$R$11,-1),MATCH(N61+1,'[1]Normy VP'!$O$12:$R$12,-1),MATCH(N61+1,'[1]Normy VP'!$O$13:$R$13,-1),MATCH(N61+1,'[1]Normy VP'!$O$14:$R$14,-1),MATCH(N61+1,'[1]Normy VP'!$O$15:$R$15,-1)))),"O")</f>
        <v>N</v>
      </c>
      <c r="V61" s="26" t="str">
        <f>IF(OR($J61="",$J61="odešel"),IF(O61="","N",IF($F61="žena",CHOOSE(_xlfn.ARABIC($H61),MATCH(O61-1,'[1]Normy VP'!$O$25:$R$25),MATCH(O61-1,'[1]Normy VP'!$O$26:$R$26),MATCH(O61-1,'[1]Normy VP'!$O$27:$R$27),MATCH(O61-1,'[1]Normy VP'!$O$28:$R$28),MATCH(O61-1,'[1]Normy VP'!$O$29:$R$29),MATCH(O61-1,'[1]Normy VP'!$O$30:$R$30)),CHOOSE(_xlfn.ARABIC($H61),MATCH(O61-1,'[1]Normy VP'!$S$10:$V$10),MATCH(O61-1,'[1]Normy VP'!$S$11:$V$11),MATCH(O61-1,'[1]Normy VP'!$S$12:$V$12),MATCH(O61-1,'[1]Normy VP'!$S$13:$V$13),MATCH(O61-1,'[1]Normy VP'!$S$14:$V$14),MATCH(O61-1,'[1]Normy VP'!$S$15:$V$15)))),"O")</f>
        <v>N</v>
      </c>
      <c r="W61" s="34" t="str">
        <f t="shared" si="3"/>
        <v>N</v>
      </c>
      <c r="X61" s="27" t="str">
        <f>IF(COUNTIF(B61:G61,"")&gt;0,"",IF(COUNTIF([1]PP!$A:$A,A61)=0,"neni v PP",IF(OR(Y61="odešel",VLOOKUP(A61,[1]PP!$A:$W,22,FALSE)="odešel"),"odešel",IF(OR(Y61="N",VLOOKUP(A61,[1]PP!$A:$W,22,FALSE)="N"),"N",IF(OR(Y61="C",VLOOKUP(A61,[1]PP!$A:$W,22,FALSE)="C"),"C",IF(OR(Y61="DZO",VLOOKUP(A61,[1]PP!$A:$W,22,FALSE)="DZO"),"DZO",IF(OR(Y61="mise",Y61="disp.",Y61="končí",Y61="DSC",VLOOKUP(A61,[1]PP!$A:$W,22,FALSE)="mise",VLOOKUP(A61,[1]PP!$A:$W,22,FALSE)="disp.",VLOOKUP(A61,[1]PP!$A:$W,22,FALSE)="končí",VLOOKUP(A61,[1]PP!$A:$W,22,FALSE)="DSC"),"jiné",IF(OR(Y61=4,VLOOKUP(A61,[1]PP!$A:$W,22,FALSE)=4),4,IF(OR(Y61=3,VLOOKUP(A61,[1]PP!$A:$W,22,FALSE)=3),3,IF(OR(Y61=2,VLOOKUP(A61,[1]PP!$A:$W,22,FALSE)=2),2,IF(AND(Y61=1,VLOOKUP(A61,[1]PP!$A:$W,22,FALSE)=1),1)))))))))))</f>
        <v/>
      </c>
      <c r="Y61" s="28" t="str">
        <f>IF(COUNTIF(B61:G61,"")&gt;0,"",IF(COUNTIF([1]PP!$A:$A,A61)=0,"neni v PP",IF(VLOOKUP(A61,[1]PP!$A:$W,8,FALSE)="odešel","odešel",IF(F61="","",IF(J61="",IF(OR(T61=4,W61=4),4,IF(AND(T61="N",W61="N"),"N",IF(OR(T61="N",W61="N"),4,ROUND(AVERAGE(T61,W61),0)))),J61)))))</f>
        <v/>
      </c>
      <c r="Z61" s="29" t="str">
        <f>IF(COUNTIF(B61:G61,"")=0,IF(X61="neni v PP",CONCATENATE("ID: &lt;",A61,"&gt; se neshoduje s žádným IDem v kartě PP"),IF(COUNTIF($A:$A,A61)&gt;1,CONCATENATE("ID: &lt;",A61,"&gt; se v kartě VP opakuje. Je nutné tyto IDy od sebe odlišit, např. mezerou za příjmením."),IF(COUNTIF([1]PP!A:A,A61)&gt;1,CONCATENATE("ID: &lt;",A61,"&gt; se v kartě PP opakuje. Je nutné tyto IDy od sebe odlišit, např. mezerou za příjmením."),IF(VLOOKUP(A61,[1]PP!$A:$W,5,FALSE)&lt;&gt;E61,CONCATENATE($E$4," &lt;",E61,"&gt; se neshoduje s jednotkou v kartě PP"," &lt;",VLOOKUP(A61,[1]PP!$A:$W,5,FALSE),"&gt;"),IF(AND(COUNTIF(K61:O61,"")&lt;5,J61="",I61=""),CONCATENATE("Doplň: ",$I$4),IF(AND(YEAR(I61)&lt;&gt;$E$2,COUNTIF(I61,"")=0),CONCATENATE("špatně uveden &lt;",$D$2,"&gt; nebo &lt;",$I$4,"&gt;"),IF(OR(AND(OR(COUNTIF(C61,"*a"),COUNTIF(C61,"*ie"),COUNTIF(C61,"*ine"),COUNTIF(D61,"*Á")),F61="muž"),AND(AND(COUNTIF(C61,"&lt;&gt;"&amp;"*a"),COUNTIF(C61,"&lt;&gt;"&amp;"*ie"),COUNTIF(C61,"&lt;&gt;"&amp;"*ine"),COUNTIF(D61,"&lt;&gt;"&amp;"*Á")),F61="žena")),CONCATENATE(C61," ",D61," je ",F61,"?"),""))))))),IF(COUNTIF(B61:O61,"")=14,"",CONCATENATE("Doplň: ",IF(B61="",CONCATENATE($B$4,IF(COUNTIF(C61:G61,"")=0,"",", ")),""),IF(C61="",CONCATENATE($C$4,IF(COUNTIF(D61:G61,"")=0,"",", ")),""),IF(D61="",CONCATENATE($D$4,IF(COUNTIF(E61:G61,"")=0,"",", ")),""),IF(E61="",CONCATENATE($E$4,IF(COUNTIF(F61:G61,"")=0,"",", ")),""),IF(F61="",CONCATENATE($F$4,IF(G61="",", ","")),""),IF(G61="",$G$4,""))))</f>
        <v/>
      </c>
      <c r="AA61" s="30"/>
    </row>
    <row r="62" spans="1:27" ht="16" x14ac:dyDescent="0.35">
      <c r="A62" s="14" t="str">
        <f t="shared" si="0"/>
        <v xml:space="preserve">  </v>
      </c>
      <c r="B62" s="15"/>
      <c r="C62" s="31"/>
      <c r="D62" s="31"/>
      <c r="E62" s="17"/>
      <c r="F62" s="18"/>
      <c r="G62" s="32"/>
      <c r="H62" s="33" t="str">
        <f>IF(G62="","",IF(F62="žena",ROMAN(MATCH(G62+1,'[1]Normy VP'!$Y$27:$Y$33,-1)),ROMAN(MATCH(G62+1,'[1]Normy VP'!$Y$19:$Y$25,-1))))</f>
        <v/>
      </c>
      <c r="I62" s="21"/>
      <c r="J62" s="22"/>
      <c r="K62" s="23"/>
      <c r="L62" s="23"/>
      <c r="M62" s="23"/>
      <c r="N62" s="22"/>
      <c r="O62" s="22"/>
      <c r="P62" s="24" t="str">
        <f>IF(OR($J62="",$J62="odešel"),IF(K62="","",IF($F62="žena",CHOOSE(_xlfn.ARABIC($H62),MATCH(K62+1,'[1]Normy VP'!$C$25:$F$25,-1),MATCH(K62+1,'[1]Normy VP'!$C$26:$F$26,-1),MATCH(K62+1,'[1]Normy VP'!$C$27:$F$27,-1),MATCH(K62+1,'[1]Normy VP'!$C$28:$F$28,-1),MATCH(K62+1,'[1]Normy VP'!$C$29:$F$29,-1),"muž"),CHOOSE(_xlfn.ARABIC($H62),MATCH(K62+1,'[1]Normy VP'!$C$10:$F$10,-1),MATCH(K62+1,'[1]Normy VP'!$C$11:$F$11,-1),MATCH(K62+1,'[1]Normy VP'!$C$12:$F$12,-1),MATCH(K62+1,'[1]Normy VP'!$C$13:$F$13,-1),MATCH(K62+1,'[1]Normy VP'!$C$14:$F$14,-1),""))),"O")</f>
        <v/>
      </c>
      <c r="Q62" s="24" t="str">
        <f>IF(OR($J62="",$J62="odešel"),IF($F62="žena","",IF(L62="","",(CHOOSE(_xlfn.ARABIC($H62),MATCH(L62+1,'[1]Normy VP'!$G$10:$J$10,-1),MATCH(L62+1,'[1]Normy VP'!$G$11:$J$11,-1),MATCH(L62+1,'[1]Normy VP'!$G$12:$J$12,-1),MATCH(L62+1,'[1]Normy VP'!$G$13:$J$13,-1),MATCH(L62+1,'[1]Normy VP'!$G$14:$J$14,-1),"")))),"O")</f>
        <v/>
      </c>
      <c r="R62" s="34" t="str">
        <f t="shared" si="1"/>
        <v>N</v>
      </c>
      <c r="S62" s="24" t="str">
        <f>IF(OR($J62="",$J62="odešel"),IF(M62="","N",IF($F62="žena",CHOOSE(_xlfn.ARABIC($H62),MATCH(M62+1,'[1]Normy VP'!$G$25:$J$25,-1),MATCH(M62+1,'[1]Normy VP'!$G$26:$J$26,-1),MATCH(M62+1,'[1]Normy VP'!$G$27:$J$27,-1),MATCH(M62+1,'[1]Normy VP'!$G$28:$J$28,-1),MATCH(M62+1,'[1]Normy VP'!$G$29:$J$29,-1),"muž"),(CHOOSE(_xlfn.ARABIC($H62),MATCH(M62+1,'[1]Normy VP'!$K$10:$N$10,-1),MATCH(M62+1,'[1]Normy VP'!$K$11:$N$11,-1),MATCH(M62+1,'[1]Normy VP'!$K$12:$N$12,-1),MATCH(M62+1,'[1]Normy VP'!$K$13:$N$13,-1),MATCH(M62+1,'[1]Normy VP'!$K$14:$N$14,-1),"")))),"O")</f>
        <v>N</v>
      </c>
      <c r="T62" s="34" t="str">
        <f t="shared" si="2"/>
        <v>N</v>
      </c>
      <c r="U62" s="24" t="str">
        <f>IF(OR($J62="",$J62="odešel"),IF(N62="","N",IF($F62="žena",CHOOSE(_xlfn.ARABIC($H62),MATCH(N62+1,'[1]Normy VP'!$K$25:$N$25,-1),MATCH(N62+1,'[1]Normy VP'!$K$26:$N$26,-1),MATCH(N62+1,'[1]Normy VP'!$K$27:$N$27,-1),MATCH(N62+1,'[1]Normy VP'!$K$28:$N$28,-1),MATCH(N62+1,'[1]Normy VP'!$K$29:$N$29,-1),MATCH(N62+1,'[1]Normy VP'!$K$30:$N$30,-1)),CHOOSE(_xlfn.ARABIC($H62),MATCH(N62+1,'[1]Normy VP'!$O$10:$R$10,-1),MATCH(N62+1,'[1]Normy VP'!$O$11:$R$11,-1),MATCH(N62+1,'[1]Normy VP'!$O$12:$R$12,-1),MATCH(N62+1,'[1]Normy VP'!$O$13:$R$13,-1),MATCH(N62+1,'[1]Normy VP'!$O$14:$R$14,-1),MATCH(N62+1,'[1]Normy VP'!$O$15:$R$15,-1)))),"O")</f>
        <v>N</v>
      </c>
      <c r="V62" s="26" t="str">
        <f>IF(OR($J62="",$J62="odešel"),IF(O62="","N",IF($F62="žena",CHOOSE(_xlfn.ARABIC($H62),MATCH(O62-1,'[1]Normy VP'!$O$25:$R$25),MATCH(O62-1,'[1]Normy VP'!$O$26:$R$26),MATCH(O62-1,'[1]Normy VP'!$O$27:$R$27),MATCH(O62-1,'[1]Normy VP'!$O$28:$R$28),MATCH(O62-1,'[1]Normy VP'!$O$29:$R$29),MATCH(O62-1,'[1]Normy VP'!$O$30:$R$30)),CHOOSE(_xlfn.ARABIC($H62),MATCH(O62-1,'[1]Normy VP'!$S$10:$V$10),MATCH(O62-1,'[1]Normy VP'!$S$11:$V$11),MATCH(O62-1,'[1]Normy VP'!$S$12:$V$12),MATCH(O62-1,'[1]Normy VP'!$S$13:$V$13),MATCH(O62-1,'[1]Normy VP'!$S$14:$V$14),MATCH(O62-1,'[1]Normy VP'!$S$15:$V$15)))),"O")</f>
        <v>N</v>
      </c>
      <c r="W62" s="34" t="str">
        <f t="shared" si="3"/>
        <v>N</v>
      </c>
      <c r="X62" s="27" t="str">
        <f>IF(COUNTIF(B62:G62,"")&gt;0,"",IF(COUNTIF([1]PP!$A:$A,A62)=0,"neni v PP",IF(OR(Y62="odešel",VLOOKUP(A62,[1]PP!$A:$W,22,FALSE)="odešel"),"odešel",IF(OR(Y62="N",VLOOKUP(A62,[1]PP!$A:$W,22,FALSE)="N"),"N",IF(OR(Y62="C",VLOOKUP(A62,[1]PP!$A:$W,22,FALSE)="C"),"C",IF(OR(Y62="DZO",VLOOKUP(A62,[1]PP!$A:$W,22,FALSE)="DZO"),"DZO",IF(OR(Y62="mise",Y62="disp.",Y62="končí",Y62="DSC",VLOOKUP(A62,[1]PP!$A:$W,22,FALSE)="mise",VLOOKUP(A62,[1]PP!$A:$W,22,FALSE)="disp.",VLOOKUP(A62,[1]PP!$A:$W,22,FALSE)="končí",VLOOKUP(A62,[1]PP!$A:$W,22,FALSE)="DSC"),"jiné",IF(OR(Y62=4,VLOOKUP(A62,[1]PP!$A:$W,22,FALSE)=4),4,IF(OR(Y62=3,VLOOKUP(A62,[1]PP!$A:$W,22,FALSE)=3),3,IF(OR(Y62=2,VLOOKUP(A62,[1]PP!$A:$W,22,FALSE)=2),2,IF(AND(Y62=1,VLOOKUP(A62,[1]PP!$A:$W,22,FALSE)=1),1)))))))))))</f>
        <v/>
      </c>
      <c r="Y62" s="28" t="str">
        <f>IF(COUNTIF(B62:G62,"")&gt;0,"",IF(COUNTIF([1]PP!$A:$A,A62)=0,"neni v PP",IF(VLOOKUP(A62,[1]PP!$A:$W,8,FALSE)="odešel","odešel",IF(F62="","",IF(J62="",IF(OR(T62=4,W62=4),4,IF(AND(T62="N",W62="N"),"N",IF(OR(T62="N",W62="N"),4,ROUND(AVERAGE(T62,W62),0)))),J62)))))</f>
        <v/>
      </c>
      <c r="Z62" s="29" t="str">
        <f>IF(COUNTIF(B62:G62,"")=0,IF(X62="neni v PP",CONCATENATE("ID: &lt;",A62,"&gt; se neshoduje s žádným IDem v kartě PP"),IF(COUNTIF($A:$A,A62)&gt;1,CONCATENATE("ID: &lt;",A62,"&gt; se v kartě VP opakuje. Je nutné tyto IDy od sebe odlišit, např. mezerou za příjmením."),IF(COUNTIF([1]PP!A:A,A62)&gt;1,CONCATENATE("ID: &lt;",A62,"&gt; se v kartě PP opakuje. Je nutné tyto IDy od sebe odlišit, např. mezerou za příjmením."),IF(VLOOKUP(A62,[1]PP!$A:$W,5,FALSE)&lt;&gt;E62,CONCATENATE($E$4," &lt;",E62,"&gt; se neshoduje s jednotkou v kartě PP"," &lt;",VLOOKUP(A62,[1]PP!$A:$W,5,FALSE),"&gt;"),IF(AND(COUNTIF(K62:O62,"")&lt;5,J62="",I62=""),CONCATENATE("Doplň: ",$I$4),IF(AND(YEAR(I62)&lt;&gt;$E$2,COUNTIF(I62,"")=0),CONCATENATE("špatně uveden &lt;",$D$2,"&gt; nebo &lt;",$I$4,"&gt;"),IF(OR(AND(OR(COUNTIF(C62,"*a"),COUNTIF(C62,"*ie"),COUNTIF(C62,"*ine"),COUNTIF(D62,"*Á")),F62="muž"),AND(AND(COUNTIF(C62,"&lt;&gt;"&amp;"*a"),COUNTIF(C62,"&lt;&gt;"&amp;"*ie"),COUNTIF(C62,"&lt;&gt;"&amp;"*ine"),COUNTIF(D62,"&lt;&gt;"&amp;"*Á")),F62="žena")),CONCATENATE(C62," ",D62," je ",F62,"?"),""))))))),IF(COUNTIF(B62:O62,"")=14,"",CONCATENATE("Doplň: ",IF(B62="",CONCATENATE($B$4,IF(COUNTIF(C62:G62,"")=0,"",", ")),""),IF(C62="",CONCATENATE($C$4,IF(COUNTIF(D62:G62,"")=0,"",", ")),""),IF(D62="",CONCATENATE($D$4,IF(COUNTIF(E62:G62,"")=0,"",", ")),""),IF(E62="",CONCATENATE($E$4,IF(COUNTIF(F62:G62,"")=0,"",", ")),""),IF(F62="",CONCATENATE($F$4,IF(G62="",", ","")),""),IF(G62="",$G$4,""))))</f>
        <v/>
      </c>
      <c r="AA62" s="30"/>
    </row>
    <row r="63" spans="1:27" ht="16" x14ac:dyDescent="0.35">
      <c r="A63" s="14" t="str">
        <f t="shared" si="0"/>
        <v xml:space="preserve">  </v>
      </c>
      <c r="B63" s="15"/>
      <c r="C63" s="31"/>
      <c r="D63" s="31"/>
      <c r="E63" s="17"/>
      <c r="F63" s="18"/>
      <c r="G63" s="32"/>
      <c r="H63" s="33" t="str">
        <f>IF(G63="","",IF(F63="žena",ROMAN(MATCH(G63+1,'[1]Normy VP'!$Y$27:$Y$33,-1)),ROMAN(MATCH(G63+1,'[1]Normy VP'!$Y$19:$Y$25,-1))))</f>
        <v/>
      </c>
      <c r="I63" s="21"/>
      <c r="J63" s="22"/>
      <c r="K63" s="23"/>
      <c r="L63" s="23"/>
      <c r="M63" s="23"/>
      <c r="N63" s="22"/>
      <c r="O63" s="22"/>
      <c r="P63" s="24" t="str">
        <f>IF(OR($J63="",$J63="odešel"),IF(K63="","",IF($F63="žena",CHOOSE(_xlfn.ARABIC($H63),MATCH(K63+1,'[1]Normy VP'!$C$25:$F$25,-1),MATCH(K63+1,'[1]Normy VP'!$C$26:$F$26,-1),MATCH(K63+1,'[1]Normy VP'!$C$27:$F$27,-1),MATCH(K63+1,'[1]Normy VP'!$C$28:$F$28,-1),MATCH(K63+1,'[1]Normy VP'!$C$29:$F$29,-1),"muž"),CHOOSE(_xlfn.ARABIC($H63),MATCH(K63+1,'[1]Normy VP'!$C$10:$F$10,-1),MATCH(K63+1,'[1]Normy VP'!$C$11:$F$11,-1),MATCH(K63+1,'[1]Normy VP'!$C$12:$F$12,-1),MATCH(K63+1,'[1]Normy VP'!$C$13:$F$13,-1),MATCH(K63+1,'[1]Normy VP'!$C$14:$F$14,-1),""))),"O")</f>
        <v/>
      </c>
      <c r="Q63" s="24" t="str">
        <f>IF(OR($J63="",$J63="odešel"),IF($F63="žena","",IF(L63="","",(CHOOSE(_xlfn.ARABIC($H63),MATCH(L63+1,'[1]Normy VP'!$G$10:$J$10,-1),MATCH(L63+1,'[1]Normy VP'!$G$11:$J$11,-1),MATCH(L63+1,'[1]Normy VP'!$G$12:$J$12,-1),MATCH(L63+1,'[1]Normy VP'!$G$13:$J$13,-1),MATCH(L63+1,'[1]Normy VP'!$G$14:$J$14,-1),"")))),"O")</f>
        <v/>
      </c>
      <c r="R63" s="34" t="str">
        <f t="shared" si="1"/>
        <v>N</v>
      </c>
      <c r="S63" s="24" t="str">
        <f>IF(OR($J63="",$J63="odešel"),IF(M63="","N",IF($F63="žena",CHOOSE(_xlfn.ARABIC($H63),MATCH(M63+1,'[1]Normy VP'!$G$25:$J$25,-1),MATCH(M63+1,'[1]Normy VP'!$G$26:$J$26,-1),MATCH(M63+1,'[1]Normy VP'!$G$27:$J$27,-1),MATCH(M63+1,'[1]Normy VP'!$G$28:$J$28,-1),MATCH(M63+1,'[1]Normy VP'!$G$29:$J$29,-1),"muž"),(CHOOSE(_xlfn.ARABIC($H63),MATCH(M63+1,'[1]Normy VP'!$K$10:$N$10,-1),MATCH(M63+1,'[1]Normy VP'!$K$11:$N$11,-1),MATCH(M63+1,'[1]Normy VP'!$K$12:$N$12,-1),MATCH(M63+1,'[1]Normy VP'!$K$13:$N$13,-1),MATCH(M63+1,'[1]Normy VP'!$K$14:$N$14,-1),"")))),"O")</f>
        <v>N</v>
      </c>
      <c r="T63" s="34" t="str">
        <f t="shared" si="2"/>
        <v>N</v>
      </c>
      <c r="U63" s="24" t="str">
        <f>IF(OR($J63="",$J63="odešel"),IF(N63="","N",IF($F63="žena",CHOOSE(_xlfn.ARABIC($H63),MATCH(N63+1,'[1]Normy VP'!$K$25:$N$25,-1),MATCH(N63+1,'[1]Normy VP'!$K$26:$N$26,-1),MATCH(N63+1,'[1]Normy VP'!$K$27:$N$27,-1),MATCH(N63+1,'[1]Normy VP'!$K$28:$N$28,-1),MATCH(N63+1,'[1]Normy VP'!$K$29:$N$29,-1),MATCH(N63+1,'[1]Normy VP'!$K$30:$N$30,-1)),CHOOSE(_xlfn.ARABIC($H63),MATCH(N63+1,'[1]Normy VP'!$O$10:$R$10,-1),MATCH(N63+1,'[1]Normy VP'!$O$11:$R$11,-1),MATCH(N63+1,'[1]Normy VP'!$O$12:$R$12,-1),MATCH(N63+1,'[1]Normy VP'!$O$13:$R$13,-1),MATCH(N63+1,'[1]Normy VP'!$O$14:$R$14,-1),MATCH(N63+1,'[1]Normy VP'!$O$15:$R$15,-1)))),"O")</f>
        <v>N</v>
      </c>
      <c r="V63" s="26" t="str">
        <f>IF(OR($J63="",$J63="odešel"),IF(O63="","N",IF($F63="žena",CHOOSE(_xlfn.ARABIC($H63),MATCH(O63-1,'[1]Normy VP'!$O$25:$R$25),MATCH(O63-1,'[1]Normy VP'!$O$26:$R$26),MATCH(O63-1,'[1]Normy VP'!$O$27:$R$27),MATCH(O63-1,'[1]Normy VP'!$O$28:$R$28),MATCH(O63-1,'[1]Normy VP'!$O$29:$R$29),MATCH(O63-1,'[1]Normy VP'!$O$30:$R$30)),CHOOSE(_xlfn.ARABIC($H63),MATCH(O63-1,'[1]Normy VP'!$S$10:$V$10),MATCH(O63-1,'[1]Normy VP'!$S$11:$V$11),MATCH(O63-1,'[1]Normy VP'!$S$12:$V$12),MATCH(O63-1,'[1]Normy VP'!$S$13:$V$13),MATCH(O63-1,'[1]Normy VP'!$S$14:$V$14),MATCH(O63-1,'[1]Normy VP'!$S$15:$V$15)))),"O")</f>
        <v>N</v>
      </c>
      <c r="W63" s="34" t="str">
        <f t="shared" si="3"/>
        <v>N</v>
      </c>
      <c r="X63" s="27" t="str">
        <f>IF(COUNTIF(B63:G63,"")&gt;0,"",IF(COUNTIF([1]PP!$A:$A,A63)=0,"neni v PP",IF(OR(Y63="odešel",VLOOKUP(A63,[1]PP!$A:$W,22,FALSE)="odešel"),"odešel",IF(OR(Y63="N",VLOOKUP(A63,[1]PP!$A:$W,22,FALSE)="N"),"N",IF(OR(Y63="C",VLOOKUP(A63,[1]PP!$A:$W,22,FALSE)="C"),"C",IF(OR(Y63="DZO",VLOOKUP(A63,[1]PP!$A:$W,22,FALSE)="DZO"),"DZO",IF(OR(Y63="mise",Y63="disp.",Y63="končí",Y63="DSC",VLOOKUP(A63,[1]PP!$A:$W,22,FALSE)="mise",VLOOKUP(A63,[1]PP!$A:$W,22,FALSE)="disp.",VLOOKUP(A63,[1]PP!$A:$W,22,FALSE)="končí",VLOOKUP(A63,[1]PP!$A:$W,22,FALSE)="DSC"),"jiné",IF(OR(Y63=4,VLOOKUP(A63,[1]PP!$A:$W,22,FALSE)=4),4,IF(OR(Y63=3,VLOOKUP(A63,[1]PP!$A:$W,22,FALSE)=3),3,IF(OR(Y63=2,VLOOKUP(A63,[1]PP!$A:$W,22,FALSE)=2),2,IF(AND(Y63=1,VLOOKUP(A63,[1]PP!$A:$W,22,FALSE)=1),1)))))))))))</f>
        <v/>
      </c>
      <c r="Y63" s="28" t="str">
        <f>IF(COUNTIF(B63:G63,"")&gt;0,"",IF(COUNTIF([1]PP!$A:$A,A63)=0,"neni v PP",IF(VLOOKUP(A63,[1]PP!$A:$W,8,FALSE)="odešel","odešel",IF(F63="","",IF(J63="",IF(OR(T63=4,W63=4),4,IF(AND(T63="N",W63="N"),"N",IF(OR(T63="N",W63="N"),4,ROUND(AVERAGE(T63,W63),0)))),J63)))))</f>
        <v/>
      </c>
      <c r="Z63" s="29" t="str">
        <f>IF(COUNTIF(B63:G63,"")=0,IF(X63="neni v PP",CONCATENATE("ID: &lt;",A63,"&gt; se neshoduje s žádným IDem v kartě PP"),IF(COUNTIF($A:$A,A63)&gt;1,CONCATENATE("ID: &lt;",A63,"&gt; se v kartě VP opakuje. Je nutné tyto IDy od sebe odlišit, např. mezerou za příjmením."),IF(COUNTIF([1]PP!A:A,A63)&gt;1,CONCATENATE("ID: &lt;",A63,"&gt; se v kartě PP opakuje. Je nutné tyto IDy od sebe odlišit, např. mezerou za příjmením."),IF(VLOOKUP(A63,[1]PP!$A:$W,5,FALSE)&lt;&gt;E63,CONCATENATE($E$4," &lt;",E63,"&gt; se neshoduje s jednotkou v kartě PP"," &lt;",VLOOKUP(A63,[1]PP!$A:$W,5,FALSE),"&gt;"),IF(AND(COUNTIF(K63:O63,"")&lt;5,J63="",I63=""),CONCATENATE("Doplň: ",$I$4),IF(AND(YEAR(I63)&lt;&gt;$E$2,COUNTIF(I63,"")=0),CONCATENATE("špatně uveden &lt;",$D$2,"&gt; nebo &lt;",$I$4,"&gt;"),IF(OR(AND(OR(COUNTIF(C63,"*a"),COUNTIF(C63,"*ie"),COUNTIF(C63,"*ine"),COUNTIF(D63,"*Á")),F63="muž"),AND(AND(COUNTIF(C63,"&lt;&gt;"&amp;"*a"),COUNTIF(C63,"&lt;&gt;"&amp;"*ie"),COUNTIF(C63,"&lt;&gt;"&amp;"*ine"),COUNTIF(D63,"&lt;&gt;"&amp;"*Á")),F63="žena")),CONCATENATE(C63," ",D63," je ",F63,"?"),""))))))),IF(COUNTIF(B63:O63,"")=14,"",CONCATENATE("Doplň: ",IF(B63="",CONCATENATE($B$4,IF(COUNTIF(C63:G63,"")=0,"",", ")),""),IF(C63="",CONCATENATE($C$4,IF(COUNTIF(D63:G63,"")=0,"",", ")),""),IF(D63="",CONCATENATE($D$4,IF(COUNTIF(E63:G63,"")=0,"",", ")),""),IF(E63="",CONCATENATE($E$4,IF(COUNTIF(F63:G63,"")=0,"",", ")),""),IF(F63="",CONCATENATE($F$4,IF(G63="",", ","")),""),IF(G63="",$G$4,""))))</f>
        <v/>
      </c>
      <c r="AA63" s="30"/>
    </row>
    <row r="64" spans="1:27" ht="16" x14ac:dyDescent="0.35">
      <c r="A64" s="14" t="str">
        <f t="shared" si="0"/>
        <v xml:space="preserve">  </v>
      </c>
      <c r="B64" s="15"/>
      <c r="C64" s="31"/>
      <c r="D64" s="31"/>
      <c r="E64" s="17"/>
      <c r="F64" s="18"/>
      <c r="G64" s="32"/>
      <c r="H64" s="33" t="str">
        <f>IF(G64="","",IF(F64="žena",ROMAN(MATCH(G64+1,'[1]Normy VP'!$Y$27:$Y$33,-1)),ROMAN(MATCH(G64+1,'[1]Normy VP'!$Y$19:$Y$25,-1))))</f>
        <v/>
      </c>
      <c r="I64" s="21"/>
      <c r="J64" s="22"/>
      <c r="K64" s="23"/>
      <c r="L64" s="23"/>
      <c r="M64" s="23"/>
      <c r="N64" s="22"/>
      <c r="O64" s="22"/>
      <c r="P64" s="24" t="str">
        <f>IF(OR($J64="",$J64="odešel"),IF(K64="","",IF($F64="žena",CHOOSE(_xlfn.ARABIC($H64),MATCH(K64+1,'[1]Normy VP'!$C$25:$F$25,-1),MATCH(K64+1,'[1]Normy VP'!$C$26:$F$26,-1),MATCH(K64+1,'[1]Normy VP'!$C$27:$F$27,-1),MATCH(K64+1,'[1]Normy VP'!$C$28:$F$28,-1),MATCH(K64+1,'[1]Normy VP'!$C$29:$F$29,-1),"muž"),CHOOSE(_xlfn.ARABIC($H64),MATCH(K64+1,'[1]Normy VP'!$C$10:$F$10,-1),MATCH(K64+1,'[1]Normy VP'!$C$11:$F$11,-1),MATCH(K64+1,'[1]Normy VP'!$C$12:$F$12,-1),MATCH(K64+1,'[1]Normy VP'!$C$13:$F$13,-1),MATCH(K64+1,'[1]Normy VP'!$C$14:$F$14,-1),""))),"O")</f>
        <v/>
      </c>
      <c r="Q64" s="24" t="str">
        <f>IF(OR($J64="",$J64="odešel"),IF($F64="žena","",IF(L64="","",(CHOOSE(_xlfn.ARABIC($H64),MATCH(L64+1,'[1]Normy VP'!$G$10:$J$10,-1),MATCH(L64+1,'[1]Normy VP'!$G$11:$J$11,-1),MATCH(L64+1,'[1]Normy VP'!$G$12:$J$12,-1),MATCH(L64+1,'[1]Normy VP'!$G$13:$J$13,-1),MATCH(L64+1,'[1]Normy VP'!$G$14:$J$14,-1),"")))),"O")</f>
        <v/>
      </c>
      <c r="R64" s="34" t="str">
        <f t="shared" si="1"/>
        <v>N</v>
      </c>
      <c r="S64" s="24" t="str">
        <f>IF(OR($J64="",$J64="odešel"),IF(M64="","N",IF($F64="žena",CHOOSE(_xlfn.ARABIC($H64),MATCH(M64+1,'[1]Normy VP'!$G$25:$J$25,-1),MATCH(M64+1,'[1]Normy VP'!$G$26:$J$26,-1),MATCH(M64+1,'[1]Normy VP'!$G$27:$J$27,-1),MATCH(M64+1,'[1]Normy VP'!$G$28:$J$28,-1),MATCH(M64+1,'[1]Normy VP'!$G$29:$J$29,-1),"muž"),(CHOOSE(_xlfn.ARABIC($H64),MATCH(M64+1,'[1]Normy VP'!$K$10:$N$10,-1),MATCH(M64+1,'[1]Normy VP'!$K$11:$N$11,-1),MATCH(M64+1,'[1]Normy VP'!$K$12:$N$12,-1),MATCH(M64+1,'[1]Normy VP'!$K$13:$N$13,-1),MATCH(M64+1,'[1]Normy VP'!$K$14:$N$14,-1),"")))),"O")</f>
        <v>N</v>
      </c>
      <c r="T64" s="34" t="str">
        <f t="shared" si="2"/>
        <v>N</v>
      </c>
      <c r="U64" s="24" t="str">
        <f>IF(OR($J64="",$J64="odešel"),IF(N64="","N",IF($F64="žena",CHOOSE(_xlfn.ARABIC($H64),MATCH(N64+1,'[1]Normy VP'!$K$25:$N$25,-1),MATCH(N64+1,'[1]Normy VP'!$K$26:$N$26,-1),MATCH(N64+1,'[1]Normy VP'!$K$27:$N$27,-1),MATCH(N64+1,'[1]Normy VP'!$K$28:$N$28,-1),MATCH(N64+1,'[1]Normy VP'!$K$29:$N$29,-1),MATCH(N64+1,'[1]Normy VP'!$K$30:$N$30,-1)),CHOOSE(_xlfn.ARABIC($H64),MATCH(N64+1,'[1]Normy VP'!$O$10:$R$10,-1),MATCH(N64+1,'[1]Normy VP'!$O$11:$R$11,-1),MATCH(N64+1,'[1]Normy VP'!$O$12:$R$12,-1),MATCH(N64+1,'[1]Normy VP'!$O$13:$R$13,-1),MATCH(N64+1,'[1]Normy VP'!$O$14:$R$14,-1),MATCH(N64+1,'[1]Normy VP'!$O$15:$R$15,-1)))),"O")</f>
        <v>N</v>
      </c>
      <c r="V64" s="26" t="str">
        <f>IF(OR($J64="",$J64="odešel"),IF(O64="","N",IF($F64="žena",CHOOSE(_xlfn.ARABIC($H64),MATCH(O64-1,'[1]Normy VP'!$O$25:$R$25),MATCH(O64-1,'[1]Normy VP'!$O$26:$R$26),MATCH(O64-1,'[1]Normy VP'!$O$27:$R$27),MATCH(O64-1,'[1]Normy VP'!$O$28:$R$28),MATCH(O64-1,'[1]Normy VP'!$O$29:$R$29),MATCH(O64-1,'[1]Normy VP'!$O$30:$R$30)),CHOOSE(_xlfn.ARABIC($H64),MATCH(O64-1,'[1]Normy VP'!$S$10:$V$10),MATCH(O64-1,'[1]Normy VP'!$S$11:$V$11),MATCH(O64-1,'[1]Normy VP'!$S$12:$V$12),MATCH(O64-1,'[1]Normy VP'!$S$13:$V$13),MATCH(O64-1,'[1]Normy VP'!$S$14:$V$14),MATCH(O64-1,'[1]Normy VP'!$S$15:$V$15)))),"O")</f>
        <v>N</v>
      </c>
      <c r="W64" s="34" t="str">
        <f t="shared" si="3"/>
        <v>N</v>
      </c>
      <c r="X64" s="27" t="str">
        <f>IF(COUNTIF(B64:G64,"")&gt;0,"",IF(COUNTIF([1]PP!$A:$A,A64)=0,"neni v PP",IF(OR(Y64="odešel",VLOOKUP(A64,[1]PP!$A:$W,22,FALSE)="odešel"),"odešel",IF(OR(Y64="N",VLOOKUP(A64,[1]PP!$A:$W,22,FALSE)="N"),"N",IF(OR(Y64="C",VLOOKUP(A64,[1]PP!$A:$W,22,FALSE)="C"),"C",IF(OR(Y64="DZO",VLOOKUP(A64,[1]PP!$A:$W,22,FALSE)="DZO"),"DZO",IF(OR(Y64="mise",Y64="disp.",Y64="končí",Y64="DSC",VLOOKUP(A64,[1]PP!$A:$W,22,FALSE)="mise",VLOOKUP(A64,[1]PP!$A:$W,22,FALSE)="disp.",VLOOKUP(A64,[1]PP!$A:$W,22,FALSE)="končí",VLOOKUP(A64,[1]PP!$A:$W,22,FALSE)="DSC"),"jiné",IF(OR(Y64=4,VLOOKUP(A64,[1]PP!$A:$W,22,FALSE)=4),4,IF(OR(Y64=3,VLOOKUP(A64,[1]PP!$A:$W,22,FALSE)=3),3,IF(OR(Y64=2,VLOOKUP(A64,[1]PP!$A:$W,22,FALSE)=2),2,IF(AND(Y64=1,VLOOKUP(A64,[1]PP!$A:$W,22,FALSE)=1),1)))))))))))</f>
        <v/>
      </c>
      <c r="Y64" s="28" t="str">
        <f>IF(COUNTIF(B64:G64,"")&gt;0,"",IF(COUNTIF([1]PP!$A:$A,A64)=0,"neni v PP",IF(VLOOKUP(A64,[1]PP!$A:$W,8,FALSE)="odešel","odešel",IF(F64="","",IF(J64="",IF(OR(T64=4,W64=4),4,IF(AND(T64="N",W64="N"),"N",IF(OR(T64="N",W64="N"),4,ROUND(AVERAGE(T64,W64),0)))),J64)))))</f>
        <v/>
      </c>
      <c r="Z64" s="29" t="str">
        <f>IF(COUNTIF(B64:G64,"")=0,IF(X64="neni v PP",CONCATENATE("ID: &lt;",A64,"&gt; se neshoduje s žádným IDem v kartě PP"),IF(COUNTIF($A:$A,A64)&gt;1,CONCATENATE("ID: &lt;",A64,"&gt; se v kartě VP opakuje. Je nutné tyto IDy od sebe odlišit, např. mezerou za příjmením."),IF(COUNTIF([1]PP!A:A,A64)&gt;1,CONCATENATE("ID: &lt;",A64,"&gt; se v kartě PP opakuje. Je nutné tyto IDy od sebe odlišit, např. mezerou za příjmením."),IF(VLOOKUP(A64,[1]PP!$A:$W,5,FALSE)&lt;&gt;E64,CONCATENATE($E$4," &lt;",E64,"&gt; se neshoduje s jednotkou v kartě PP"," &lt;",VLOOKUP(A64,[1]PP!$A:$W,5,FALSE),"&gt;"),IF(AND(COUNTIF(K64:O64,"")&lt;5,J64="",I64=""),CONCATENATE("Doplň: ",$I$4),IF(AND(YEAR(I64)&lt;&gt;$E$2,COUNTIF(I64,"")=0),CONCATENATE("špatně uveden &lt;",$D$2,"&gt; nebo &lt;",$I$4,"&gt;"),IF(OR(AND(OR(COUNTIF(C64,"*a"),COUNTIF(C64,"*ie"),COUNTIF(C64,"*ine"),COUNTIF(D64,"*Á")),F64="muž"),AND(AND(COUNTIF(C64,"&lt;&gt;"&amp;"*a"),COUNTIF(C64,"&lt;&gt;"&amp;"*ie"),COUNTIF(C64,"&lt;&gt;"&amp;"*ine"),COUNTIF(D64,"&lt;&gt;"&amp;"*Á")),F64="žena")),CONCATENATE(C64," ",D64," je ",F64,"?"),""))))))),IF(COUNTIF(B64:O64,"")=14,"",CONCATENATE("Doplň: ",IF(B64="",CONCATENATE($B$4,IF(COUNTIF(C64:G64,"")=0,"",", ")),""),IF(C64="",CONCATENATE($C$4,IF(COUNTIF(D64:G64,"")=0,"",", ")),""),IF(D64="",CONCATENATE($D$4,IF(COUNTIF(E64:G64,"")=0,"",", ")),""),IF(E64="",CONCATENATE($E$4,IF(COUNTIF(F64:G64,"")=0,"",", ")),""),IF(F64="",CONCATENATE($F$4,IF(G64="",", ","")),""),IF(G64="",$G$4,""))))</f>
        <v/>
      </c>
      <c r="AA64" s="30"/>
    </row>
    <row r="65" spans="1:27" ht="16" x14ac:dyDescent="0.35">
      <c r="A65" s="14" t="str">
        <f t="shared" si="0"/>
        <v xml:space="preserve">  </v>
      </c>
      <c r="B65" s="15"/>
      <c r="C65" s="31"/>
      <c r="D65" s="31"/>
      <c r="E65" s="17"/>
      <c r="F65" s="18"/>
      <c r="G65" s="32"/>
      <c r="H65" s="33" t="str">
        <f>IF(G65="","",IF(F65="žena",ROMAN(MATCH(G65+1,'[1]Normy VP'!$Y$27:$Y$33,-1)),ROMAN(MATCH(G65+1,'[1]Normy VP'!$Y$19:$Y$25,-1))))</f>
        <v/>
      </c>
      <c r="I65" s="21"/>
      <c r="J65" s="22"/>
      <c r="K65" s="23"/>
      <c r="L65" s="23"/>
      <c r="M65" s="23"/>
      <c r="N65" s="22"/>
      <c r="O65" s="22"/>
      <c r="P65" s="24" t="str">
        <f>IF(OR($J65="",$J65="odešel"),IF(K65="","",IF($F65="žena",CHOOSE(_xlfn.ARABIC($H65),MATCH(K65+1,'[1]Normy VP'!$C$25:$F$25,-1),MATCH(K65+1,'[1]Normy VP'!$C$26:$F$26,-1),MATCH(K65+1,'[1]Normy VP'!$C$27:$F$27,-1),MATCH(K65+1,'[1]Normy VP'!$C$28:$F$28,-1),MATCH(K65+1,'[1]Normy VP'!$C$29:$F$29,-1),"muž"),CHOOSE(_xlfn.ARABIC($H65),MATCH(K65+1,'[1]Normy VP'!$C$10:$F$10,-1),MATCH(K65+1,'[1]Normy VP'!$C$11:$F$11,-1),MATCH(K65+1,'[1]Normy VP'!$C$12:$F$12,-1),MATCH(K65+1,'[1]Normy VP'!$C$13:$F$13,-1),MATCH(K65+1,'[1]Normy VP'!$C$14:$F$14,-1),""))),"O")</f>
        <v/>
      </c>
      <c r="Q65" s="24" t="str">
        <f>IF(OR($J65="",$J65="odešel"),IF($F65="žena","",IF(L65="","",(CHOOSE(_xlfn.ARABIC($H65),MATCH(L65+1,'[1]Normy VP'!$G$10:$J$10,-1),MATCH(L65+1,'[1]Normy VP'!$G$11:$J$11,-1),MATCH(L65+1,'[1]Normy VP'!$G$12:$J$12,-1),MATCH(L65+1,'[1]Normy VP'!$G$13:$J$13,-1),MATCH(L65+1,'[1]Normy VP'!$G$14:$J$14,-1),"")))),"O")</f>
        <v/>
      </c>
      <c r="R65" s="34" t="str">
        <f t="shared" si="1"/>
        <v>N</v>
      </c>
      <c r="S65" s="24" t="str">
        <f>IF(OR($J65="",$J65="odešel"),IF(M65="","N",IF($F65="žena",CHOOSE(_xlfn.ARABIC($H65),MATCH(M65+1,'[1]Normy VP'!$G$25:$J$25,-1),MATCH(M65+1,'[1]Normy VP'!$G$26:$J$26,-1),MATCH(M65+1,'[1]Normy VP'!$G$27:$J$27,-1),MATCH(M65+1,'[1]Normy VP'!$G$28:$J$28,-1),MATCH(M65+1,'[1]Normy VP'!$G$29:$J$29,-1),"muž"),(CHOOSE(_xlfn.ARABIC($H65),MATCH(M65+1,'[1]Normy VP'!$K$10:$N$10,-1),MATCH(M65+1,'[1]Normy VP'!$K$11:$N$11,-1),MATCH(M65+1,'[1]Normy VP'!$K$12:$N$12,-1),MATCH(M65+1,'[1]Normy VP'!$K$13:$N$13,-1),MATCH(M65+1,'[1]Normy VP'!$K$14:$N$14,-1),"")))),"O")</f>
        <v>N</v>
      </c>
      <c r="T65" s="34" t="str">
        <f t="shared" si="2"/>
        <v>N</v>
      </c>
      <c r="U65" s="24" t="str">
        <f>IF(OR($J65="",$J65="odešel"),IF(N65="","N",IF($F65="žena",CHOOSE(_xlfn.ARABIC($H65),MATCH(N65+1,'[1]Normy VP'!$K$25:$N$25,-1),MATCH(N65+1,'[1]Normy VP'!$K$26:$N$26,-1),MATCH(N65+1,'[1]Normy VP'!$K$27:$N$27,-1),MATCH(N65+1,'[1]Normy VP'!$K$28:$N$28,-1),MATCH(N65+1,'[1]Normy VP'!$K$29:$N$29,-1),MATCH(N65+1,'[1]Normy VP'!$K$30:$N$30,-1)),CHOOSE(_xlfn.ARABIC($H65),MATCH(N65+1,'[1]Normy VP'!$O$10:$R$10,-1),MATCH(N65+1,'[1]Normy VP'!$O$11:$R$11,-1),MATCH(N65+1,'[1]Normy VP'!$O$12:$R$12,-1),MATCH(N65+1,'[1]Normy VP'!$O$13:$R$13,-1),MATCH(N65+1,'[1]Normy VP'!$O$14:$R$14,-1),MATCH(N65+1,'[1]Normy VP'!$O$15:$R$15,-1)))),"O")</f>
        <v>N</v>
      </c>
      <c r="V65" s="26" t="str">
        <f>IF(OR($J65="",$J65="odešel"),IF(O65="","N",IF($F65="žena",CHOOSE(_xlfn.ARABIC($H65),MATCH(O65-1,'[1]Normy VP'!$O$25:$R$25),MATCH(O65-1,'[1]Normy VP'!$O$26:$R$26),MATCH(O65-1,'[1]Normy VP'!$O$27:$R$27),MATCH(O65-1,'[1]Normy VP'!$O$28:$R$28),MATCH(O65-1,'[1]Normy VP'!$O$29:$R$29),MATCH(O65-1,'[1]Normy VP'!$O$30:$R$30)),CHOOSE(_xlfn.ARABIC($H65),MATCH(O65-1,'[1]Normy VP'!$S$10:$V$10),MATCH(O65-1,'[1]Normy VP'!$S$11:$V$11),MATCH(O65-1,'[1]Normy VP'!$S$12:$V$12),MATCH(O65-1,'[1]Normy VP'!$S$13:$V$13),MATCH(O65-1,'[1]Normy VP'!$S$14:$V$14),MATCH(O65-1,'[1]Normy VP'!$S$15:$V$15)))),"O")</f>
        <v>N</v>
      </c>
      <c r="W65" s="34" t="str">
        <f t="shared" si="3"/>
        <v>N</v>
      </c>
      <c r="X65" s="27" t="str">
        <f>IF(COUNTIF(B65:G65,"")&gt;0,"",IF(COUNTIF([1]PP!$A:$A,A65)=0,"neni v PP",IF(OR(Y65="odešel",VLOOKUP(A65,[1]PP!$A:$W,22,FALSE)="odešel"),"odešel",IF(OR(Y65="N",VLOOKUP(A65,[1]PP!$A:$W,22,FALSE)="N"),"N",IF(OR(Y65="C",VLOOKUP(A65,[1]PP!$A:$W,22,FALSE)="C"),"C",IF(OR(Y65="DZO",VLOOKUP(A65,[1]PP!$A:$W,22,FALSE)="DZO"),"DZO",IF(OR(Y65="mise",Y65="disp.",Y65="končí",Y65="DSC",VLOOKUP(A65,[1]PP!$A:$W,22,FALSE)="mise",VLOOKUP(A65,[1]PP!$A:$W,22,FALSE)="disp.",VLOOKUP(A65,[1]PP!$A:$W,22,FALSE)="končí",VLOOKUP(A65,[1]PP!$A:$W,22,FALSE)="DSC"),"jiné",IF(OR(Y65=4,VLOOKUP(A65,[1]PP!$A:$W,22,FALSE)=4),4,IF(OR(Y65=3,VLOOKUP(A65,[1]PP!$A:$W,22,FALSE)=3),3,IF(OR(Y65=2,VLOOKUP(A65,[1]PP!$A:$W,22,FALSE)=2),2,IF(AND(Y65=1,VLOOKUP(A65,[1]PP!$A:$W,22,FALSE)=1),1)))))))))))</f>
        <v/>
      </c>
      <c r="Y65" s="28" t="str">
        <f>IF(COUNTIF(B65:G65,"")&gt;0,"",IF(COUNTIF([1]PP!$A:$A,A65)=0,"neni v PP",IF(VLOOKUP(A65,[1]PP!$A:$W,8,FALSE)="odešel","odešel",IF(F65="","",IF(J65="",IF(OR(T65=4,W65=4),4,IF(AND(T65="N",W65="N"),"N",IF(OR(T65="N",W65="N"),4,ROUND(AVERAGE(T65,W65),0)))),J65)))))</f>
        <v/>
      </c>
      <c r="Z65" s="29" t="str">
        <f>IF(COUNTIF(B65:G65,"")=0,IF(X65="neni v PP",CONCATENATE("ID: &lt;",A65,"&gt; se neshoduje s žádným IDem v kartě PP"),IF(COUNTIF($A:$A,A65)&gt;1,CONCATENATE("ID: &lt;",A65,"&gt; se v kartě VP opakuje. Je nutné tyto IDy od sebe odlišit, např. mezerou za příjmením."),IF(COUNTIF([1]PP!A:A,A65)&gt;1,CONCATENATE("ID: &lt;",A65,"&gt; se v kartě PP opakuje. Je nutné tyto IDy od sebe odlišit, např. mezerou za příjmením."),IF(VLOOKUP(A65,[1]PP!$A:$W,5,FALSE)&lt;&gt;E65,CONCATENATE($E$4," &lt;",E65,"&gt; se neshoduje s jednotkou v kartě PP"," &lt;",VLOOKUP(A65,[1]PP!$A:$W,5,FALSE),"&gt;"),IF(AND(COUNTIF(K65:O65,"")&lt;5,J65="",I65=""),CONCATENATE("Doplň: ",$I$4),IF(AND(YEAR(I65)&lt;&gt;$E$2,COUNTIF(I65,"")=0),CONCATENATE("špatně uveden &lt;",$D$2,"&gt; nebo &lt;",$I$4,"&gt;"),IF(OR(AND(OR(COUNTIF(C65,"*a"),COUNTIF(C65,"*ie"),COUNTIF(C65,"*ine"),COUNTIF(D65,"*Á")),F65="muž"),AND(AND(COUNTIF(C65,"&lt;&gt;"&amp;"*a"),COUNTIF(C65,"&lt;&gt;"&amp;"*ie"),COUNTIF(C65,"&lt;&gt;"&amp;"*ine"),COUNTIF(D65,"&lt;&gt;"&amp;"*Á")),F65="žena")),CONCATENATE(C65," ",D65," je ",F65,"?"),""))))))),IF(COUNTIF(B65:O65,"")=14,"",CONCATENATE("Doplň: ",IF(B65="",CONCATENATE($B$4,IF(COUNTIF(C65:G65,"")=0,"",", ")),""),IF(C65="",CONCATENATE($C$4,IF(COUNTIF(D65:G65,"")=0,"",", ")),""),IF(D65="",CONCATENATE($D$4,IF(COUNTIF(E65:G65,"")=0,"",", ")),""),IF(E65="",CONCATENATE($E$4,IF(COUNTIF(F65:G65,"")=0,"",", ")),""),IF(F65="",CONCATENATE($F$4,IF(G65="",", ","")),""),IF(G65="",$G$4,""))))</f>
        <v/>
      </c>
      <c r="AA65" s="30"/>
    </row>
    <row r="66" spans="1:27" ht="16" x14ac:dyDescent="0.35">
      <c r="A66" s="14" t="str">
        <f t="shared" ref="A66:A129" si="4">CONCATENATE(B66," ",UPPER(D66)," ",C66)</f>
        <v xml:space="preserve">  </v>
      </c>
      <c r="B66" s="15"/>
      <c r="C66" s="31"/>
      <c r="D66" s="31"/>
      <c r="E66" s="17"/>
      <c r="F66" s="18"/>
      <c r="G66" s="32"/>
      <c r="H66" s="33" t="str">
        <f>IF(G66="","",IF(F66="žena",ROMAN(MATCH(G66+1,'[1]Normy VP'!$Y$27:$Y$33,-1)),ROMAN(MATCH(G66+1,'[1]Normy VP'!$Y$19:$Y$25,-1))))</f>
        <v/>
      </c>
      <c r="I66" s="21"/>
      <c r="J66" s="22"/>
      <c r="K66" s="23"/>
      <c r="L66" s="23"/>
      <c r="M66" s="23"/>
      <c r="N66" s="22"/>
      <c r="O66" s="22"/>
      <c r="P66" s="24" t="str">
        <f>IF(OR($J66="",$J66="odešel"),IF(K66="","",IF($F66="žena",CHOOSE(_xlfn.ARABIC($H66),MATCH(K66+1,'[1]Normy VP'!$C$25:$F$25,-1),MATCH(K66+1,'[1]Normy VP'!$C$26:$F$26,-1),MATCH(K66+1,'[1]Normy VP'!$C$27:$F$27,-1),MATCH(K66+1,'[1]Normy VP'!$C$28:$F$28,-1),MATCH(K66+1,'[1]Normy VP'!$C$29:$F$29,-1),"muž"),CHOOSE(_xlfn.ARABIC($H66),MATCH(K66+1,'[1]Normy VP'!$C$10:$F$10,-1),MATCH(K66+1,'[1]Normy VP'!$C$11:$F$11,-1),MATCH(K66+1,'[1]Normy VP'!$C$12:$F$12,-1),MATCH(K66+1,'[1]Normy VP'!$C$13:$F$13,-1),MATCH(K66+1,'[1]Normy VP'!$C$14:$F$14,-1),""))),"O")</f>
        <v/>
      </c>
      <c r="Q66" s="24" t="str">
        <f>IF(OR($J66="",$J66="odešel"),IF($F66="žena","",IF(L66="","",(CHOOSE(_xlfn.ARABIC($H66),MATCH(L66+1,'[1]Normy VP'!$G$10:$J$10,-1),MATCH(L66+1,'[1]Normy VP'!$G$11:$J$11,-1),MATCH(L66+1,'[1]Normy VP'!$G$12:$J$12,-1),MATCH(L66+1,'[1]Normy VP'!$G$13:$J$13,-1),MATCH(L66+1,'[1]Normy VP'!$G$14:$J$14,-1),"")))),"O")</f>
        <v/>
      </c>
      <c r="R66" s="34" t="str">
        <f t="shared" ref="R66:R129" si="5">IF(F66="žena",IF(P66="","N",P66),IF(AND(P66="",Q66=""),"N",IF(OR(P66="",Q66=""),4,MAX(P66,Q66))))</f>
        <v>N</v>
      </c>
      <c r="S66" s="24" t="str">
        <f>IF(OR($J66="",$J66="odešel"),IF(M66="","N",IF($F66="žena",CHOOSE(_xlfn.ARABIC($H66),MATCH(M66+1,'[1]Normy VP'!$G$25:$J$25,-1),MATCH(M66+1,'[1]Normy VP'!$G$26:$J$26,-1),MATCH(M66+1,'[1]Normy VP'!$G$27:$J$27,-1),MATCH(M66+1,'[1]Normy VP'!$G$28:$J$28,-1),MATCH(M66+1,'[1]Normy VP'!$G$29:$J$29,-1),"muž"),(CHOOSE(_xlfn.ARABIC($H66),MATCH(M66+1,'[1]Normy VP'!$K$10:$N$10,-1),MATCH(M66+1,'[1]Normy VP'!$K$11:$N$11,-1),MATCH(M66+1,'[1]Normy VP'!$K$12:$N$12,-1),MATCH(M66+1,'[1]Normy VP'!$K$13:$N$13,-1),MATCH(M66+1,'[1]Normy VP'!$K$14:$N$14,-1),"")))),"O")</f>
        <v>N</v>
      </c>
      <c r="T66" s="34" t="str">
        <f t="shared" ref="T66:T129" si="6">IF(_xlfn.ARABIC(H66)=6,W66,IF(AND(R66="N",S66="N"),"N",MIN(R66,S66)))</f>
        <v>N</v>
      </c>
      <c r="U66" s="24" t="str">
        <f>IF(OR($J66="",$J66="odešel"),IF(N66="","N",IF($F66="žena",CHOOSE(_xlfn.ARABIC($H66),MATCH(N66+1,'[1]Normy VP'!$K$25:$N$25,-1),MATCH(N66+1,'[1]Normy VP'!$K$26:$N$26,-1),MATCH(N66+1,'[1]Normy VP'!$K$27:$N$27,-1),MATCH(N66+1,'[1]Normy VP'!$K$28:$N$28,-1),MATCH(N66+1,'[1]Normy VP'!$K$29:$N$29,-1),MATCH(N66+1,'[1]Normy VP'!$K$30:$N$30,-1)),CHOOSE(_xlfn.ARABIC($H66),MATCH(N66+1,'[1]Normy VP'!$O$10:$R$10,-1),MATCH(N66+1,'[1]Normy VP'!$O$11:$R$11,-1),MATCH(N66+1,'[1]Normy VP'!$O$12:$R$12,-1),MATCH(N66+1,'[1]Normy VP'!$O$13:$R$13,-1),MATCH(N66+1,'[1]Normy VP'!$O$14:$R$14,-1),MATCH(N66+1,'[1]Normy VP'!$O$15:$R$15,-1)))),"O")</f>
        <v>N</v>
      </c>
      <c r="V66" s="26" t="str">
        <f>IF(OR($J66="",$J66="odešel"),IF(O66="","N",IF($F66="žena",CHOOSE(_xlfn.ARABIC($H66),MATCH(O66-1,'[1]Normy VP'!$O$25:$R$25),MATCH(O66-1,'[1]Normy VP'!$O$26:$R$26),MATCH(O66-1,'[1]Normy VP'!$O$27:$R$27),MATCH(O66-1,'[1]Normy VP'!$O$28:$R$28),MATCH(O66-1,'[1]Normy VP'!$O$29:$R$29),MATCH(O66-1,'[1]Normy VP'!$O$30:$R$30)),CHOOSE(_xlfn.ARABIC($H66),MATCH(O66-1,'[1]Normy VP'!$S$10:$V$10),MATCH(O66-1,'[1]Normy VP'!$S$11:$V$11),MATCH(O66-1,'[1]Normy VP'!$S$12:$V$12),MATCH(O66-1,'[1]Normy VP'!$S$13:$V$13),MATCH(O66-1,'[1]Normy VP'!$S$14:$V$14),MATCH(O66-1,'[1]Normy VP'!$S$15:$V$15)))),"O")</f>
        <v>N</v>
      </c>
      <c r="W66" s="34" t="str">
        <f t="shared" ref="W66:W129" si="7">IF(AND(U66="N",V66="N"),"N",MIN(U66,V66))</f>
        <v>N</v>
      </c>
      <c r="X66" s="27" t="str">
        <f>IF(COUNTIF(B66:G66,"")&gt;0,"",IF(COUNTIF([1]PP!$A:$A,A66)=0,"neni v PP",IF(OR(Y66="odešel",VLOOKUP(A66,[1]PP!$A:$W,22,FALSE)="odešel"),"odešel",IF(OR(Y66="N",VLOOKUP(A66,[1]PP!$A:$W,22,FALSE)="N"),"N",IF(OR(Y66="C",VLOOKUP(A66,[1]PP!$A:$W,22,FALSE)="C"),"C",IF(OR(Y66="DZO",VLOOKUP(A66,[1]PP!$A:$W,22,FALSE)="DZO"),"DZO",IF(OR(Y66="mise",Y66="disp.",Y66="končí",Y66="DSC",VLOOKUP(A66,[1]PP!$A:$W,22,FALSE)="mise",VLOOKUP(A66,[1]PP!$A:$W,22,FALSE)="disp.",VLOOKUP(A66,[1]PP!$A:$W,22,FALSE)="končí",VLOOKUP(A66,[1]PP!$A:$W,22,FALSE)="DSC"),"jiné",IF(OR(Y66=4,VLOOKUP(A66,[1]PP!$A:$W,22,FALSE)=4),4,IF(OR(Y66=3,VLOOKUP(A66,[1]PP!$A:$W,22,FALSE)=3),3,IF(OR(Y66=2,VLOOKUP(A66,[1]PP!$A:$W,22,FALSE)=2),2,IF(AND(Y66=1,VLOOKUP(A66,[1]PP!$A:$W,22,FALSE)=1),1)))))))))))</f>
        <v/>
      </c>
      <c r="Y66" s="28" t="str">
        <f>IF(COUNTIF(B66:G66,"")&gt;0,"",IF(COUNTIF([1]PP!$A:$A,A66)=0,"neni v PP",IF(VLOOKUP(A66,[1]PP!$A:$W,8,FALSE)="odešel","odešel",IF(F66="","",IF(J66="",IF(OR(T66=4,W66=4),4,IF(AND(T66="N",W66="N"),"N",IF(OR(T66="N",W66="N"),4,ROUND(AVERAGE(T66,W66),0)))),J66)))))</f>
        <v/>
      </c>
      <c r="Z66" s="29" t="str">
        <f>IF(COUNTIF(B66:G66,"")=0,IF(X66="neni v PP",CONCATENATE("ID: &lt;",A66,"&gt; se neshoduje s žádným IDem v kartě PP"),IF(COUNTIF($A:$A,A66)&gt;1,CONCATENATE("ID: &lt;",A66,"&gt; se v kartě VP opakuje. Je nutné tyto IDy od sebe odlišit, např. mezerou za příjmením."),IF(COUNTIF([1]PP!A:A,A66)&gt;1,CONCATENATE("ID: &lt;",A66,"&gt; se v kartě PP opakuje. Je nutné tyto IDy od sebe odlišit, např. mezerou za příjmením."),IF(VLOOKUP(A66,[1]PP!$A:$W,5,FALSE)&lt;&gt;E66,CONCATENATE($E$4," &lt;",E66,"&gt; se neshoduje s jednotkou v kartě PP"," &lt;",VLOOKUP(A66,[1]PP!$A:$W,5,FALSE),"&gt;"),IF(AND(COUNTIF(K66:O66,"")&lt;5,J66="",I66=""),CONCATENATE("Doplň: ",$I$4),IF(AND(YEAR(I66)&lt;&gt;$E$2,COUNTIF(I66,"")=0),CONCATENATE("špatně uveden &lt;",$D$2,"&gt; nebo &lt;",$I$4,"&gt;"),IF(OR(AND(OR(COUNTIF(C66,"*a"),COUNTIF(C66,"*ie"),COUNTIF(C66,"*ine"),COUNTIF(D66,"*Á")),F66="muž"),AND(AND(COUNTIF(C66,"&lt;&gt;"&amp;"*a"),COUNTIF(C66,"&lt;&gt;"&amp;"*ie"),COUNTIF(C66,"&lt;&gt;"&amp;"*ine"),COUNTIF(D66,"&lt;&gt;"&amp;"*Á")),F66="žena")),CONCATENATE(C66," ",D66," je ",F66,"?"),""))))))),IF(COUNTIF(B66:O66,"")=14,"",CONCATENATE("Doplň: ",IF(B66="",CONCATENATE($B$4,IF(COUNTIF(C66:G66,"")=0,"",", ")),""),IF(C66="",CONCATENATE($C$4,IF(COUNTIF(D66:G66,"")=0,"",", ")),""),IF(D66="",CONCATENATE($D$4,IF(COUNTIF(E66:G66,"")=0,"",", ")),""),IF(E66="",CONCATENATE($E$4,IF(COUNTIF(F66:G66,"")=0,"",", ")),""),IF(F66="",CONCATENATE($F$4,IF(G66="",", ","")),""),IF(G66="",$G$4,""))))</f>
        <v/>
      </c>
      <c r="AA66" s="30"/>
    </row>
    <row r="67" spans="1:27" ht="16" x14ac:dyDescent="0.35">
      <c r="A67" s="14" t="str">
        <f t="shared" si="4"/>
        <v xml:space="preserve">  </v>
      </c>
      <c r="B67" s="15"/>
      <c r="C67" s="31"/>
      <c r="D67" s="31"/>
      <c r="E67" s="17"/>
      <c r="F67" s="18"/>
      <c r="G67" s="32"/>
      <c r="H67" s="33" t="str">
        <f>IF(G67="","",IF(F67="žena",ROMAN(MATCH(G67+1,'[1]Normy VP'!$Y$27:$Y$33,-1)),ROMAN(MATCH(G67+1,'[1]Normy VP'!$Y$19:$Y$25,-1))))</f>
        <v/>
      </c>
      <c r="I67" s="21"/>
      <c r="J67" s="22"/>
      <c r="K67" s="23"/>
      <c r="L67" s="23"/>
      <c r="M67" s="23"/>
      <c r="N67" s="22"/>
      <c r="O67" s="22"/>
      <c r="P67" s="24" t="str">
        <f>IF(OR($J67="",$J67="odešel"),IF(K67="","",IF($F67="žena",CHOOSE(_xlfn.ARABIC($H67),MATCH(K67+1,'[1]Normy VP'!$C$25:$F$25,-1),MATCH(K67+1,'[1]Normy VP'!$C$26:$F$26,-1),MATCH(K67+1,'[1]Normy VP'!$C$27:$F$27,-1),MATCH(K67+1,'[1]Normy VP'!$C$28:$F$28,-1),MATCH(K67+1,'[1]Normy VP'!$C$29:$F$29,-1),"muž"),CHOOSE(_xlfn.ARABIC($H67),MATCH(K67+1,'[1]Normy VP'!$C$10:$F$10,-1),MATCH(K67+1,'[1]Normy VP'!$C$11:$F$11,-1),MATCH(K67+1,'[1]Normy VP'!$C$12:$F$12,-1),MATCH(K67+1,'[1]Normy VP'!$C$13:$F$13,-1),MATCH(K67+1,'[1]Normy VP'!$C$14:$F$14,-1),""))),"O")</f>
        <v/>
      </c>
      <c r="Q67" s="24" t="str">
        <f>IF(OR($J67="",$J67="odešel"),IF($F67="žena","",IF(L67="","",(CHOOSE(_xlfn.ARABIC($H67),MATCH(L67+1,'[1]Normy VP'!$G$10:$J$10,-1),MATCH(L67+1,'[1]Normy VP'!$G$11:$J$11,-1),MATCH(L67+1,'[1]Normy VP'!$G$12:$J$12,-1),MATCH(L67+1,'[1]Normy VP'!$G$13:$J$13,-1),MATCH(L67+1,'[1]Normy VP'!$G$14:$J$14,-1),"")))),"O")</f>
        <v/>
      </c>
      <c r="R67" s="34" t="str">
        <f t="shared" si="5"/>
        <v>N</v>
      </c>
      <c r="S67" s="24" t="str">
        <f>IF(OR($J67="",$J67="odešel"),IF(M67="","N",IF($F67="žena",CHOOSE(_xlfn.ARABIC($H67),MATCH(M67+1,'[1]Normy VP'!$G$25:$J$25,-1),MATCH(M67+1,'[1]Normy VP'!$G$26:$J$26,-1),MATCH(M67+1,'[1]Normy VP'!$G$27:$J$27,-1),MATCH(M67+1,'[1]Normy VP'!$G$28:$J$28,-1),MATCH(M67+1,'[1]Normy VP'!$G$29:$J$29,-1),"muž"),(CHOOSE(_xlfn.ARABIC($H67),MATCH(M67+1,'[1]Normy VP'!$K$10:$N$10,-1),MATCH(M67+1,'[1]Normy VP'!$K$11:$N$11,-1),MATCH(M67+1,'[1]Normy VP'!$K$12:$N$12,-1),MATCH(M67+1,'[1]Normy VP'!$K$13:$N$13,-1),MATCH(M67+1,'[1]Normy VP'!$K$14:$N$14,-1),"")))),"O")</f>
        <v>N</v>
      </c>
      <c r="T67" s="34" t="str">
        <f t="shared" si="6"/>
        <v>N</v>
      </c>
      <c r="U67" s="24" t="str">
        <f>IF(OR($J67="",$J67="odešel"),IF(N67="","N",IF($F67="žena",CHOOSE(_xlfn.ARABIC($H67),MATCH(N67+1,'[1]Normy VP'!$K$25:$N$25,-1),MATCH(N67+1,'[1]Normy VP'!$K$26:$N$26,-1),MATCH(N67+1,'[1]Normy VP'!$K$27:$N$27,-1),MATCH(N67+1,'[1]Normy VP'!$K$28:$N$28,-1),MATCH(N67+1,'[1]Normy VP'!$K$29:$N$29,-1),MATCH(N67+1,'[1]Normy VP'!$K$30:$N$30,-1)),CHOOSE(_xlfn.ARABIC($H67),MATCH(N67+1,'[1]Normy VP'!$O$10:$R$10,-1),MATCH(N67+1,'[1]Normy VP'!$O$11:$R$11,-1),MATCH(N67+1,'[1]Normy VP'!$O$12:$R$12,-1),MATCH(N67+1,'[1]Normy VP'!$O$13:$R$13,-1),MATCH(N67+1,'[1]Normy VP'!$O$14:$R$14,-1),MATCH(N67+1,'[1]Normy VP'!$O$15:$R$15,-1)))),"O")</f>
        <v>N</v>
      </c>
      <c r="V67" s="26" t="str">
        <f>IF(OR($J67="",$J67="odešel"),IF(O67="","N",IF($F67="žena",CHOOSE(_xlfn.ARABIC($H67),MATCH(O67-1,'[1]Normy VP'!$O$25:$R$25),MATCH(O67-1,'[1]Normy VP'!$O$26:$R$26),MATCH(O67-1,'[1]Normy VP'!$O$27:$R$27),MATCH(O67-1,'[1]Normy VP'!$O$28:$R$28),MATCH(O67-1,'[1]Normy VP'!$O$29:$R$29),MATCH(O67-1,'[1]Normy VP'!$O$30:$R$30)),CHOOSE(_xlfn.ARABIC($H67),MATCH(O67-1,'[1]Normy VP'!$S$10:$V$10),MATCH(O67-1,'[1]Normy VP'!$S$11:$V$11),MATCH(O67-1,'[1]Normy VP'!$S$12:$V$12),MATCH(O67-1,'[1]Normy VP'!$S$13:$V$13),MATCH(O67-1,'[1]Normy VP'!$S$14:$V$14),MATCH(O67-1,'[1]Normy VP'!$S$15:$V$15)))),"O")</f>
        <v>N</v>
      </c>
      <c r="W67" s="34" t="str">
        <f t="shared" si="7"/>
        <v>N</v>
      </c>
      <c r="X67" s="27" t="str">
        <f>IF(COUNTIF(B67:G67,"")&gt;0,"",IF(COUNTIF([1]PP!$A:$A,A67)=0,"neni v PP",IF(OR(Y67="odešel",VLOOKUP(A67,[1]PP!$A:$W,22,FALSE)="odešel"),"odešel",IF(OR(Y67="N",VLOOKUP(A67,[1]PP!$A:$W,22,FALSE)="N"),"N",IF(OR(Y67="C",VLOOKUP(A67,[1]PP!$A:$W,22,FALSE)="C"),"C",IF(OR(Y67="DZO",VLOOKUP(A67,[1]PP!$A:$W,22,FALSE)="DZO"),"DZO",IF(OR(Y67="mise",Y67="disp.",Y67="končí",Y67="DSC",VLOOKUP(A67,[1]PP!$A:$W,22,FALSE)="mise",VLOOKUP(A67,[1]PP!$A:$W,22,FALSE)="disp.",VLOOKUP(A67,[1]PP!$A:$W,22,FALSE)="končí",VLOOKUP(A67,[1]PP!$A:$W,22,FALSE)="DSC"),"jiné",IF(OR(Y67=4,VLOOKUP(A67,[1]PP!$A:$W,22,FALSE)=4),4,IF(OR(Y67=3,VLOOKUP(A67,[1]PP!$A:$W,22,FALSE)=3),3,IF(OR(Y67=2,VLOOKUP(A67,[1]PP!$A:$W,22,FALSE)=2),2,IF(AND(Y67=1,VLOOKUP(A67,[1]PP!$A:$W,22,FALSE)=1),1)))))))))))</f>
        <v/>
      </c>
      <c r="Y67" s="28" t="str">
        <f>IF(COUNTIF(B67:G67,"")&gt;0,"",IF(COUNTIF([1]PP!$A:$A,A67)=0,"neni v PP",IF(VLOOKUP(A67,[1]PP!$A:$W,8,FALSE)="odešel","odešel",IF(F67="","",IF(J67="",IF(OR(T67=4,W67=4),4,IF(AND(T67="N",W67="N"),"N",IF(OR(T67="N",W67="N"),4,ROUND(AVERAGE(T67,W67),0)))),J67)))))</f>
        <v/>
      </c>
      <c r="Z67" s="29" t="str">
        <f>IF(COUNTIF(B67:G67,"")=0,IF(X67="neni v PP",CONCATENATE("ID: &lt;",A67,"&gt; se neshoduje s žádným IDem v kartě PP"),IF(COUNTIF($A:$A,A67)&gt;1,CONCATENATE("ID: &lt;",A67,"&gt; se v kartě VP opakuje. Je nutné tyto IDy od sebe odlišit, např. mezerou za příjmením."),IF(COUNTIF([1]PP!A:A,A67)&gt;1,CONCATENATE("ID: &lt;",A67,"&gt; se v kartě PP opakuje. Je nutné tyto IDy od sebe odlišit, např. mezerou za příjmením."),IF(VLOOKUP(A67,[1]PP!$A:$W,5,FALSE)&lt;&gt;E67,CONCATENATE($E$4," &lt;",E67,"&gt; se neshoduje s jednotkou v kartě PP"," &lt;",VLOOKUP(A67,[1]PP!$A:$W,5,FALSE),"&gt;"),IF(AND(COUNTIF(K67:O67,"")&lt;5,J67="",I67=""),CONCATENATE("Doplň: ",$I$4),IF(AND(YEAR(I67)&lt;&gt;$E$2,COUNTIF(I67,"")=0),CONCATENATE("špatně uveden &lt;",$D$2,"&gt; nebo &lt;",$I$4,"&gt;"),IF(OR(AND(OR(COUNTIF(C67,"*a"),COUNTIF(C67,"*ie"),COUNTIF(C67,"*ine"),COUNTIF(D67,"*Á")),F67="muž"),AND(AND(COUNTIF(C67,"&lt;&gt;"&amp;"*a"),COUNTIF(C67,"&lt;&gt;"&amp;"*ie"),COUNTIF(C67,"&lt;&gt;"&amp;"*ine"),COUNTIF(D67,"&lt;&gt;"&amp;"*Á")),F67="žena")),CONCATENATE(C67," ",D67," je ",F67,"?"),""))))))),IF(COUNTIF(B67:O67,"")=14,"",CONCATENATE("Doplň: ",IF(B67="",CONCATENATE($B$4,IF(COUNTIF(C67:G67,"")=0,"",", ")),""),IF(C67="",CONCATENATE($C$4,IF(COUNTIF(D67:G67,"")=0,"",", ")),""),IF(D67="",CONCATENATE($D$4,IF(COUNTIF(E67:G67,"")=0,"",", ")),""),IF(E67="",CONCATENATE($E$4,IF(COUNTIF(F67:G67,"")=0,"",", ")),""),IF(F67="",CONCATENATE($F$4,IF(G67="",", ","")),""),IF(G67="",$G$4,""))))</f>
        <v/>
      </c>
      <c r="AA67" s="30"/>
    </row>
    <row r="68" spans="1:27" ht="16" x14ac:dyDescent="0.35">
      <c r="A68" s="14" t="str">
        <f t="shared" si="4"/>
        <v xml:space="preserve">  </v>
      </c>
      <c r="B68" s="15"/>
      <c r="C68" s="31"/>
      <c r="D68" s="31"/>
      <c r="E68" s="17"/>
      <c r="F68" s="18"/>
      <c r="G68" s="32"/>
      <c r="H68" s="33" t="str">
        <f>IF(G68="","",IF(F68="žena",ROMAN(MATCH(G68+1,'[1]Normy VP'!$Y$27:$Y$33,-1)),ROMAN(MATCH(G68+1,'[1]Normy VP'!$Y$19:$Y$25,-1))))</f>
        <v/>
      </c>
      <c r="I68" s="21"/>
      <c r="J68" s="22"/>
      <c r="K68" s="23"/>
      <c r="L68" s="23"/>
      <c r="M68" s="23"/>
      <c r="N68" s="22"/>
      <c r="O68" s="22"/>
      <c r="P68" s="24" t="str">
        <f>IF(OR($J68="",$J68="odešel"),IF(K68="","",IF($F68="žena",CHOOSE(_xlfn.ARABIC($H68),MATCH(K68+1,'[1]Normy VP'!$C$25:$F$25,-1),MATCH(K68+1,'[1]Normy VP'!$C$26:$F$26,-1),MATCH(K68+1,'[1]Normy VP'!$C$27:$F$27,-1),MATCH(K68+1,'[1]Normy VP'!$C$28:$F$28,-1),MATCH(K68+1,'[1]Normy VP'!$C$29:$F$29,-1),"muž"),CHOOSE(_xlfn.ARABIC($H68),MATCH(K68+1,'[1]Normy VP'!$C$10:$F$10,-1),MATCH(K68+1,'[1]Normy VP'!$C$11:$F$11,-1),MATCH(K68+1,'[1]Normy VP'!$C$12:$F$12,-1),MATCH(K68+1,'[1]Normy VP'!$C$13:$F$13,-1),MATCH(K68+1,'[1]Normy VP'!$C$14:$F$14,-1),""))),"O")</f>
        <v/>
      </c>
      <c r="Q68" s="24" t="str">
        <f>IF(OR($J68="",$J68="odešel"),IF($F68="žena","",IF(L68="","",(CHOOSE(_xlfn.ARABIC($H68),MATCH(L68+1,'[1]Normy VP'!$G$10:$J$10,-1),MATCH(L68+1,'[1]Normy VP'!$G$11:$J$11,-1),MATCH(L68+1,'[1]Normy VP'!$G$12:$J$12,-1),MATCH(L68+1,'[1]Normy VP'!$G$13:$J$13,-1),MATCH(L68+1,'[1]Normy VP'!$G$14:$J$14,-1),"")))),"O")</f>
        <v/>
      </c>
      <c r="R68" s="34" t="str">
        <f t="shared" si="5"/>
        <v>N</v>
      </c>
      <c r="S68" s="24" t="str">
        <f>IF(OR($J68="",$J68="odešel"),IF(M68="","N",IF($F68="žena",CHOOSE(_xlfn.ARABIC($H68),MATCH(M68+1,'[1]Normy VP'!$G$25:$J$25,-1),MATCH(M68+1,'[1]Normy VP'!$G$26:$J$26,-1),MATCH(M68+1,'[1]Normy VP'!$G$27:$J$27,-1),MATCH(M68+1,'[1]Normy VP'!$G$28:$J$28,-1),MATCH(M68+1,'[1]Normy VP'!$G$29:$J$29,-1),"muž"),(CHOOSE(_xlfn.ARABIC($H68),MATCH(M68+1,'[1]Normy VP'!$K$10:$N$10,-1),MATCH(M68+1,'[1]Normy VP'!$K$11:$N$11,-1),MATCH(M68+1,'[1]Normy VP'!$K$12:$N$12,-1),MATCH(M68+1,'[1]Normy VP'!$K$13:$N$13,-1),MATCH(M68+1,'[1]Normy VP'!$K$14:$N$14,-1),"")))),"O")</f>
        <v>N</v>
      </c>
      <c r="T68" s="34" t="str">
        <f t="shared" si="6"/>
        <v>N</v>
      </c>
      <c r="U68" s="24" t="str">
        <f>IF(OR($J68="",$J68="odešel"),IF(N68="","N",IF($F68="žena",CHOOSE(_xlfn.ARABIC($H68),MATCH(N68+1,'[1]Normy VP'!$K$25:$N$25,-1),MATCH(N68+1,'[1]Normy VP'!$K$26:$N$26,-1),MATCH(N68+1,'[1]Normy VP'!$K$27:$N$27,-1),MATCH(N68+1,'[1]Normy VP'!$K$28:$N$28,-1),MATCH(N68+1,'[1]Normy VP'!$K$29:$N$29,-1),MATCH(N68+1,'[1]Normy VP'!$K$30:$N$30,-1)),CHOOSE(_xlfn.ARABIC($H68),MATCH(N68+1,'[1]Normy VP'!$O$10:$R$10,-1),MATCH(N68+1,'[1]Normy VP'!$O$11:$R$11,-1),MATCH(N68+1,'[1]Normy VP'!$O$12:$R$12,-1),MATCH(N68+1,'[1]Normy VP'!$O$13:$R$13,-1),MATCH(N68+1,'[1]Normy VP'!$O$14:$R$14,-1),MATCH(N68+1,'[1]Normy VP'!$O$15:$R$15,-1)))),"O")</f>
        <v>N</v>
      </c>
      <c r="V68" s="26" t="str">
        <f>IF(OR($J68="",$J68="odešel"),IF(O68="","N",IF($F68="žena",CHOOSE(_xlfn.ARABIC($H68),MATCH(O68-1,'[1]Normy VP'!$O$25:$R$25),MATCH(O68-1,'[1]Normy VP'!$O$26:$R$26),MATCH(O68-1,'[1]Normy VP'!$O$27:$R$27),MATCH(O68-1,'[1]Normy VP'!$O$28:$R$28),MATCH(O68-1,'[1]Normy VP'!$O$29:$R$29),MATCH(O68-1,'[1]Normy VP'!$O$30:$R$30)),CHOOSE(_xlfn.ARABIC($H68),MATCH(O68-1,'[1]Normy VP'!$S$10:$V$10),MATCH(O68-1,'[1]Normy VP'!$S$11:$V$11),MATCH(O68-1,'[1]Normy VP'!$S$12:$V$12),MATCH(O68-1,'[1]Normy VP'!$S$13:$V$13),MATCH(O68-1,'[1]Normy VP'!$S$14:$V$14),MATCH(O68-1,'[1]Normy VP'!$S$15:$V$15)))),"O")</f>
        <v>N</v>
      </c>
      <c r="W68" s="34" t="str">
        <f t="shared" si="7"/>
        <v>N</v>
      </c>
      <c r="X68" s="27" t="str">
        <f>IF(COUNTIF(B68:G68,"")&gt;0,"",IF(COUNTIF([1]PP!$A:$A,A68)=0,"neni v PP",IF(OR(Y68="odešel",VLOOKUP(A68,[1]PP!$A:$W,22,FALSE)="odešel"),"odešel",IF(OR(Y68="N",VLOOKUP(A68,[1]PP!$A:$W,22,FALSE)="N"),"N",IF(OR(Y68="C",VLOOKUP(A68,[1]PP!$A:$W,22,FALSE)="C"),"C",IF(OR(Y68="DZO",VLOOKUP(A68,[1]PP!$A:$W,22,FALSE)="DZO"),"DZO",IF(OR(Y68="mise",Y68="disp.",Y68="končí",Y68="DSC",VLOOKUP(A68,[1]PP!$A:$W,22,FALSE)="mise",VLOOKUP(A68,[1]PP!$A:$W,22,FALSE)="disp.",VLOOKUP(A68,[1]PP!$A:$W,22,FALSE)="končí",VLOOKUP(A68,[1]PP!$A:$W,22,FALSE)="DSC"),"jiné",IF(OR(Y68=4,VLOOKUP(A68,[1]PP!$A:$W,22,FALSE)=4),4,IF(OR(Y68=3,VLOOKUP(A68,[1]PP!$A:$W,22,FALSE)=3),3,IF(OR(Y68=2,VLOOKUP(A68,[1]PP!$A:$W,22,FALSE)=2),2,IF(AND(Y68=1,VLOOKUP(A68,[1]PP!$A:$W,22,FALSE)=1),1)))))))))))</f>
        <v/>
      </c>
      <c r="Y68" s="28" t="str">
        <f>IF(COUNTIF(B68:G68,"")&gt;0,"",IF(COUNTIF([1]PP!$A:$A,A68)=0,"neni v PP",IF(VLOOKUP(A68,[1]PP!$A:$W,8,FALSE)="odešel","odešel",IF(F68="","",IF(J68="",IF(OR(T68=4,W68=4),4,IF(AND(T68="N",W68="N"),"N",IF(OR(T68="N",W68="N"),4,ROUND(AVERAGE(T68,W68),0)))),J68)))))</f>
        <v/>
      </c>
      <c r="Z68" s="29" t="str">
        <f>IF(COUNTIF(B68:G68,"")=0,IF(X68="neni v PP",CONCATENATE("ID: &lt;",A68,"&gt; se neshoduje s žádným IDem v kartě PP"),IF(COUNTIF($A:$A,A68)&gt;1,CONCATENATE("ID: &lt;",A68,"&gt; se v kartě VP opakuje. Je nutné tyto IDy od sebe odlišit, např. mezerou za příjmením."),IF(COUNTIF([1]PP!A:A,A68)&gt;1,CONCATENATE("ID: &lt;",A68,"&gt; se v kartě PP opakuje. Je nutné tyto IDy od sebe odlišit, např. mezerou za příjmením."),IF(VLOOKUP(A68,[1]PP!$A:$W,5,FALSE)&lt;&gt;E68,CONCATENATE($E$4," &lt;",E68,"&gt; se neshoduje s jednotkou v kartě PP"," &lt;",VLOOKUP(A68,[1]PP!$A:$W,5,FALSE),"&gt;"),IF(AND(COUNTIF(K68:O68,"")&lt;5,J68="",I68=""),CONCATENATE("Doplň: ",$I$4),IF(AND(YEAR(I68)&lt;&gt;$E$2,COUNTIF(I68,"")=0),CONCATENATE("špatně uveden &lt;",$D$2,"&gt; nebo &lt;",$I$4,"&gt;"),IF(OR(AND(OR(COUNTIF(C68,"*a"),COUNTIF(C68,"*ie"),COUNTIF(C68,"*ine"),COUNTIF(D68,"*Á")),F68="muž"),AND(AND(COUNTIF(C68,"&lt;&gt;"&amp;"*a"),COUNTIF(C68,"&lt;&gt;"&amp;"*ie"),COUNTIF(C68,"&lt;&gt;"&amp;"*ine"),COUNTIF(D68,"&lt;&gt;"&amp;"*Á")),F68="žena")),CONCATENATE(C68," ",D68," je ",F68,"?"),""))))))),IF(COUNTIF(B68:O68,"")=14,"",CONCATENATE("Doplň: ",IF(B68="",CONCATENATE($B$4,IF(COUNTIF(C68:G68,"")=0,"",", ")),""),IF(C68="",CONCATENATE($C$4,IF(COUNTIF(D68:G68,"")=0,"",", ")),""),IF(D68="",CONCATENATE($D$4,IF(COUNTIF(E68:G68,"")=0,"",", ")),""),IF(E68="",CONCATENATE($E$4,IF(COUNTIF(F68:G68,"")=0,"",", ")),""),IF(F68="",CONCATENATE($F$4,IF(G68="",", ","")),""),IF(G68="",$G$4,""))))</f>
        <v/>
      </c>
      <c r="AA68" s="30"/>
    </row>
    <row r="69" spans="1:27" ht="16" x14ac:dyDescent="0.35">
      <c r="A69" s="14" t="str">
        <f t="shared" si="4"/>
        <v xml:space="preserve">  </v>
      </c>
      <c r="B69" s="15"/>
      <c r="C69" s="31"/>
      <c r="D69" s="31"/>
      <c r="E69" s="17"/>
      <c r="F69" s="18"/>
      <c r="G69" s="32"/>
      <c r="H69" s="33" t="str">
        <f>IF(G69="","",IF(F69="žena",ROMAN(MATCH(G69+1,'[1]Normy VP'!$Y$27:$Y$33,-1)),ROMAN(MATCH(G69+1,'[1]Normy VP'!$Y$19:$Y$25,-1))))</f>
        <v/>
      </c>
      <c r="I69" s="21"/>
      <c r="J69" s="22"/>
      <c r="K69" s="23"/>
      <c r="L69" s="23"/>
      <c r="M69" s="23"/>
      <c r="N69" s="22"/>
      <c r="O69" s="22"/>
      <c r="P69" s="24" t="str">
        <f>IF(OR($J69="",$J69="odešel"),IF(K69="","",IF($F69="žena",CHOOSE(_xlfn.ARABIC($H69),MATCH(K69+1,'[1]Normy VP'!$C$25:$F$25,-1),MATCH(K69+1,'[1]Normy VP'!$C$26:$F$26,-1),MATCH(K69+1,'[1]Normy VP'!$C$27:$F$27,-1),MATCH(K69+1,'[1]Normy VP'!$C$28:$F$28,-1),MATCH(K69+1,'[1]Normy VP'!$C$29:$F$29,-1),"muž"),CHOOSE(_xlfn.ARABIC($H69),MATCH(K69+1,'[1]Normy VP'!$C$10:$F$10,-1),MATCH(K69+1,'[1]Normy VP'!$C$11:$F$11,-1),MATCH(K69+1,'[1]Normy VP'!$C$12:$F$12,-1),MATCH(K69+1,'[1]Normy VP'!$C$13:$F$13,-1),MATCH(K69+1,'[1]Normy VP'!$C$14:$F$14,-1),""))),"O")</f>
        <v/>
      </c>
      <c r="Q69" s="24" t="str">
        <f>IF(OR($J69="",$J69="odešel"),IF($F69="žena","",IF(L69="","",(CHOOSE(_xlfn.ARABIC($H69),MATCH(L69+1,'[1]Normy VP'!$G$10:$J$10,-1),MATCH(L69+1,'[1]Normy VP'!$G$11:$J$11,-1),MATCH(L69+1,'[1]Normy VP'!$G$12:$J$12,-1),MATCH(L69+1,'[1]Normy VP'!$G$13:$J$13,-1),MATCH(L69+1,'[1]Normy VP'!$G$14:$J$14,-1),"")))),"O")</f>
        <v/>
      </c>
      <c r="R69" s="34" t="str">
        <f t="shared" si="5"/>
        <v>N</v>
      </c>
      <c r="S69" s="24" t="str">
        <f>IF(OR($J69="",$J69="odešel"),IF(M69="","N",IF($F69="žena",CHOOSE(_xlfn.ARABIC($H69),MATCH(M69+1,'[1]Normy VP'!$G$25:$J$25,-1),MATCH(M69+1,'[1]Normy VP'!$G$26:$J$26,-1),MATCH(M69+1,'[1]Normy VP'!$G$27:$J$27,-1),MATCH(M69+1,'[1]Normy VP'!$G$28:$J$28,-1),MATCH(M69+1,'[1]Normy VP'!$G$29:$J$29,-1),"muž"),(CHOOSE(_xlfn.ARABIC($H69),MATCH(M69+1,'[1]Normy VP'!$K$10:$N$10,-1),MATCH(M69+1,'[1]Normy VP'!$K$11:$N$11,-1),MATCH(M69+1,'[1]Normy VP'!$K$12:$N$12,-1),MATCH(M69+1,'[1]Normy VP'!$K$13:$N$13,-1),MATCH(M69+1,'[1]Normy VP'!$K$14:$N$14,-1),"")))),"O")</f>
        <v>N</v>
      </c>
      <c r="T69" s="34" t="str">
        <f t="shared" si="6"/>
        <v>N</v>
      </c>
      <c r="U69" s="24" t="str">
        <f>IF(OR($J69="",$J69="odešel"),IF(N69="","N",IF($F69="žena",CHOOSE(_xlfn.ARABIC($H69),MATCH(N69+1,'[1]Normy VP'!$K$25:$N$25,-1),MATCH(N69+1,'[1]Normy VP'!$K$26:$N$26,-1),MATCH(N69+1,'[1]Normy VP'!$K$27:$N$27,-1),MATCH(N69+1,'[1]Normy VP'!$K$28:$N$28,-1),MATCH(N69+1,'[1]Normy VP'!$K$29:$N$29,-1),MATCH(N69+1,'[1]Normy VP'!$K$30:$N$30,-1)),CHOOSE(_xlfn.ARABIC($H69),MATCH(N69+1,'[1]Normy VP'!$O$10:$R$10,-1),MATCH(N69+1,'[1]Normy VP'!$O$11:$R$11,-1),MATCH(N69+1,'[1]Normy VP'!$O$12:$R$12,-1),MATCH(N69+1,'[1]Normy VP'!$O$13:$R$13,-1),MATCH(N69+1,'[1]Normy VP'!$O$14:$R$14,-1),MATCH(N69+1,'[1]Normy VP'!$O$15:$R$15,-1)))),"O")</f>
        <v>N</v>
      </c>
      <c r="V69" s="26" t="str">
        <f>IF(OR($J69="",$J69="odešel"),IF(O69="","N",IF($F69="žena",CHOOSE(_xlfn.ARABIC($H69),MATCH(O69-1,'[1]Normy VP'!$O$25:$R$25),MATCH(O69-1,'[1]Normy VP'!$O$26:$R$26),MATCH(O69-1,'[1]Normy VP'!$O$27:$R$27),MATCH(O69-1,'[1]Normy VP'!$O$28:$R$28),MATCH(O69-1,'[1]Normy VP'!$O$29:$R$29),MATCH(O69-1,'[1]Normy VP'!$O$30:$R$30)),CHOOSE(_xlfn.ARABIC($H69),MATCH(O69-1,'[1]Normy VP'!$S$10:$V$10),MATCH(O69-1,'[1]Normy VP'!$S$11:$V$11),MATCH(O69-1,'[1]Normy VP'!$S$12:$V$12),MATCH(O69-1,'[1]Normy VP'!$S$13:$V$13),MATCH(O69-1,'[1]Normy VP'!$S$14:$V$14),MATCH(O69-1,'[1]Normy VP'!$S$15:$V$15)))),"O")</f>
        <v>N</v>
      </c>
      <c r="W69" s="34" t="str">
        <f t="shared" si="7"/>
        <v>N</v>
      </c>
      <c r="X69" s="27" t="str">
        <f>IF(COUNTIF(B69:G69,"")&gt;0,"",IF(COUNTIF([1]PP!$A:$A,A69)=0,"neni v PP",IF(OR(Y69="odešel",VLOOKUP(A69,[1]PP!$A:$W,22,FALSE)="odešel"),"odešel",IF(OR(Y69="N",VLOOKUP(A69,[1]PP!$A:$W,22,FALSE)="N"),"N",IF(OR(Y69="C",VLOOKUP(A69,[1]PP!$A:$W,22,FALSE)="C"),"C",IF(OR(Y69="DZO",VLOOKUP(A69,[1]PP!$A:$W,22,FALSE)="DZO"),"DZO",IF(OR(Y69="mise",Y69="disp.",Y69="končí",Y69="DSC",VLOOKUP(A69,[1]PP!$A:$W,22,FALSE)="mise",VLOOKUP(A69,[1]PP!$A:$W,22,FALSE)="disp.",VLOOKUP(A69,[1]PP!$A:$W,22,FALSE)="končí",VLOOKUP(A69,[1]PP!$A:$W,22,FALSE)="DSC"),"jiné",IF(OR(Y69=4,VLOOKUP(A69,[1]PP!$A:$W,22,FALSE)=4),4,IF(OR(Y69=3,VLOOKUP(A69,[1]PP!$A:$W,22,FALSE)=3),3,IF(OR(Y69=2,VLOOKUP(A69,[1]PP!$A:$W,22,FALSE)=2),2,IF(AND(Y69=1,VLOOKUP(A69,[1]PP!$A:$W,22,FALSE)=1),1)))))))))))</f>
        <v/>
      </c>
      <c r="Y69" s="28" t="str">
        <f>IF(COUNTIF(B69:G69,"")&gt;0,"",IF(COUNTIF([1]PP!$A:$A,A69)=0,"neni v PP",IF(VLOOKUP(A69,[1]PP!$A:$W,8,FALSE)="odešel","odešel",IF(F69="","",IF(J69="",IF(OR(T69=4,W69=4),4,IF(AND(T69="N",W69="N"),"N",IF(OR(T69="N",W69="N"),4,ROUND(AVERAGE(T69,W69),0)))),J69)))))</f>
        <v/>
      </c>
      <c r="Z69" s="29" t="str">
        <f>IF(COUNTIF(B69:G69,"")=0,IF(X69="neni v PP",CONCATENATE("ID: &lt;",A69,"&gt; se neshoduje s žádným IDem v kartě PP"),IF(COUNTIF($A:$A,A69)&gt;1,CONCATENATE("ID: &lt;",A69,"&gt; se v kartě VP opakuje. Je nutné tyto IDy od sebe odlišit, např. mezerou za příjmením."),IF(COUNTIF([1]PP!A:A,A69)&gt;1,CONCATENATE("ID: &lt;",A69,"&gt; se v kartě PP opakuje. Je nutné tyto IDy od sebe odlišit, např. mezerou za příjmením."),IF(VLOOKUP(A69,[1]PP!$A:$W,5,FALSE)&lt;&gt;E69,CONCATENATE($E$4," &lt;",E69,"&gt; se neshoduje s jednotkou v kartě PP"," &lt;",VLOOKUP(A69,[1]PP!$A:$W,5,FALSE),"&gt;"),IF(AND(COUNTIF(K69:O69,"")&lt;5,J69="",I69=""),CONCATENATE("Doplň: ",$I$4),IF(AND(YEAR(I69)&lt;&gt;$E$2,COUNTIF(I69,"")=0),CONCATENATE("špatně uveden &lt;",$D$2,"&gt; nebo &lt;",$I$4,"&gt;"),IF(OR(AND(OR(COUNTIF(C69,"*a"),COUNTIF(C69,"*ie"),COUNTIF(C69,"*ine"),COUNTIF(D69,"*Á")),F69="muž"),AND(AND(COUNTIF(C69,"&lt;&gt;"&amp;"*a"),COUNTIF(C69,"&lt;&gt;"&amp;"*ie"),COUNTIF(C69,"&lt;&gt;"&amp;"*ine"),COUNTIF(D69,"&lt;&gt;"&amp;"*Á")),F69="žena")),CONCATENATE(C69," ",D69," je ",F69,"?"),""))))))),IF(COUNTIF(B69:O69,"")=14,"",CONCATENATE("Doplň: ",IF(B69="",CONCATENATE($B$4,IF(COUNTIF(C69:G69,"")=0,"",", ")),""),IF(C69="",CONCATENATE($C$4,IF(COUNTIF(D69:G69,"")=0,"",", ")),""),IF(D69="",CONCATENATE($D$4,IF(COUNTIF(E69:G69,"")=0,"",", ")),""),IF(E69="",CONCATENATE($E$4,IF(COUNTIF(F69:G69,"")=0,"",", ")),""),IF(F69="",CONCATENATE($F$4,IF(G69="",", ","")),""),IF(G69="",$G$4,""))))</f>
        <v/>
      </c>
      <c r="AA69" s="30"/>
    </row>
    <row r="70" spans="1:27" ht="16" x14ac:dyDescent="0.35">
      <c r="A70" s="14" t="str">
        <f t="shared" si="4"/>
        <v xml:space="preserve">  </v>
      </c>
      <c r="B70" s="15"/>
      <c r="C70" s="31"/>
      <c r="D70" s="31"/>
      <c r="E70" s="17"/>
      <c r="F70" s="18"/>
      <c r="G70" s="32"/>
      <c r="H70" s="33" t="str">
        <f>IF(G70="","",IF(F70="žena",ROMAN(MATCH(G70+1,'[1]Normy VP'!$Y$27:$Y$33,-1)),ROMAN(MATCH(G70+1,'[1]Normy VP'!$Y$19:$Y$25,-1))))</f>
        <v/>
      </c>
      <c r="I70" s="21"/>
      <c r="J70" s="22"/>
      <c r="K70" s="23"/>
      <c r="L70" s="23"/>
      <c r="M70" s="23"/>
      <c r="N70" s="22"/>
      <c r="O70" s="22"/>
      <c r="P70" s="24" t="str">
        <f>IF(OR($J70="",$J70="odešel"),IF(K70="","",IF($F70="žena",CHOOSE(_xlfn.ARABIC($H70),MATCH(K70+1,'[1]Normy VP'!$C$25:$F$25,-1),MATCH(K70+1,'[1]Normy VP'!$C$26:$F$26,-1),MATCH(K70+1,'[1]Normy VP'!$C$27:$F$27,-1),MATCH(K70+1,'[1]Normy VP'!$C$28:$F$28,-1),MATCH(K70+1,'[1]Normy VP'!$C$29:$F$29,-1),"muž"),CHOOSE(_xlfn.ARABIC($H70),MATCH(K70+1,'[1]Normy VP'!$C$10:$F$10,-1),MATCH(K70+1,'[1]Normy VP'!$C$11:$F$11,-1),MATCH(K70+1,'[1]Normy VP'!$C$12:$F$12,-1),MATCH(K70+1,'[1]Normy VP'!$C$13:$F$13,-1),MATCH(K70+1,'[1]Normy VP'!$C$14:$F$14,-1),""))),"O")</f>
        <v/>
      </c>
      <c r="Q70" s="24" t="str">
        <f>IF(OR($J70="",$J70="odešel"),IF($F70="žena","",IF(L70="","",(CHOOSE(_xlfn.ARABIC($H70),MATCH(L70+1,'[1]Normy VP'!$G$10:$J$10,-1),MATCH(L70+1,'[1]Normy VP'!$G$11:$J$11,-1),MATCH(L70+1,'[1]Normy VP'!$G$12:$J$12,-1),MATCH(L70+1,'[1]Normy VP'!$G$13:$J$13,-1),MATCH(L70+1,'[1]Normy VP'!$G$14:$J$14,-1),"")))),"O")</f>
        <v/>
      </c>
      <c r="R70" s="34" t="str">
        <f t="shared" si="5"/>
        <v>N</v>
      </c>
      <c r="S70" s="24" t="str">
        <f>IF(OR($J70="",$J70="odešel"),IF(M70="","N",IF($F70="žena",CHOOSE(_xlfn.ARABIC($H70),MATCH(M70+1,'[1]Normy VP'!$G$25:$J$25,-1),MATCH(M70+1,'[1]Normy VP'!$G$26:$J$26,-1),MATCH(M70+1,'[1]Normy VP'!$G$27:$J$27,-1),MATCH(M70+1,'[1]Normy VP'!$G$28:$J$28,-1),MATCH(M70+1,'[1]Normy VP'!$G$29:$J$29,-1),"muž"),(CHOOSE(_xlfn.ARABIC($H70),MATCH(M70+1,'[1]Normy VP'!$K$10:$N$10,-1),MATCH(M70+1,'[1]Normy VP'!$K$11:$N$11,-1),MATCH(M70+1,'[1]Normy VP'!$K$12:$N$12,-1),MATCH(M70+1,'[1]Normy VP'!$K$13:$N$13,-1),MATCH(M70+1,'[1]Normy VP'!$K$14:$N$14,-1),"")))),"O")</f>
        <v>N</v>
      </c>
      <c r="T70" s="34" t="str">
        <f t="shared" si="6"/>
        <v>N</v>
      </c>
      <c r="U70" s="24" t="str">
        <f>IF(OR($J70="",$J70="odešel"),IF(N70="","N",IF($F70="žena",CHOOSE(_xlfn.ARABIC($H70),MATCH(N70+1,'[1]Normy VP'!$K$25:$N$25,-1),MATCH(N70+1,'[1]Normy VP'!$K$26:$N$26,-1),MATCH(N70+1,'[1]Normy VP'!$K$27:$N$27,-1),MATCH(N70+1,'[1]Normy VP'!$K$28:$N$28,-1),MATCH(N70+1,'[1]Normy VP'!$K$29:$N$29,-1),MATCH(N70+1,'[1]Normy VP'!$K$30:$N$30,-1)),CHOOSE(_xlfn.ARABIC($H70),MATCH(N70+1,'[1]Normy VP'!$O$10:$R$10,-1),MATCH(N70+1,'[1]Normy VP'!$O$11:$R$11,-1),MATCH(N70+1,'[1]Normy VP'!$O$12:$R$12,-1),MATCH(N70+1,'[1]Normy VP'!$O$13:$R$13,-1),MATCH(N70+1,'[1]Normy VP'!$O$14:$R$14,-1),MATCH(N70+1,'[1]Normy VP'!$O$15:$R$15,-1)))),"O")</f>
        <v>N</v>
      </c>
      <c r="V70" s="26" t="str">
        <f>IF(OR($J70="",$J70="odešel"),IF(O70="","N",IF($F70="žena",CHOOSE(_xlfn.ARABIC($H70),MATCH(O70-1,'[1]Normy VP'!$O$25:$R$25),MATCH(O70-1,'[1]Normy VP'!$O$26:$R$26),MATCH(O70-1,'[1]Normy VP'!$O$27:$R$27),MATCH(O70-1,'[1]Normy VP'!$O$28:$R$28),MATCH(O70-1,'[1]Normy VP'!$O$29:$R$29),MATCH(O70-1,'[1]Normy VP'!$O$30:$R$30)),CHOOSE(_xlfn.ARABIC($H70),MATCH(O70-1,'[1]Normy VP'!$S$10:$V$10),MATCH(O70-1,'[1]Normy VP'!$S$11:$V$11),MATCH(O70-1,'[1]Normy VP'!$S$12:$V$12),MATCH(O70-1,'[1]Normy VP'!$S$13:$V$13),MATCH(O70-1,'[1]Normy VP'!$S$14:$V$14),MATCH(O70-1,'[1]Normy VP'!$S$15:$V$15)))),"O")</f>
        <v>N</v>
      </c>
      <c r="W70" s="34" t="str">
        <f t="shared" si="7"/>
        <v>N</v>
      </c>
      <c r="X70" s="27" t="str">
        <f>IF(COUNTIF(B70:G70,"")&gt;0,"",IF(COUNTIF([1]PP!$A:$A,A70)=0,"neni v PP",IF(OR(Y70="odešel",VLOOKUP(A70,[1]PP!$A:$W,22,FALSE)="odešel"),"odešel",IF(OR(Y70="N",VLOOKUP(A70,[1]PP!$A:$W,22,FALSE)="N"),"N",IF(OR(Y70="C",VLOOKUP(A70,[1]PP!$A:$W,22,FALSE)="C"),"C",IF(OR(Y70="DZO",VLOOKUP(A70,[1]PP!$A:$W,22,FALSE)="DZO"),"DZO",IF(OR(Y70="mise",Y70="disp.",Y70="končí",Y70="DSC",VLOOKUP(A70,[1]PP!$A:$W,22,FALSE)="mise",VLOOKUP(A70,[1]PP!$A:$W,22,FALSE)="disp.",VLOOKUP(A70,[1]PP!$A:$W,22,FALSE)="končí",VLOOKUP(A70,[1]PP!$A:$W,22,FALSE)="DSC"),"jiné",IF(OR(Y70=4,VLOOKUP(A70,[1]PP!$A:$W,22,FALSE)=4),4,IF(OR(Y70=3,VLOOKUP(A70,[1]PP!$A:$W,22,FALSE)=3),3,IF(OR(Y70=2,VLOOKUP(A70,[1]PP!$A:$W,22,FALSE)=2),2,IF(AND(Y70=1,VLOOKUP(A70,[1]PP!$A:$W,22,FALSE)=1),1)))))))))))</f>
        <v/>
      </c>
      <c r="Y70" s="28" t="str">
        <f>IF(COUNTIF(B70:G70,"")&gt;0,"",IF(COUNTIF([1]PP!$A:$A,A70)=0,"neni v PP",IF(VLOOKUP(A70,[1]PP!$A:$W,8,FALSE)="odešel","odešel",IF(F70="","",IF(J70="",IF(OR(T70=4,W70=4),4,IF(AND(T70="N",W70="N"),"N",IF(OR(T70="N",W70="N"),4,ROUND(AVERAGE(T70,W70),0)))),J70)))))</f>
        <v/>
      </c>
      <c r="Z70" s="29" t="str">
        <f>IF(COUNTIF(B70:G70,"")=0,IF(X70="neni v PP",CONCATENATE("ID: &lt;",A70,"&gt; se neshoduje s žádným IDem v kartě PP"),IF(COUNTIF($A:$A,A70)&gt;1,CONCATENATE("ID: &lt;",A70,"&gt; se v kartě VP opakuje. Je nutné tyto IDy od sebe odlišit, např. mezerou za příjmením."),IF(COUNTIF([1]PP!A:A,A70)&gt;1,CONCATENATE("ID: &lt;",A70,"&gt; se v kartě PP opakuje. Je nutné tyto IDy od sebe odlišit, např. mezerou za příjmením."),IF(VLOOKUP(A70,[1]PP!$A:$W,5,FALSE)&lt;&gt;E70,CONCATENATE($E$4," &lt;",E70,"&gt; se neshoduje s jednotkou v kartě PP"," &lt;",VLOOKUP(A70,[1]PP!$A:$W,5,FALSE),"&gt;"),IF(AND(COUNTIF(K70:O70,"")&lt;5,J70="",I70=""),CONCATENATE("Doplň: ",$I$4),IF(AND(YEAR(I70)&lt;&gt;$E$2,COUNTIF(I70,"")=0),CONCATENATE("špatně uveden &lt;",$D$2,"&gt; nebo &lt;",$I$4,"&gt;"),IF(OR(AND(OR(COUNTIF(C70,"*a"),COUNTIF(C70,"*ie"),COUNTIF(C70,"*ine"),COUNTIF(D70,"*Á")),F70="muž"),AND(AND(COUNTIF(C70,"&lt;&gt;"&amp;"*a"),COUNTIF(C70,"&lt;&gt;"&amp;"*ie"),COUNTIF(C70,"&lt;&gt;"&amp;"*ine"),COUNTIF(D70,"&lt;&gt;"&amp;"*Á")),F70="žena")),CONCATENATE(C70," ",D70," je ",F70,"?"),""))))))),IF(COUNTIF(B70:O70,"")=14,"",CONCATENATE("Doplň: ",IF(B70="",CONCATENATE($B$4,IF(COUNTIF(C70:G70,"")=0,"",", ")),""),IF(C70="",CONCATENATE($C$4,IF(COUNTIF(D70:G70,"")=0,"",", ")),""),IF(D70="",CONCATENATE($D$4,IF(COUNTIF(E70:G70,"")=0,"",", ")),""),IF(E70="",CONCATENATE($E$4,IF(COUNTIF(F70:G70,"")=0,"",", ")),""),IF(F70="",CONCATENATE($F$4,IF(G70="",", ","")),""),IF(G70="",$G$4,""))))</f>
        <v/>
      </c>
      <c r="AA70" s="30"/>
    </row>
    <row r="71" spans="1:27" ht="16" x14ac:dyDescent="0.35">
      <c r="A71" s="14" t="str">
        <f t="shared" si="4"/>
        <v xml:space="preserve">  </v>
      </c>
      <c r="B71" s="15"/>
      <c r="C71" s="31"/>
      <c r="D71" s="31"/>
      <c r="E71" s="17"/>
      <c r="F71" s="18"/>
      <c r="G71" s="32"/>
      <c r="H71" s="33" t="str">
        <f>IF(G71="","",IF(F71="žena",ROMAN(MATCH(G71+1,'[1]Normy VP'!$Y$27:$Y$33,-1)),ROMAN(MATCH(G71+1,'[1]Normy VP'!$Y$19:$Y$25,-1))))</f>
        <v/>
      </c>
      <c r="I71" s="21"/>
      <c r="J71" s="22"/>
      <c r="K71" s="23"/>
      <c r="L71" s="23"/>
      <c r="M71" s="23"/>
      <c r="N71" s="22"/>
      <c r="O71" s="22"/>
      <c r="P71" s="24" t="str">
        <f>IF(OR($J71="",$J71="odešel"),IF(K71="","",IF($F71="žena",CHOOSE(_xlfn.ARABIC($H71),MATCH(K71+1,'[1]Normy VP'!$C$25:$F$25,-1),MATCH(K71+1,'[1]Normy VP'!$C$26:$F$26,-1),MATCH(K71+1,'[1]Normy VP'!$C$27:$F$27,-1),MATCH(K71+1,'[1]Normy VP'!$C$28:$F$28,-1),MATCH(K71+1,'[1]Normy VP'!$C$29:$F$29,-1),"muž"),CHOOSE(_xlfn.ARABIC($H71),MATCH(K71+1,'[1]Normy VP'!$C$10:$F$10,-1),MATCH(K71+1,'[1]Normy VP'!$C$11:$F$11,-1),MATCH(K71+1,'[1]Normy VP'!$C$12:$F$12,-1),MATCH(K71+1,'[1]Normy VP'!$C$13:$F$13,-1),MATCH(K71+1,'[1]Normy VP'!$C$14:$F$14,-1),""))),"O")</f>
        <v/>
      </c>
      <c r="Q71" s="24" t="str">
        <f>IF(OR($J71="",$J71="odešel"),IF($F71="žena","",IF(L71="","",(CHOOSE(_xlfn.ARABIC($H71),MATCH(L71+1,'[1]Normy VP'!$G$10:$J$10,-1),MATCH(L71+1,'[1]Normy VP'!$G$11:$J$11,-1),MATCH(L71+1,'[1]Normy VP'!$G$12:$J$12,-1),MATCH(L71+1,'[1]Normy VP'!$G$13:$J$13,-1),MATCH(L71+1,'[1]Normy VP'!$G$14:$J$14,-1),"")))),"O")</f>
        <v/>
      </c>
      <c r="R71" s="34" t="str">
        <f t="shared" si="5"/>
        <v>N</v>
      </c>
      <c r="S71" s="24" t="str">
        <f>IF(OR($J71="",$J71="odešel"),IF(M71="","N",IF($F71="žena",CHOOSE(_xlfn.ARABIC($H71),MATCH(M71+1,'[1]Normy VP'!$G$25:$J$25,-1),MATCH(M71+1,'[1]Normy VP'!$G$26:$J$26,-1),MATCH(M71+1,'[1]Normy VP'!$G$27:$J$27,-1),MATCH(M71+1,'[1]Normy VP'!$G$28:$J$28,-1),MATCH(M71+1,'[1]Normy VP'!$G$29:$J$29,-1),"muž"),(CHOOSE(_xlfn.ARABIC($H71),MATCH(M71+1,'[1]Normy VP'!$K$10:$N$10,-1),MATCH(M71+1,'[1]Normy VP'!$K$11:$N$11,-1),MATCH(M71+1,'[1]Normy VP'!$K$12:$N$12,-1),MATCH(M71+1,'[1]Normy VP'!$K$13:$N$13,-1),MATCH(M71+1,'[1]Normy VP'!$K$14:$N$14,-1),"")))),"O")</f>
        <v>N</v>
      </c>
      <c r="T71" s="34" t="str">
        <f t="shared" si="6"/>
        <v>N</v>
      </c>
      <c r="U71" s="24" t="str">
        <f>IF(OR($J71="",$J71="odešel"),IF(N71="","N",IF($F71="žena",CHOOSE(_xlfn.ARABIC($H71),MATCH(N71+1,'[1]Normy VP'!$K$25:$N$25,-1),MATCH(N71+1,'[1]Normy VP'!$K$26:$N$26,-1),MATCH(N71+1,'[1]Normy VP'!$K$27:$N$27,-1),MATCH(N71+1,'[1]Normy VP'!$K$28:$N$28,-1),MATCH(N71+1,'[1]Normy VP'!$K$29:$N$29,-1),MATCH(N71+1,'[1]Normy VP'!$K$30:$N$30,-1)),CHOOSE(_xlfn.ARABIC($H71),MATCH(N71+1,'[1]Normy VP'!$O$10:$R$10,-1),MATCH(N71+1,'[1]Normy VP'!$O$11:$R$11,-1),MATCH(N71+1,'[1]Normy VP'!$O$12:$R$12,-1),MATCH(N71+1,'[1]Normy VP'!$O$13:$R$13,-1),MATCH(N71+1,'[1]Normy VP'!$O$14:$R$14,-1),MATCH(N71+1,'[1]Normy VP'!$O$15:$R$15,-1)))),"O")</f>
        <v>N</v>
      </c>
      <c r="V71" s="26" t="str">
        <f>IF(OR($J71="",$J71="odešel"),IF(O71="","N",IF($F71="žena",CHOOSE(_xlfn.ARABIC($H71),MATCH(O71-1,'[1]Normy VP'!$O$25:$R$25),MATCH(O71-1,'[1]Normy VP'!$O$26:$R$26),MATCH(O71-1,'[1]Normy VP'!$O$27:$R$27),MATCH(O71-1,'[1]Normy VP'!$O$28:$R$28),MATCH(O71-1,'[1]Normy VP'!$O$29:$R$29),MATCH(O71-1,'[1]Normy VP'!$O$30:$R$30)),CHOOSE(_xlfn.ARABIC($H71),MATCH(O71-1,'[1]Normy VP'!$S$10:$V$10),MATCH(O71-1,'[1]Normy VP'!$S$11:$V$11),MATCH(O71-1,'[1]Normy VP'!$S$12:$V$12),MATCH(O71-1,'[1]Normy VP'!$S$13:$V$13),MATCH(O71-1,'[1]Normy VP'!$S$14:$V$14),MATCH(O71-1,'[1]Normy VP'!$S$15:$V$15)))),"O")</f>
        <v>N</v>
      </c>
      <c r="W71" s="34" t="str">
        <f t="shared" si="7"/>
        <v>N</v>
      </c>
      <c r="X71" s="27" t="str">
        <f>IF(COUNTIF(B71:G71,"")&gt;0,"",IF(COUNTIF([1]PP!$A:$A,A71)=0,"neni v PP",IF(OR(Y71="odešel",VLOOKUP(A71,[1]PP!$A:$W,22,FALSE)="odešel"),"odešel",IF(OR(Y71="N",VLOOKUP(A71,[1]PP!$A:$W,22,FALSE)="N"),"N",IF(OR(Y71="C",VLOOKUP(A71,[1]PP!$A:$W,22,FALSE)="C"),"C",IF(OR(Y71="DZO",VLOOKUP(A71,[1]PP!$A:$W,22,FALSE)="DZO"),"DZO",IF(OR(Y71="mise",Y71="disp.",Y71="končí",Y71="DSC",VLOOKUP(A71,[1]PP!$A:$W,22,FALSE)="mise",VLOOKUP(A71,[1]PP!$A:$W,22,FALSE)="disp.",VLOOKUP(A71,[1]PP!$A:$W,22,FALSE)="končí",VLOOKUP(A71,[1]PP!$A:$W,22,FALSE)="DSC"),"jiné",IF(OR(Y71=4,VLOOKUP(A71,[1]PP!$A:$W,22,FALSE)=4),4,IF(OR(Y71=3,VLOOKUP(A71,[1]PP!$A:$W,22,FALSE)=3),3,IF(OR(Y71=2,VLOOKUP(A71,[1]PP!$A:$W,22,FALSE)=2),2,IF(AND(Y71=1,VLOOKUP(A71,[1]PP!$A:$W,22,FALSE)=1),1)))))))))))</f>
        <v/>
      </c>
      <c r="Y71" s="28" t="str">
        <f>IF(COUNTIF(B71:G71,"")&gt;0,"",IF(COUNTIF([1]PP!$A:$A,A71)=0,"neni v PP",IF(VLOOKUP(A71,[1]PP!$A:$W,8,FALSE)="odešel","odešel",IF(F71="","",IF(J71="",IF(OR(T71=4,W71=4),4,IF(AND(T71="N",W71="N"),"N",IF(OR(T71="N",W71="N"),4,ROUND(AVERAGE(T71,W71),0)))),J71)))))</f>
        <v/>
      </c>
      <c r="Z71" s="29" t="str">
        <f>IF(COUNTIF(B71:G71,"")=0,IF(X71="neni v PP",CONCATENATE("ID: &lt;",A71,"&gt; se neshoduje s žádným IDem v kartě PP"),IF(COUNTIF($A:$A,A71)&gt;1,CONCATENATE("ID: &lt;",A71,"&gt; se v kartě VP opakuje. Je nutné tyto IDy od sebe odlišit, např. mezerou za příjmením."),IF(COUNTIF([1]PP!A:A,A71)&gt;1,CONCATENATE("ID: &lt;",A71,"&gt; se v kartě PP opakuje. Je nutné tyto IDy od sebe odlišit, např. mezerou za příjmením."),IF(VLOOKUP(A71,[1]PP!$A:$W,5,FALSE)&lt;&gt;E71,CONCATENATE($E$4," &lt;",E71,"&gt; se neshoduje s jednotkou v kartě PP"," &lt;",VLOOKUP(A71,[1]PP!$A:$W,5,FALSE),"&gt;"),IF(AND(COUNTIF(K71:O71,"")&lt;5,J71="",I71=""),CONCATENATE("Doplň: ",$I$4),IF(AND(YEAR(I71)&lt;&gt;$E$2,COUNTIF(I71,"")=0),CONCATENATE("špatně uveden &lt;",$D$2,"&gt; nebo &lt;",$I$4,"&gt;"),IF(OR(AND(OR(COUNTIF(C71,"*a"),COUNTIF(C71,"*ie"),COUNTIF(C71,"*ine"),COUNTIF(D71,"*Á")),F71="muž"),AND(AND(COUNTIF(C71,"&lt;&gt;"&amp;"*a"),COUNTIF(C71,"&lt;&gt;"&amp;"*ie"),COUNTIF(C71,"&lt;&gt;"&amp;"*ine"),COUNTIF(D71,"&lt;&gt;"&amp;"*Á")),F71="žena")),CONCATENATE(C71," ",D71," je ",F71,"?"),""))))))),IF(COUNTIF(B71:O71,"")=14,"",CONCATENATE("Doplň: ",IF(B71="",CONCATENATE($B$4,IF(COUNTIF(C71:G71,"")=0,"",", ")),""),IF(C71="",CONCATENATE($C$4,IF(COUNTIF(D71:G71,"")=0,"",", ")),""),IF(D71="",CONCATENATE($D$4,IF(COUNTIF(E71:G71,"")=0,"",", ")),""),IF(E71="",CONCATENATE($E$4,IF(COUNTIF(F71:G71,"")=0,"",", ")),""),IF(F71="",CONCATENATE($F$4,IF(G71="",", ","")),""),IF(G71="",$G$4,""))))</f>
        <v/>
      </c>
      <c r="AA71" s="30"/>
    </row>
    <row r="72" spans="1:27" ht="16" x14ac:dyDescent="0.35">
      <c r="A72" s="14" t="str">
        <f t="shared" si="4"/>
        <v xml:space="preserve">  </v>
      </c>
      <c r="B72" s="15"/>
      <c r="C72" s="31"/>
      <c r="D72" s="31"/>
      <c r="E72" s="17"/>
      <c r="F72" s="18"/>
      <c r="G72" s="32"/>
      <c r="H72" s="33" t="str">
        <f>IF(G72="","",IF(F72="žena",ROMAN(MATCH(G72+1,'[1]Normy VP'!$Y$27:$Y$33,-1)),ROMAN(MATCH(G72+1,'[1]Normy VP'!$Y$19:$Y$25,-1))))</f>
        <v/>
      </c>
      <c r="I72" s="21"/>
      <c r="J72" s="22"/>
      <c r="K72" s="23"/>
      <c r="L72" s="23"/>
      <c r="M72" s="23"/>
      <c r="N72" s="22"/>
      <c r="O72" s="22"/>
      <c r="P72" s="24" t="str">
        <f>IF(OR($J72="",$J72="odešel"),IF(K72="","",IF($F72="žena",CHOOSE(_xlfn.ARABIC($H72),MATCH(K72+1,'[1]Normy VP'!$C$25:$F$25,-1),MATCH(K72+1,'[1]Normy VP'!$C$26:$F$26,-1),MATCH(K72+1,'[1]Normy VP'!$C$27:$F$27,-1),MATCH(K72+1,'[1]Normy VP'!$C$28:$F$28,-1),MATCH(K72+1,'[1]Normy VP'!$C$29:$F$29,-1),"muž"),CHOOSE(_xlfn.ARABIC($H72),MATCH(K72+1,'[1]Normy VP'!$C$10:$F$10,-1),MATCH(K72+1,'[1]Normy VP'!$C$11:$F$11,-1),MATCH(K72+1,'[1]Normy VP'!$C$12:$F$12,-1),MATCH(K72+1,'[1]Normy VP'!$C$13:$F$13,-1),MATCH(K72+1,'[1]Normy VP'!$C$14:$F$14,-1),""))),"O")</f>
        <v/>
      </c>
      <c r="Q72" s="24" t="str">
        <f>IF(OR($J72="",$J72="odešel"),IF($F72="žena","",IF(L72="","",(CHOOSE(_xlfn.ARABIC($H72),MATCH(L72+1,'[1]Normy VP'!$G$10:$J$10,-1),MATCH(L72+1,'[1]Normy VP'!$G$11:$J$11,-1),MATCH(L72+1,'[1]Normy VP'!$G$12:$J$12,-1),MATCH(L72+1,'[1]Normy VP'!$G$13:$J$13,-1),MATCH(L72+1,'[1]Normy VP'!$G$14:$J$14,-1),"")))),"O")</f>
        <v/>
      </c>
      <c r="R72" s="34" t="str">
        <f t="shared" si="5"/>
        <v>N</v>
      </c>
      <c r="S72" s="24" t="str">
        <f>IF(OR($J72="",$J72="odešel"),IF(M72="","N",IF($F72="žena",CHOOSE(_xlfn.ARABIC($H72),MATCH(M72+1,'[1]Normy VP'!$G$25:$J$25,-1),MATCH(M72+1,'[1]Normy VP'!$G$26:$J$26,-1),MATCH(M72+1,'[1]Normy VP'!$G$27:$J$27,-1),MATCH(M72+1,'[1]Normy VP'!$G$28:$J$28,-1),MATCH(M72+1,'[1]Normy VP'!$G$29:$J$29,-1),"muž"),(CHOOSE(_xlfn.ARABIC($H72),MATCH(M72+1,'[1]Normy VP'!$K$10:$N$10,-1),MATCH(M72+1,'[1]Normy VP'!$K$11:$N$11,-1),MATCH(M72+1,'[1]Normy VP'!$K$12:$N$12,-1),MATCH(M72+1,'[1]Normy VP'!$K$13:$N$13,-1),MATCH(M72+1,'[1]Normy VP'!$K$14:$N$14,-1),"")))),"O")</f>
        <v>N</v>
      </c>
      <c r="T72" s="34" t="str">
        <f t="shared" si="6"/>
        <v>N</v>
      </c>
      <c r="U72" s="24" t="str">
        <f>IF(OR($J72="",$J72="odešel"),IF(N72="","N",IF($F72="žena",CHOOSE(_xlfn.ARABIC($H72),MATCH(N72+1,'[1]Normy VP'!$K$25:$N$25,-1),MATCH(N72+1,'[1]Normy VP'!$K$26:$N$26,-1),MATCH(N72+1,'[1]Normy VP'!$K$27:$N$27,-1),MATCH(N72+1,'[1]Normy VP'!$K$28:$N$28,-1),MATCH(N72+1,'[1]Normy VP'!$K$29:$N$29,-1),MATCH(N72+1,'[1]Normy VP'!$K$30:$N$30,-1)),CHOOSE(_xlfn.ARABIC($H72),MATCH(N72+1,'[1]Normy VP'!$O$10:$R$10,-1),MATCH(N72+1,'[1]Normy VP'!$O$11:$R$11,-1),MATCH(N72+1,'[1]Normy VP'!$O$12:$R$12,-1),MATCH(N72+1,'[1]Normy VP'!$O$13:$R$13,-1),MATCH(N72+1,'[1]Normy VP'!$O$14:$R$14,-1),MATCH(N72+1,'[1]Normy VP'!$O$15:$R$15,-1)))),"O")</f>
        <v>N</v>
      </c>
      <c r="V72" s="26" t="str">
        <f>IF(OR($J72="",$J72="odešel"),IF(O72="","N",IF($F72="žena",CHOOSE(_xlfn.ARABIC($H72),MATCH(O72-1,'[1]Normy VP'!$O$25:$R$25),MATCH(O72-1,'[1]Normy VP'!$O$26:$R$26),MATCH(O72-1,'[1]Normy VP'!$O$27:$R$27),MATCH(O72-1,'[1]Normy VP'!$O$28:$R$28),MATCH(O72-1,'[1]Normy VP'!$O$29:$R$29),MATCH(O72-1,'[1]Normy VP'!$O$30:$R$30)),CHOOSE(_xlfn.ARABIC($H72),MATCH(O72-1,'[1]Normy VP'!$S$10:$V$10),MATCH(O72-1,'[1]Normy VP'!$S$11:$V$11),MATCH(O72-1,'[1]Normy VP'!$S$12:$V$12),MATCH(O72-1,'[1]Normy VP'!$S$13:$V$13),MATCH(O72-1,'[1]Normy VP'!$S$14:$V$14),MATCH(O72-1,'[1]Normy VP'!$S$15:$V$15)))),"O")</f>
        <v>N</v>
      </c>
      <c r="W72" s="34" t="str">
        <f t="shared" si="7"/>
        <v>N</v>
      </c>
      <c r="X72" s="27" t="str">
        <f>IF(COUNTIF(B72:G72,"")&gt;0,"",IF(COUNTIF([1]PP!$A:$A,A72)=0,"neni v PP",IF(OR(Y72="odešel",VLOOKUP(A72,[1]PP!$A:$W,22,FALSE)="odešel"),"odešel",IF(OR(Y72="N",VLOOKUP(A72,[1]PP!$A:$W,22,FALSE)="N"),"N",IF(OR(Y72="C",VLOOKUP(A72,[1]PP!$A:$W,22,FALSE)="C"),"C",IF(OR(Y72="DZO",VLOOKUP(A72,[1]PP!$A:$W,22,FALSE)="DZO"),"DZO",IF(OR(Y72="mise",Y72="disp.",Y72="končí",Y72="DSC",VLOOKUP(A72,[1]PP!$A:$W,22,FALSE)="mise",VLOOKUP(A72,[1]PP!$A:$W,22,FALSE)="disp.",VLOOKUP(A72,[1]PP!$A:$W,22,FALSE)="končí",VLOOKUP(A72,[1]PP!$A:$W,22,FALSE)="DSC"),"jiné",IF(OR(Y72=4,VLOOKUP(A72,[1]PP!$A:$W,22,FALSE)=4),4,IF(OR(Y72=3,VLOOKUP(A72,[1]PP!$A:$W,22,FALSE)=3),3,IF(OR(Y72=2,VLOOKUP(A72,[1]PP!$A:$W,22,FALSE)=2),2,IF(AND(Y72=1,VLOOKUP(A72,[1]PP!$A:$W,22,FALSE)=1),1)))))))))))</f>
        <v/>
      </c>
      <c r="Y72" s="28" t="str">
        <f>IF(COUNTIF(B72:G72,"")&gt;0,"",IF(COUNTIF([1]PP!$A:$A,A72)=0,"neni v PP",IF(VLOOKUP(A72,[1]PP!$A:$W,8,FALSE)="odešel","odešel",IF(F72="","",IF(J72="",IF(OR(T72=4,W72=4),4,IF(AND(T72="N",W72="N"),"N",IF(OR(T72="N",W72="N"),4,ROUND(AVERAGE(T72,W72),0)))),J72)))))</f>
        <v/>
      </c>
      <c r="Z72" s="29" t="str">
        <f>IF(COUNTIF(B72:G72,"")=0,IF(X72="neni v PP",CONCATENATE("ID: &lt;",A72,"&gt; se neshoduje s žádným IDem v kartě PP"),IF(COUNTIF($A:$A,A72)&gt;1,CONCATENATE("ID: &lt;",A72,"&gt; se v kartě VP opakuje. Je nutné tyto IDy od sebe odlišit, např. mezerou za příjmením."),IF(COUNTIF([1]PP!A:A,A72)&gt;1,CONCATENATE("ID: &lt;",A72,"&gt; se v kartě PP opakuje. Je nutné tyto IDy od sebe odlišit, např. mezerou za příjmením."),IF(VLOOKUP(A72,[1]PP!$A:$W,5,FALSE)&lt;&gt;E72,CONCATENATE($E$4," &lt;",E72,"&gt; se neshoduje s jednotkou v kartě PP"," &lt;",VLOOKUP(A72,[1]PP!$A:$W,5,FALSE),"&gt;"),IF(AND(COUNTIF(K72:O72,"")&lt;5,J72="",I72=""),CONCATENATE("Doplň: ",$I$4),IF(AND(YEAR(I72)&lt;&gt;$E$2,COUNTIF(I72,"")=0),CONCATENATE("špatně uveden &lt;",$D$2,"&gt; nebo &lt;",$I$4,"&gt;"),IF(OR(AND(OR(COUNTIF(C72,"*a"),COUNTIF(C72,"*ie"),COUNTIF(C72,"*ine"),COUNTIF(D72,"*Á")),F72="muž"),AND(AND(COUNTIF(C72,"&lt;&gt;"&amp;"*a"),COUNTIF(C72,"&lt;&gt;"&amp;"*ie"),COUNTIF(C72,"&lt;&gt;"&amp;"*ine"),COUNTIF(D72,"&lt;&gt;"&amp;"*Á")),F72="žena")),CONCATENATE(C72," ",D72," je ",F72,"?"),""))))))),IF(COUNTIF(B72:O72,"")=14,"",CONCATENATE("Doplň: ",IF(B72="",CONCATENATE($B$4,IF(COUNTIF(C72:G72,"")=0,"",", ")),""),IF(C72="",CONCATENATE($C$4,IF(COUNTIF(D72:G72,"")=0,"",", ")),""),IF(D72="",CONCATENATE($D$4,IF(COUNTIF(E72:G72,"")=0,"",", ")),""),IF(E72="",CONCATENATE($E$4,IF(COUNTIF(F72:G72,"")=0,"",", ")),""),IF(F72="",CONCATENATE($F$4,IF(G72="",", ","")),""),IF(G72="",$G$4,""))))</f>
        <v/>
      </c>
      <c r="AA72" s="30"/>
    </row>
    <row r="73" spans="1:27" ht="16" x14ac:dyDescent="0.35">
      <c r="A73" s="14" t="str">
        <f t="shared" si="4"/>
        <v xml:space="preserve">  </v>
      </c>
      <c r="B73" s="15"/>
      <c r="C73" s="35"/>
      <c r="D73" s="35"/>
      <c r="E73" s="17"/>
      <c r="F73" s="18"/>
      <c r="G73" s="32"/>
      <c r="H73" s="33" t="str">
        <f>IF(G73="","",IF(F73="žena",ROMAN(MATCH(G73+1,'[1]Normy VP'!$Y$27:$Y$33,-1)),ROMAN(MATCH(G73+1,'[1]Normy VP'!$Y$19:$Y$25,-1))))</f>
        <v/>
      </c>
      <c r="I73" s="21"/>
      <c r="J73" s="22"/>
      <c r="K73" s="23"/>
      <c r="L73" s="23"/>
      <c r="M73" s="23"/>
      <c r="N73" s="22"/>
      <c r="O73" s="22"/>
      <c r="P73" s="24" t="str">
        <f>IF(OR($J73="",$J73="odešel"),IF(K73="","",IF($F73="žena",CHOOSE(_xlfn.ARABIC($H73),MATCH(K73+1,'[1]Normy VP'!$C$25:$F$25,-1),MATCH(K73+1,'[1]Normy VP'!$C$26:$F$26,-1),MATCH(K73+1,'[1]Normy VP'!$C$27:$F$27,-1),MATCH(K73+1,'[1]Normy VP'!$C$28:$F$28,-1),MATCH(K73+1,'[1]Normy VP'!$C$29:$F$29,-1),"muž"),CHOOSE(_xlfn.ARABIC($H73),MATCH(K73+1,'[1]Normy VP'!$C$10:$F$10,-1),MATCH(K73+1,'[1]Normy VP'!$C$11:$F$11,-1),MATCH(K73+1,'[1]Normy VP'!$C$12:$F$12,-1),MATCH(K73+1,'[1]Normy VP'!$C$13:$F$13,-1),MATCH(K73+1,'[1]Normy VP'!$C$14:$F$14,-1),""))),"O")</f>
        <v/>
      </c>
      <c r="Q73" s="24" t="str">
        <f>IF(OR($J73="",$J73="odešel"),IF($F73="žena","",IF(L73="","",(CHOOSE(_xlfn.ARABIC($H73),MATCH(L73+1,'[1]Normy VP'!$G$10:$J$10,-1),MATCH(L73+1,'[1]Normy VP'!$G$11:$J$11,-1),MATCH(L73+1,'[1]Normy VP'!$G$12:$J$12,-1),MATCH(L73+1,'[1]Normy VP'!$G$13:$J$13,-1),MATCH(L73+1,'[1]Normy VP'!$G$14:$J$14,-1),"")))),"O")</f>
        <v/>
      </c>
      <c r="R73" s="34" t="str">
        <f t="shared" si="5"/>
        <v>N</v>
      </c>
      <c r="S73" s="24" t="str">
        <f>IF(OR($J73="",$J73="odešel"),IF(M73="","N",IF($F73="žena",CHOOSE(_xlfn.ARABIC($H73),MATCH(M73+1,'[1]Normy VP'!$G$25:$J$25,-1),MATCH(M73+1,'[1]Normy VP'!$G$26:$J$26,-1),MATCH(M73+1,'[1]Normy VP'!$G$27:$J$27,-1),MATCH(M73+1,'[1]Normy VP'!$G$28:$J$28,-1),MATCH(M73+1,'[1]Normy VP'!$G$29:$J$29,-1),"muž"),(CHOOSE(_xlfn.ARABIC($H73),MATCH(M73+1,'[1]Normy VP'!$K$10:$N$10,-1),MATCH(M73+1,'[1]Normy VP'!$K$11:$N$11,-1),MATCH(M73+1,'[1]Normy VP'!$K$12:$N$12,-1),MATCH(M73+1,'[1]Normy VP'!$K$13:$N$13,-1),MATCH(M73+1,'[1]Normy VP'!$K$14:$N$14,-1),"")))),"O")</f>
        <v>N</v>
      </c>
      <c r="T73" s="34" t="str">
        <f t="shared" si="6"/>
        <v>N</v>
      </c>
      <c r="U73" s="24" t="str">
        <f>IF(OR($J73="",$J73="odešel"),IF(N73="","N",IF($F73="žena",CHOOSE(_xlfn.ARABIC($H73),MATCH(N73+1,'[1]Normy VP'!$K$25:$N$25,-1),MATCH(N73+1,'[1]Normy VP'!$K$26:$N$26,-1),MATCH(N73+1,'[1]Normy VP'!$K$27:$N$27,-1),MATCH(N73+1,'[1]Normy VP'!$K$28:$N$28,-1),MATCH(N73+1,'[1]Normy VP'!$K$29:$N$29,-1),MATCH(N73+1,'[1]Normy VP'!$K$30:$N$30,-1)),CHOOSE(_xlfn.ARABIC($H73),MATCH(N73+1,'[1]Normy VP'!$O$10:$R$10,-1),MATCH(N73+1,'[1]Normy VP'!$O$11:$R$11,-1),MATCH(N73+1,'[1]Normy VP'!$O$12:$R$12,-1),MATCH(N73+1,'[1]Normy VP'!$O$13:$R$13,-1),MATCH(N73+1,'[1]Normy VP'!$O$14:$R$14,-1),MATCH(N73+1,'[1]Normy VP'!$O$15:$R$15,-1)))),"O")</f>
        <v>N</v>
      </c>
      <c r="V73" s="26" t="str">
        <f>IF(OR($J73="",$J73="odešel"),IF(O73="","N",IF($F73="žena",CHOOSE(_xlfn.ARABIC($H73),MATCH(O73-1,'[1]Normy VP'!$O$25:$R$25),MATCH(O73-1,'[1]Normy VP'!$O$26:$R$26),MATCH(O73-1,'[1]Normy VP'!$O$27:$R$27),MATCH(O73-1,'[1]Normy VP'!$O$28:$R$28),MATCH(O73-1,'[1]Normy VP'!$O$29:$R$29),MATCH(O73-1,'[1]Normy VP'!$O$30:$R$30)),CHOOSE(_xlfn.ARABIC($H73),MATCH(O73-1,'[1]Normy VP'!$S$10:$V$10),MATCH(O73-1,'[1]Normy VP'!$S$11:$V$11),MATCH(O73-1,'[1]Normy VP'!$S$12:$V$12),MATCH(O73-1,'[1]Normy VP'!$S$13:$V$13),MATCH(O73-1,'[1]Normy VP'!$S$14:$V$14),MATCH(O73-1,'[1]Normy VP'!$S$15:$V$15)))),"O")</f>
        <v>N</v>
      </c>
      <c r="W73" s="34" t="str">
        <f t="shared" si="7"/>
        <v>N</v>
      </c>
      <c r="X73" s="27" t="str">
        <f>IF(COUNTIF(B73:G73,"")&gt;0,"",IF(COUNTIF([1]PP!$A:$A,A73)=0,"neni v PP",IF(OR(Y73="odešel",VLOOKUP(A73,[1]PP!$A:$W,22,FALSE)="odešel"),"odešel",IF(OR(Y73="N",VLOOKUP(A73,[1]PP!$A:$W,22,FALSE)="N"),"N",IF(OR(Y73="C",VLOOKUP(A73,[1]PP!$A:$W,22,FALSE)="C"),"C",IF(OR(Y73="DZO",VLOOKUP(A73,[1]PP!$A:$W,22,FALSE)="DZO"),"DZO",IF(OR(Y73="mise",Y73="disp.",Y73="končí",Y73="DSC",VLOOKUP(A73,[1]PP!$A:$W,22,FALSE)="mise",VLOOKUP(A73,[1]PP!$A:$W,22,FALSE)="disp.",VLOOKUP(A73,[1]PP!$A:$W,22,FALSE)="končí",VLOOKUP(A73,[1]PP!$A:$W,22,FALSE)="DSC"),"jiné",IF(OR(Y73=4,VLOOKUP(A73,[1]PP!$A:$W,22,FALSE)=4),4,IF(OR(Y73=3,VLOOKUP(A73,[1]PP!$A:$W,22,FALSE)=3),3,IF(OR(Y73=2,VLOOKUP(A73,[1]PP!$A:$W,22,FALSE)=2),2,IF(AND(Y73=1,VLOOKUP(A73,[1]PP!$A:$W,22,FALSE)=1),1)))))))))))</f>
        <v/>
      </c>
      <c r="Y73" s="28" t="str">
        <f>IF(COUNTIF(B73:G73,"")&gt;0,"",IF(COUNTIF([1]PP!$A:$A,A73)=0,"neni v PP",IF(VLOOKUP(A73,[1]PP!$A:$W,8,FALSE)="odešel","odešel",IF(F73="","",IF(J73="",IF(OR(T73=4,W73=4),4,IF(AND(T73="N",W73="N"),"N",IF(OR(T73="N",W73="N"),4,ROUND(AVERAGE(T73,W73),0)))),J73)))))</f>
        <v/>
      </c>
      <c r="Z73" s="29" t="str">
        <f>IF(COUNTIF(B73:G73,"")=0,IF(X73="neni v PP",CONCATENATE("ID: &lt;",A73,"&gt; se neshoduje s žádným IDem v kartě PP"),IF(COUNTIF($A:$A,A73)&gt;1,CONCATENATE("ID: &lt;",A73,"&gt; se v kartě VP opakuje. Je nutné tyto IDy od sebe odlišit, např. mezerou za příjmením."),IF(COUNTIF([1]PP!A:A,A73)&gt;1,CONCATENATE("ID: &lt;",A73,"&gt; se v kartě PP opakuje. Je nutné tyto IDy od sebe odlišit, např. mezerou za příjmením."),IF(VLOOKUP(A73,[1]PP!$A:$W,5,FALSE)&lt;&gt;E73,CONCATENATE($E$4," &lt;",E73,"&gt; se neshoduje s jednotkou v kartě PP"," &lt;",VLOOKUP(A73,[1]PP!$A:$W,5,FALSE),"&gt;"),IF(AND(COUNTIF(K73:O73,"")&lt;5,J73="",I73=""),CONCATENATE("Doplň: ",$I$4),IF(AND(YEAR(I73)&lt;&gt;$E$2,COUNTIF(I73,"")=0),CONCATENATE("špatně uveden &lt;",$D$2,"&gt; nebo &lt;",$I$4,"&gt;"),IF(OR(AND(OR(COUNTIF(C73,"*a"),COUNTIF(C73,"*ie"),COUNTIF(C73,"*ine"),COUNTIF(D73,"*Á")),F73="muž"),AND(AND(COUNTIF(C73,"&lt;&gt;"&amp;"*a"),COUNTIF(C73,"&lt;&gt;"&amp;"*ie"),COUNTIF(C73,"&lt;&gt;"&amp;"*ine"),COUNTIF(D73,"&lt;&gt;"&amp;"*Á")),F73="žena")),CONCATENATE(C73," ",D73," je ",F73,"?"),""))))))),IF(COUNTIF(B73:O73,"")=14,"",CONCATENATE("Doplň: ",IF(B73="",CONCATENATE($B$4,IF(COUNTIF(C73:G73,"")=0,"",", ")),""),IF(C73="",CONCATENATE($C$4,IF(COUNTIF(D73:G73,"")=0,"",", ")),""),IF(D73="",CONCATENATE($D$4,IF(COUNTIF(E73:G73,"")=0,"",", ")),""),IF(E73="",CONCATENATE($E$4,IF(COUNTIF(F73:G73,"")=0,"",", ")),""),IF(F73="",CONCATENATE($F$4,IF(G73="",", ","")),""),IF(G73="",$G$4,""))))</f>
        <v/>
      </c>
      <c r="AA73" s="30"/>
    </row>
    <row r="74" spans="1:27" ht="16" x14ac:dyDescent="0.35">
      <c r="A74" s="14" t="str">
        <f t="shared" si="4"/>
        <v xml:space="preserve">  </v>
      </c>
      <c r="B74" s="15"/>
      <c r="C74" s="31"/>
      <c r="D74" s="31"/>
      <c r="E74" s="17"/>
      <c r="F74" s="18"/>
      <c r="G74" s="32"/>
      <c r="H74" s="33" t="str">
        <f>IF(G74="","",IF(F74="žena",ROMAN(MATCH(G74+1,'[1]Normy VP'!$Y$27:$Y$33,-1)),ROMAN(MATCH(G74+1,'[1]Normy VP'!$Y$19:$Y$25,-1))))</f>
        <v/>
      </c>
      <c r="I74" s="21"/>
      <c r="J74" s="22"/>
      <c r="K74" s="23"/>
      <c r="L74" s="23"/>
      <c r="M74" s="23"/>
      <c r="N74" s="22"/>
      <c r="O74" s="22"/>
      <c r="P74" s="24" t="str">
        <f>IF(OR($J74="",$J74="odešel"),IF(K74="","",IF($F74="žena",CHOOSE(_xlfn.ARABIC($H74),MATCH(K74+1,'[1]Normy VP'!$C$25:$F$25,-1),MATCH(K74+1,'[1]Normy VP'!$C$26:$F$26,-1),MATCH(K74+1,'[1]Normy VP'!$C$27:$F$27,-1),MATCH(K74+1,'[1]Normy VP'!$C$28:$F$28,-1),MATCH(K74+1,'[1]Normy VP'!$C$29:$F$29,-1),"muž"),CHOOSE(_xlfn.ARABIC($H74),MATCH(K74+1,'[1]Normy VP'!$C$10:$F$10,-1),MATCH(K74+1,'[1]Normy VP'!$C$11:$F$11,-1),MATCH(K74+1,'[1]Normy VP'!$C$12:$F$12,-1),MATCH(K74+1,'[1]Normy VP'!$C$13:$F$13,-1),MATCH(K74+1,'[1]Normy VP'!$C$14:$F$14,-1),""))),"O")</f>
        <v/>
      </c>
      <c r="Q74" s="24" t="str">
        <f>IF(OR($J74="",$J74="odešel"),IF($F74="žena","",IF(L74="","",(CHOOSE(_xlfn.ARABIC($H74),MATCH(L74+1,'[1]Normy VP'!$G$10:$J$10,-1),MATCH(L74+1,'[1]Normy VP'!$G$11:$J$11,-1),MATCH(L74+1,'[1]Normy VP'!$G$12:$J$12,-1),MATCH(L74+1,'[1]Normy VP'!$G$13:$J$13,-1),MATCH(L74+1,'[1]Normy VP'!$G$14:$J$14,-1),"")))),"O")</f>
        <v/>
      </c>
      <c r="R74" s="34" t="str">
        <f t="shared" si="5"/>
        <v>N</v>
      </c>
      <c r="S74" s="24" t="str">
        <f>IF(OR($J74="",$J74="odešel"),IF(M74="","N",IF($F74="žena",CHOOSE(_xlfn.ARABIC($H74),MATCH(M74+1,'[1]Normy VP'!$G$25:$J$25,-1),MATCH(M74+1,'[1]Normy VP'!$G$26:$J$26,-1),MATCH(M74+1,'[1]Normy VP'!$G$27:$J$27,-1),MATCH(M74+1,'[1]Normy VP'!$G$28:$J$28,-1),MATCH(M74+1,'[1]Normy VP'!$G$29:$J$29,-1),"muž"),(CHOOSE(_xlfn.ARABIC($H74),MATCH(M74+1,'[1]Normy VP'!$K$10:$N$10,-1),MATCH(M74+1,'[1]Normy VP'!$K$11:$N$11,-1),MATCH(M74+1,'[1]Normy VP'!$K$12:$N$12,-1),MATCH(M74+1,'[1]Normy VP'!$K$13:$N$13,-1),MATCH(M74+1,'[1]Normy VP'!$K$14:$N$14,-1),"")))),"O")</f>
        <v>N</v>
      </c>
      <c r="T74" s="34" t="str">
        <f t="shared" si="6"/>
        <v>N</v>
      </c>
      <c r="U74" s="24" t="str">
        <f>IF(OR($J74="",$J74="odešel"),IF(N74="","N",IF($F74="žena",CHOOSE(_xlfn.ARABIC($H74),MATCH(N74+1,'[1]Normy VP'!$K$25:$N$25,-1),MATCH(N74+1,'[1]Normy VP'!$K$26:$N$26,-1),MATCH(N74+1,'[1]Normy VP'!$K$27:$N$27,-1),MATCH(N74+1,'[1]Normy VP'!$K$28:$N$28,-1),MATCH(N74+1,'[1]Normy VP'!$K$29:$N$29,-1),MATCH(N74+1,'[1]Normy VP'!$K$30:$N$30,-1)),CHOOSE(_xlfn.ARABIC($H74),MATCH(N74+1,'[1]Normy VP'!$O$10:$R$10,-1),MATCH(N74+1,'[1]Normy VP'!$O$11:$R$11,-1),MATCH(N74+1,'[1]Normy VP'!$O$12:$R$12,-1),MATCH(N74+1,'[1]Normy VP'!$O$13:$R$13,-1),MATCH(N74+1,'[1]Normy VP'!$O$14:$R$14,-1),MATCH(N74+1,'[1]Normy VP'!$O$15:$R$15,-1)))),"O")</f>
        <v>N</v>
      </c>
      <c r="V74" s="26" t="str">
        <f>IF(OR($J74="",$J74="odešel"),IF(O74="","N",IF($F74="žena",CHOOSE(_xlfn.ARABIC($H74),MATCH(O74-1,'[1]Normy VP'!$O$25:$R$25),MATCH(O74-1,'[1]Normy VP'!$O$26:$R$26),MATCH(O74-1,'[1]Normy VP'!$O$27:$R$27),MATCH(O74-1,'[1]Normy VP'!$O$28:$R$28),MATCH(O74-1,'[1]Normy VP'!$O$29:$R$29),MATCH(O74-1,'[1]Normy VP'!$O$30:$R$30)),CHOOSE(_xlfn.ARABIC($H74),MATCH(O74-1,'[1]Normy VP'!$S$10:$V$10),MATCH(O74-1,'[1]Normy VP'!$S$11:$V$11),MATCH(O74-1,'[1]Normy VP'!$S$12:$V$12),MATCH(O74-1,'[1]Normy VP'!$S$13:$V$13),MATCH(O74-1,'[1]Normy VP'!$S$14:$V$14),MATCH(O74-1,'[1]Normy VP'!$S$15:$V$15)))),"O")</f>
        <v>N</v>
      </c>
      <c r="W74" s="34" t="str">
        <f t="shared" si="7"/>
        <v>N</v>
      </c>
      <c r="X74" s="27" t="str">
        <f>IF(COUNTIF(B74:G74,"")&gt;0,"",IF(COUNTIF([1]PP!$A:$A,A74)=0,"neni v PP",IF(OR(Y74="odešel",VLOOKUP(A74,[1]PP!$A:$W,22,FALSE)="odešel"),"odešel",IF(OR(Y74="N",VLOOKUP(A74,[1]PP!$A:$W,22,FALSE)="N"),"N",IF(OR(Y74="C",VLOOKUP(A74,[1]PP!$A:$W,22,FALSE)="C"),"C",IF(OR(Y74="DZO",VLOOKUP(A74,[1]PP!$A:$W,22,FALSE)="DZO"),"DZO",IF(OR(Y74="mise",Y74="disp.",Y74="končí",Y74="DSC",VLOOKUP(A74,[1]PP!$A:$W,22,FALSE)="mise",VLOOKUP(A74,[1]PP!$A:$W,22,FALSE)="disp.",VLOOKUP(A74,[1]PP!$A:$W,22,FALSE)="končí",VLOOKUP(A74,[1]PP!$A:$W,22,FALSE)="DSC"),"jiné",IF(OR(Y74=4,VLOOKUP(A74,[1]PP!$A:$W,22,FALSE)=4),4,IF(OR(Y74=3,VLOOKUP(A74,[1]PP!$A:$W,22,FALSE)=3),3,IF(OR(Y74=2,VLOOKUP(A74,[1]PP!$A:$W,22,FALSE)=2),2,IF(AND(Y74=1,VLOOKUP(A74,[1]PP!$A:$W,22,FALSE)=1),1)))))))))))</f>
        <v/>
      </c>
      <c r="Y74" s="28" t="str">
        <f>IF(COUNTIF(B74:G74,"")&gt;0,"",IF(COUNTIF([1]PP!$A:$A,A74)=0,"neni v PP",IF(VLOOKUP(A74,[1]PP!$A:$W,8,FALSE)="odešel","odešel",IF(F74="","",IF(J74="",IF(OR(T74=4,W74=4),4,IF(AND(T74="N",W74="N"),"N",IF(OR(T74="N",W74="N"),4,ROUND(AVERAGE(T74,W74),0)))),J74)))))</f>
        <v/>
      </c>
      <c r="Z74" s="29" t="str">
        <f>IF(COUNTIF(B74:G74,"")=0,IF(X74="neni v PP",CONCATENATE("ID: &lt;",A74,"&gt; se neshoduje s žádným IDem v kartě PP"),IF(COUNTIF($A:$A,A74)&gt;1,CONCATENATE("ID: &lt;",A74,"&gt; se v kartě VP opakuje. Je nutné tyto IDy od sebe odlišit, např. mezerou za příjmením."),IF(COUNTIF([1]PP!A:A,A74)&gt;1,CONCATENATE("ID: &lt;",A74,"&gt; se v kartě PP opakuje. Je nutné tyto IDy od sebe odlišit, např. mezerou za příjmením."),IF(VLOOKUP(A74,[1]PP!$A:$W,5,FALSE)&lt;&gt;E74,CONCATENATE($E$4," &lt;",E74,"&gt; se neshoduje s jednotkou v kartě PP"," &lt;",VLOOKUP(A74,[1]PP!$A:$W,5,FALSE),"&gt;"),IF(AND(COUNTIF(K74:O74,"")&lt;5,J74="",I74=""),CONCATENATE("Doplň: ",$I$4),IF(AND(YEAR(I74)&lt;&gt;$E$2,COUNTIF(I74,"")=0),CONCATENATE("špatně uveden &lt;",$D$2,"&gt; nebo &lt;",$I$4,"&gt;"),IF(OR(AND(OR(COUNTIF(C74,"*a"),COUNTIF(C74,"*ie"),COUNTIF(C74,"*ine"),COUNTIF(D74,"*Á")),F74="muž"),AND(AND(COUNTIF(C74,"&lt;&gt;"&amp;"*a"),COUNTIF(C74,"&lt;&gt;"&amp;"*ie"),COUNTIF(C74,"&lt;&gt;"&amp;"*ine"),COUNTIF(D74,"&lt;&gt;"&amp;"*Á")),F74="žena")),CONCATENATE(C74," ",D74," je ",F74,"?"),""))))))),IF(COUNTIF(B74:O74,"")=14,"",CONCATENATE("Doplň: ",IF(B74="",CONCATENATE($B$4,IF(COUNTIF(C74:G74,"")=0,"",", ")),""),IF(C74="",CONCATENATE($C$4,IF(COUNTIF(D74:G74,"")=0,"",", ")),""),IF(D74="",CONCATENATE($D$4,IF(COUNTIF(E74:G74,"")=0,"",", ")),""),IF(E74="",CONCATENATE($E$4,IF(COUNTIF(F74:G74,"")=0,"",", ")),""),IF(F74="",CONCATENATE($F$4,IF(G74="",", ","")),""),IF(G74="",$G$4,""))))</f>
        <v/>
      </c>
      <c r="AA74" s="30"/>
    </row>
    <row r="75" spans="1:27" ht="16" x14ac:dyDescent="0.35">
      <c r="A75" s="14" t="str">
        <f t="shared" si="4"/>
        <v xml:space="preserve">  </v>
      </c>
      <c r="B75" s="15"/>
      <c r="C75" s="31"/>
      <c r="D75" s="31"/>
      <c r="E75" s="17"/>
      <c r="F75" s="18"/>
      <c r="G75" s="32"/>
      <c r="H75" s="33" t="str">
        <f>IF(G75="","",IF(F75="žena",ROMAN(MATCH(G75+1,'[1]Normy VP'!$Y$27:$Y$33,-1)),ROMAN(MATCH(G75+1,'[1]Normy VP'!$Y$19:$Y$25,-1))))</f>
        <v/>
      </c>
      <c r="I75" s="21"/>
      <c r="J75" s="22"/>
      <c r="K75" s="23"/>
      <c r="L75" s="23"/>
      <c r="M75" s="23"/>
      <c r="N75" s="22"/>
      <c r="O75" s="22"/>
      <c r="P75" s="24" t="str">
        <f>IF(OR($J75="",$J75="odešel"),IF(K75="","",IF($F75="žena",CHOOSE(_xlfn.ARABIC($H75),MATCH(K75+1,'[1]Normy VP'!$C$25:$F$25,-1),MATCH(K75+1,'[1]Normy VP'!$C$26:$F$26,-1),MATCH(K75+1,'[1]Normy VP'!$C$27:$F$27,-1),MATCH(K75+1,'[1]Normy VP'!$C$28:$F$28,-1),MATCH(K75+1,'[1]Normy VP'!$C$29:$F$29,-1),"muž"),CHOOSE(_xlfn.ARABIC($H75),MATCH(K75+1,'[1]Normy VP'!$C$10:$F$10,-1),MATCH(K75+1,'[1]Normy VP'!$C$11:$F$11,-1),MATCH(K75+1,'[1]Normy VP'!$C$12:$F$12,-1),MATCH(K75+1,'[1]Normy VP'!$C$13:$F$13,-1),MATCH(K75+1,'[1]Normy VP'!$C$14:$F$14,-1),""))),"O")</f>
        <v/>
      </c>
      <c r="Q75" s="24" t="str">
        <f>IF(OR($J75="",$J75="odešel"),IF($F75="žena","",IF(L75="","",(CHOOSE(_xlfn.ARABIC($H75),MATCH(L75+1,'[1]Normy VP'!$G$10:$J$10,-1),MATCH(L75+1,'[1]Normy VP'!$G$11:$J$11,-1),MATCH(L75+1,'[1]Normy VP'!$G$12:$J$12,-1),MATCH(L75+1,'[1]Normy VP'!$G$13:$J$13,-1),MATCH(L75+1,'[1]Normy VP'!$G$14:$J$14,-1),"")))),"O")</f>
        <v/>
      </c>
      <c r="R75" s="34" t="str">
        <f t="shared" si="5"/>
        <v>N</v>
      </c>
      <c r="S75" s="24" t="str">
        <f>IF(OR($J75="",$J75="odešel"),IF(M75="","N",IF($F75="žena",CHOOSE(_xlfn.ARABIC($H75),MATCH(M75+1,'[1]Normy VP'!$G$25:$J$25,-1),MATCH(M75+1,'[1]Normy VP'!$G$26:$J$26,-1),MATCH(M75+1,'[1]Normy VP'!$G$27:$J$27,-1),MATCH(M75+1,'[1]Normy VP'!$G$28:$J$28,-1),MATCH(M75+1,'[1]Normy VP'!$G$29:$J$29,-1),"muž"),(CHOOSE(_xlfn.ARABIC($H75),MATCH(M75+1,'[1]Normy VP'!$K$10:$N$10,-1),MATCH(M75+1,'[1]Normy VP'!$K$11:$N$11,-1),MATCH(M75+1,'[1]Normy VP'!$K$12:$N$12,-1),MATCH(M75+1,'[1]Normy VP'!$K$13:$N$13,-1),MATCH(M75+1,'[1]Normy VP'!$K$14:$N$14,-1),"")))),"O")</f>
        <v>N</v>
      </c>
      <c r="T75" s="34" t="str">
        <f t="shared" si="6"/>
        <v>N</v>
      </c>
      <c r="U75" s="24" t="str">
        <f>IF(OR($J75="",$J75="odešel"),IF(N75="","N",IF($F75="žena",CHOOSE(_xlfn.ARABIC($H75),MATCH(N75+1,'[1]Normy VP'!$K$25:$N$25,-1),MATCH(N75+1,'[1]Normy VP'!$K$26:$N$26,-1),MATCH(N75+1,'[1]Normy VP'!$K$27:$N$27,-1),MATCH(N75+1,'[1]Normy VP'!$K$28:$N$28,-1),MATCH(N75+1,'[1]Normy VP'!$K$29:$N$29,-1),MATCH(N75+1,'[1]Normy VP'!$K$30:$N$30,-1)),CHOOSE(_xlfn.ARABIC($H75),MATCH(N75+1,'[1]Normy VP'!$O$10:$R$10,-1),MATCH(N75+1,'[1]Normy VP'!$O$11:$R$11,-1),MATCH(N75+1,'[1]Normy VP'!$O$12:$R$12,-1),MATCH(N75+1,'[1]Normy VP'!$O$13:$R$13,-1),MATCH(N75+1,'[1]Normy VP'!$O$14:$R$14,-1),MATCH(N75+1,'[1]Normy VP'!$O$15:$R$15,-1)))),"O")</f>
        <v>N</v>
      </c>
      <c r="V75" s="26" t="str">
        <f>IF(OR($J75="",$J75="odešel"),IF(O75="","N",IF($F75="žena",CHOOSE(_xlfn.ARABIC($H75),MATCH(O75-1,'[1]Normy VP'!$O$25:$R$25),MATCH(O75-1,'[1]Normy VP'!$O$26:$R$26),MATCH(O75-1,'[1]Normy VP'!$O$27:$R$27),MATCH(O75-1,'[1]Normy VP'!$O$28:$R$28),MATCH(O75-1,'[1]Normy VP'!$O$29:$R$29),MATCH(O75-1,'[1]Normy VP'!$O$30:$R$30)),CHOOSE(_xlfn.ARABIC($H75),MATCH(O75-1,'[1]Normy VP'!$S$10:$V$10),MATCH(O75-1,'[1]Normy VP'!$S$11:$V$11),MATCH(O75-1,'[1]Normy VP'!$S$12:$V$12),MATCH(O75-1,'[1]Normy VP'!$S$13:$V$13),MATCH(O75-1,'[1]Normy VP'!$S$14:$V$14),MATCH(O75-1,'[1]Normy VP'!$S$15:$V$15)))),"O")</f>
        <v>N</v>
      </c>
      <c r="W75" s="34" t="str">
        <f t="shared" si="7"/>
        <v>N</v>
      </c>
      <c r="X75" s="27" t="str">
        <f>IF(COUNTIF(B75:G75,"")&gt;0,"",IF(COUNTIF([1]PP!$A:$A,A75)=0,"neni v PP",IF(OR(Y75="odešel",VLOOKUP(A75,[1]PP!$A:$W,22,FALSE)="odešel"),"odešel",IF(OR(Y75="N",VLOOKUP(A75,[1]PP!$A:$W,22,FALSE)="N"),"N",IF(OR(Y75="C",VLOOKUP(A75,[1]PP!$A:$W,22,FALSE)="C"),"C",IF(OR(Y75="DZO",VLOOKUP(A75,[1]PP!$A:$W,22,FALSE)="DZO"),"DZO",IF(OR(Y75="mise",Y75="disp.",Y75="končí",Y75="DSC",VLOOKUP(A75,[1]PP!$A:$W,22,FALSE)="mise",VLOOKUP(A75,[1]PP!$A:$W,22,FALSE)="disp.",VLOOKUP(A75,[1]PP!$A:$W,22,FALSE)="končí",VLOOKUP(A75,[1]PP!$A:$W,22,FALSE)="DSC"),"jiné",IF(OR(Y75=4,VLOOKUP(A75,[1]PP!$A:$W,22,FALSE)=4),4,IF(OR(Y75=3,VLOOKUP(A75,[1]PP!$A:$W,22,FALSE)=3),3,IF(OR(Y75=2,VLOOKUP(A75,[1]PP!$A:$W,22,FALSE)=2),2,IF(AND(Y75=1,VLOOKUP(A75,[1]PP!$A:$W,22,FALSE)=1),1)))))))))))</f>
        <v/>
      </c>
      <c r="Y75" s="28" t="str">
        <f>IF(COUNTIF(B75:G75,"")&gt;0,"",IF(COUNTIF([1]PP!$A:$A,A75)=0,"neni v PP",IF(VLOOKUP(A75,[1]PP!$A:$W,8,FALSE)="odešel","odešel",IF(F75="","",IF(J75="",IF(OR(T75=4,W75=4),4,IF(AND(T75="N",W75="N"),"N",IF(OR(T75="N",W75="N"),4,ROUND(AVERAGE(T75,W75),0)))),J75)))))</f>
        <v/>
      </c>
      <c r="Z75" s="29" t="str">
        <f>IF(COUNTIF(B75:G75,"")=0,IF(X75="neni v PP",CONCATENATE("ID: &lt;",A75,"&gt; se neshoduje s žádným IDem v kartě PP"),IF(COUNTIF($A:$A,A75)&gt;1,CONCATENATE("ID: &lt;",A75,"&gt; se v kartě VP opakuje. Je nutné tyto IDy od sebe odlišit, např. mezerou za příjmením."),IF(COUNTIF([1]PP!A:A,A75)&gt;1,CONCATENATE("ID: &lt;",A75,"&gt; se v kartě PP opakuje. Je nutné tyto IDy od sebe odlišit, např. mezerou za příjmením."),IF(VLOOKUP(A75,[1]PP!$A:$W,5,FALSE)&lt;&gt;E75,CONCATENATE($E$4," &lt;",E75,"&gt; se neshoduje s jednotkou v kartě PP"," &lt;",VLOOKUP(A75,[1]PP!$A:$W,5,FALSE),"&gt;"),IF(AND(COUNTIF(K75:O75,"")&lt;5,J75="",I75=""),CONCATENATE("Doplň: ",$I$4),IF(AND(YEAR(I75)&lt;&gt;$E$2,COUNTIF(I75,"")=0),CONCATENATE("špatně uveden &lt;",$D$2,"&gt; nebo &lt;",$I$4,"&gt;"),IF(OR(AND(OR(COUNTIF(C75,"*a"),COUNTIF(C75,"*ie"),COUNTIF(C75,"*ine"),COUNTIF(D75,"*Á")),F75="muž"),AND(AND(COUNTIF(C75,"&lt;&gt;"&amp;"*a"),COUNTIF(C75,"&lt;&gt;"&amp;"*ie"),COUNTIF(C75,"&lt;&gt;"&amp;"*ine"),COUNTIF(D75,"&lt;&gt;"&amp;"*Á")),F75="žena")),CONCATENATE(C75," ",D75," je ",F75,"?"),""))))))),IF(COUNTIF(B75:O75,"")=14,"",CONCATENATE("Doplň: ",IF(B75="",CONCATENATE($B$4,IF(COUNTIF(C75:G75,"")=0,"",", ")),""),IF(C75="",CONCATENATE($C$4,IF(COUNTIF(D75:G75,"")=0,"",", ")),""),IF(D75="",CONCATENATE($D$4,IF(COUNTIF(E75:G75,"")=0,"",", ")),""),IF(E75="",CONCATENATE($E$4,IF(COUNTIF(F75:G75,"")=0,"",", ")),""),IF(F75="",CONCATENATE($F$4,IF(G75="",", ","")),""),IF(G75="",$G$4,""))))</f>
        <v/>
      </c>
      <c r="AA75" s="30"/>
    </row>
    <row r="76" spans="1:27" ht="16" x14ac:dyDescent="0.35">
      <c r="A76" s="14" t="str">
        <f t="shared" si="4"/>
        <v xml:space="preserve">  </v>
      </c>
      <c r="B76" s="15"/>
      <c r="C76" s="31"/>
      <c r="D76" s="31"/>
      <c r="E76" s="17"/>
      <c r="F76" s="18"/>
      <c r="G76" s="32"/>
      <c r="H76" s="33" t="str">
        <f>IF(G76="","",IF(F76="žena",ROMAN(MATCH(G76+1,'[1]Normy VP'!$Y$27:$Y$33,-1)),ROMAN(MATCH(G76+1,'[1]Normy VP'!$Y$19:$Y$25,-1))))</f>
        <v/>
      </c>
      <c r="I76" s="21"/>
      <c r="J76" s="22"/>
      <c r="K76" s="23"/>
      <c r="L76" s="23"/>
      <c r="M76" s="23"/>
      <c r="N76" s="22"/>
      <c r="O76" s="22"/>
      <c r="P76" s="24" t="str">
        <f>IF(OR($J76="",$J76="odešel"),IF(K76="","",IF($F76="žena",CHOOSE(_xlfn.ARABIC($H76),MATCH(K76+1,'[1]Normy VP'!$C$25:$F$25,-1),MATCH(K76+1,'[1]Normy VP'!$C$26:$F$26,-1),MATCH(K76+1,'[1]Normy VP'!$C$27:$F$27,-1),MATCH(K76+1,'[1]Normy VP'!$C$28:$F$28,-1),MATCH(K76+1,'[1]Normy VP'!$C$29:$F$29,-1),"muž"),CHOOSE(_xlfn.ARABIC($H76),MATCH(K76+1,'[1]Normy VP'!$C$10:$F$10,-1),MATCH(K76+1,'[1]Normy VP'!$C$11:$F$11,-1),MATCH(K76+1,'[1]Normy VP'!$C$12:$F$12,-1),MATCH(K76+1,'[1]Normy VP'!$C$13:$F$13,-1),MATCH(K76+1,'[1]Normy VP'!$C$14:$F$14,-1),""))),"O")</f>
        <v/>
      </c>
      <c r="Q76" s="24" t="str">
        <f>IF(OR($J76="",$J76="odešel"),IF($F76="žena","",IF(L76="","",(CHOOSE(_xlfn.ARABIC($H76),MATCH(L76+1,'[1]Normy VP'!$G$10:$J$10,-1),MATCH(L76+1,'[1]Normy VP'!$G$11:$J$11,-1),MATCH(L76+1,'[1]Normy VP'!$G$12:$J$12,-1),MATCH(L76+1,'[1]Normy VP'!$G$13:$J$13,-1),MATCH(L76+1,'[1]Normy VP'!$G$14:$J$14,-1),"")))),"O")</f>
        <v/>
      </c>
      <c r="R76" s="34" t="str">
        <f t="shared" si="5"/>
        <v>N</v>
      </c>
      <c r="S76" s="24" t="str">
        <f>IF(OR($J76="",$J76="odešel"),IF(M76="","N",IF($F76="žena",CHOOSE(_xlfn.ARABIC($H76),MATCH(M76+1,'[1]Normy VP'!$G$25:$J$25,-1),MATCH(M76+1,'[1]Normy VP'!$G$26:$J$26,-1),MATCH(M76+1,'[1]Normy VP'!$G$27:$J$27,-1),MATCH(M76+1,'[1]Normy VP'!$G$28:$J$28,-1),MATCH(M76+1,'[1]Normy VP'!$G$29:$J$29,-1),"muž"),(CHOOSE(_xlfn.ARABIC($H76),MATCH(M76+1,'[1]Normy VP'!$K$10:$N$10,-1),MATCH(M76+1,'[1]Normy VP'!$K$11:$N$11,-1),MATCH(M76+1,'[1]Normy VP'!$K$12:$N$12,-1),MATCH(M76+1,'[1]Normy VP'!$K$13:$N$13,-1),MATCH(M76+1,'[1]Normy VP'!$K$14:$N$14,-1),"")))),"O")</f>
        <v>N</v>
      </c>
      <c r="T76" s="34" t="str">
        <f t="shared" si="6"/>
        <v>N</v>
      </c>
      <c r="U76" s="24" t="str">
        <f>IF(OR($J76="",$J76="odešel"),IF(N76="","N",IF($F76="žena",CHOOSE(_xlfn.ARABIC($H76),MATCH(N76+1,'[1]Normy VP'!$K$25:$N$25,-1),MATCH(N76+1,'[1]Normy VP'!$K$26:$N$26,-1),MATCH(N76+1,'[1]Normy VP'!$K$27:$N$27,-1),MATCH(N76+1,'[1]Normy VP'!$K$28:$N$28,-1),MATCH(N76+1,'[1]Normy VP'!$K$29:$N$29,-1),MATCH(N76+1,'[1]Normy VP'!$K$30:$N$30,-1)),CHOOSE(_xlfn.ARABIC($H76),MATCH(N76+1,'[1]Normy VP'!$O$10:$R$10,-1),MATCH(N76+1,'[1]Normy VP'!$O$11:$R$11,-1),MATCH(N76+1,'[1]Normy VP'!$O$12:$R$12,-1),MATCH(N76+1,'[1]Normy VP'!$O$13:$R$13,-1),MATCH(N76+1,'[1]Normy VP'!$O$14:$R$14,-1),MATCH(N76+1,'[1]Normy VP'!$O$15:$R$15,-1)))),"O")</f>
        <v>N</v>
      </c>
      <c r="V76" s="26" t="str">
        <f>IF(OR($J76="",$J76="odešel"),IF(O76="","N",IF($F76="žena",CHOOSE(_xlfn.ARABIC($H76),MATCH(O76-1,'[1]Normy VP'!$O$25:$R$25),MATCH(O76-1,'[1]Normy VP'!$O$26:$R$26),MATCH(O76-1,'[1]Normy VP'!$O$27:$R$27),MATCH(O76-1,'[1]Normy VP'!$O$28:$R$28),MATCH(O76-1,'[1]Normy VP'!$O$29:$R$29),MATCH(O76-1,'[1]Normy VP'!$O$30:$R$30)),CHOOSE(_xlfn.ARABIC($H76),MATCH(O76-1,'[1]Normy VP'!$S$10:$V$10),MATCH(O76-1,'[1]Normy VP'!$S$11:$V$11),MATCH(O76-1,'[1]Normy VP'!$S$12:$V$12),MATCH(O76-1,'[1]Normy VP'!$S$13:$V$13),MATCH(O76-1,'[1]Normy VP'!$S$14:$V$14),MATCH(O76-1,'[1]Normy VP'!$S$15:$V$15)))),"O")</f>
        <v>N</v>
      </c>
      <c r="W76" s="34" t="str">
        <f t="shared" si="7"/>
        <v>N</v>
      </c>
      <c r="X76" s="27" t="str">
        <f>IF(COUNTIF(B76:G76,"")&gt;0,"",IF(COUNTIF([1]PP!$A:$A,A76)=0,"neni v PP",IF(OR(Y76="odešel",VLOOKUP(A76,[1]PP!$A:$W,22,FALSE)="odešel"),"odešel",IF(OR(Y76="N",VLOOKUP(A76,[1]PP!$A:$W,22,FALSE)="N"),"N",IF(OR(Y76="C",VLOOKUP(A76,[1]PP!$A:$W,22,FALSE)="C"),"C",IF(OR(Y76="DZO",VLOOKUP(A76,[1]PP!$A:$W,22,FALSE)="DZO"),"DZO",IF(OR(Y76="mise",Y76="disp.",Y76="končí",Y76="DSC",VLOOKUP(A76,[1]PP!$A:$W,22,FALSE)="mise",VLOOKUP(A76,[1]PP!$A:$W,22,FALSE)="disp.",VLOOKUP(A76,[1]PP!$A:$W,22,FALSE)="končí",VLOOKUP(A76,[1]PP!$A:$W,22,FALSE)="DSC"),"jiné",IF(OR(Y76=4,VLOOKUP(A76,[1]PP!$A:$W,22,FALSE)=4),4,IF(OR(Y76=3,VLOOKUP(A76,[1]PP!$A:$W,22,FALSE)=3),3,IF(OR(Y76=2,VLOOKUP(A76,[1]PP!$A:$W,22,FALSE)=2),2,IF(AND(Y76=1,VLOOKUP(A76,[1]PP!$A:$W,22,FALSE)=1),1)))))))))))</f>
        <v/>
      </c>
      <c r="Y76" s="28" t="str">
        <f>IF(COUNTIF(B76:G76,"")&gt;0,"",IF(COUNTIF([1]PP!$A:$A,A76)=0,"neni v PP",IF(VLOOKUP(A76,[1]PP!$A:$W,8,FALSE)="odešel","odešel",IF(F76="","",IF(J76="",IF(OR(T76=4,W76=4),4,IF(AND(T76="N",W76="N"),"N",IF(OR(T76="N",W76="N"),4,ROUND(AVERAGE(T76,W76),0)))),J76)))))</f>
        <v/>
      </c>
      <c r="Z76" s="29" t="str">
        <f>IF(COUNTIF(B76:G76,"")=0,IF(X76="neni v PP",CONCATENATE("ID: &lt;",A76,"&gt; se neshoduje s žádným IDem v kartě PP"),IF(COUNTIF($A:$A,A76)&gt;1,CONCATENATE("ID: &lt;",A76,"&gt; se v kartě VP opakuje. Je nutné tyto IDy od sebe odlišit, např. mezerou za příjmením."),IF(COUNTIF([1]PP!A:A,A76)&gt;1,CONCATENATE("ID: &lt;",A76,"&gt; se v kartě PP opakuje. Je nutné tyto IDy od sebe odlišit, např. mezerou za příjmením."),IF(VLOOKUP(A76,[1]PP!$A:$W,5,FALSE)&lt;&gt;E76,CONCATENATE($E$4," &lt;",E76,"&gt; se neshoduje s jednotkou v kartě PP"," &lt;",VLOOKUP(A76,[1]PP!$A:$W,5,FALSE),"&gt;"),IF(AND(COUNTIF(K76:O76,"")&lt;5,J76="",I76=""),CONCATENATE("Doplň: ",$I$4),IF(AND(YEAR(I76)&lt;&gt;$E$2,COUNTIF(I76,"")=0),CONCATENATE("špatně uveden &lt;",$D$2,"&gt; nebo &lt;",$I$4,"&gt;"),IF(OR(AND(OR(COUNTIF(C76,"*a"),COUNTIF(C76,"*ie"),COUNTIF(C76,"*ine"),COUNTIF(D76,"*Á")),F76="muž"),AND(AND(COUNTIF(C76,"&lt;&gt;"&amp;"*a"),COUNTIF(C76,"&lt;&gt;"&amp;"*ie"),COUNTIF(C76,"&lt;&gt;"&amp;"*ine"),COUNTIF(D76,"&lt;&gt;"&amp;"*Á")),F76="žena")),CONCATENATE(C76," ",D76," je ",F76,"?"),""))))))),IF(COUNTIF(B76:O76,"")=14,"",CONCATENATE("Doplň: ",IF(B76="",CONCATENATE($B$4,IF(COUNTIF(C76:G76,"")=0,"",", ")),""),IF(C76="",CONCATENATE($C$4,IF(COUNTIF(D76:G76,"")=0,"",", ")),""),IF(D76="",CONCATENATE($D$4,IF(COUNTIF(E76:G76,"")=0,"",", ")),""),IF(E76="",CONCATENATE($E$4,IF(COUNTIF(F76:G76,"")=0,"",", ")),""),IF(F76="",CONCATENATE($F$4,IF(G76="",", ","")),""),IF(G76="",$G$4,""))))</f>
        <v/>
      </c>
      <c r="AA76" s="30"/>
    </row>
    <row r="77" spans="1:27" ht="16" x14ac:dyDescent="0.35">
      <c r="A77" s="14" t="str">
        <f t="shared" si="4"/>
        <v xml:space="preserve">  </v>
      </c>
      <c r="B77" s="15"/>
      <c r="C77" s="31"/>
      <c r="D77" s="31"/>
      <c r="E77" s="17"/>
      <c r="F77" s="18"/>
      <c r="G77" s="32"/>
      <c r="H77" s="33" t="str">
        <f>IF(G77="","",IF(F77="žena",ROMAN(MATCH(G77+1,'[1]Normy VP'!$Y$27:$Y$33,-1)),ROMAN(MATCH(G77+1,'[1]Normy VP'!$Y$19:$Y$25,-1))))</f>
        <v/>
      </c>
      <c r="I77" s="21"/>
      <c r="J77" s="22"/>
      <c r="K77" s="23"/>
      <c r="L77" s="23"/>
      <c r="M77" s="23"/>
      <c r="N77" s="22"/>
      <c r="O77" s="22"/>
      <c r="P77" s="24" t="str">
        <f>IF(OR($J77="",$J77="odešel"),IF(K77="","",IF($F77="žena",CHOOSE(_xlfn.ARABIC($H77),MATCH(K77+1,'[1]Normy VP'!$C$25:$F$25,-1),MATCH(K77+1,'[1]Normy VP'!$C$26:$F$26,-1),MATCH(K77+1,'[1]Normy VP'!$C$27:$F$27,-1),MATCH(K77+1,'[1]Normy VP'!$C$28:$F$28,-1),MATCH(K77+1,'[1]Normy VP'!$C$29:$F$29,-1),"muž"),CHOOSE(_xlfn.ARABIC($H77),MATCH(K77+1,'[1]Normy VP'!$C$10:$F$10,-1),MATCH(K77+1,'[1]Normy VP'!$C$11:$F$11,-1),MATCH(K77+1,'[1]Normy VP'!$C$12:$F$12,-1),MATCH(K77+1,'[1]Normy VP'!$C$13:$F$13,-1),MATCH(K77+1,'[1]Normy VP'!$C$14:$F$14,-1),""))),"O")</f>
        <v/>
      </c>
      <c r="Q77" s="24" t="str">
        <f>IF(OR($J77="",$J77="odešel"),IF($F77="žena","",IF(L77="","",(CHOOSE(_xlfn.ARABIC($H77),MATCH(L77+1,'[1]Normy VP'!$G$10:$J$10,-1),MATCH(L77+1,'[1]Normy VP'!$G$11:$J$11,-1),MATCH(L77+1,'[1]Normy VP'!$G$12:$J$12,-1),MATCH(L77+1,'[1]Normy VP'!$G$13:$J$13,-1),MATCH(L77+1,'[1]Normy VP'!$G$14:$J$14,-1),"")))),"O")</f>
        <v/>
      </c>
      <c r="R77" s="34" t="str">
        <f t="shared" si="5"/>
        <v>N</v>
      </c>
      <c r="S77" s="24" t="str">
        <f>IF(OR($J77="",$J77="odešel"),IF(M77="","N",IF($F77="žena",CHOOSE(_xlfn.ARABIC($H77),MATCH(M77+1,'[1]Normy VP'!$G$25:$J$25,-1),MATCH(M77+1,'[1]Normy VP'!$G$26:$J$26,-1),MATCH(M77+1,'[1]Normy VP'!$G$27:$J$27,-1),MATCH(M77+1,'[1]Normy VP'!$G$28:$J$28,-1),MATCH(M77+1,'[1]Normy VP'!$G$29:$J$29,-1),"muž"),(CHOOSE(_xlfn.ARABIC($H77),MATCH(M77+1,'[1]Normy VP'!$K$10:$N$10,-1),MATCH(M77+1,'[1]Normy VP'!$K$11:$N$11,-1),MATCH(M77+1,'[1]Normy VP'!$K$12:$N$12,-1),MATCH(M77+1,'[1]Normy VP'!$K$13:$N$13,-1),MATCH(M77+1,'[1]Normy VP'!$K$14:$N$14,-1),"")))),"O")</f>
        <v>N</v>
      </c>
      <c r="T77" s="34" t="str">
        <f t="shared" si="6"/>
        <v>N</v>
      </c>
      <c r="U77" s="24" t="str">
        <f>IF(OR($J77="",$J77="odešel"),IF(N77="","N",IF($F77="žena",CHOOSE(_xlfn.ARABIC($H77),MATCH(N77+1,'[1]Normy VP'!$K$25:$N$25,-1),MATCH(N77+1,'[1]Normy VP'!$K$26:$N$26,-1),MATCH(N77+1,'[1]Normy VP'!$K$27:$N$27,-1),MATCH(N77+1,'[1]Normy VP'!$K$28:$N$28,-1),MATCH(N77+1,'[1]Normy VP'!$K$29:$N$29,-1),MATCH(N77+1,'[1]Normy VP'!$K$30:$N$30,-1)),CHOOSE(_xlfn.ARABIC($H77),MATCH(N77+1,'[1]Normy VP'!$O$10:$R$10,-1),MATCH(N77+1,'[1]Normy VP'!$O$11:$R$11,-1),MATCH(N77+1,'[1]Normy VP'!$O$12:$R$12,-1),MATCH(N77+1,'[1]Normy VP'!$O$13:$R$13,-1),MATCH(N77+1,'[1]Normy VP'!$O$14:$R$14,-1),MATCH(N77+1,'[1]Normy VP'!$O$15:$R$15,-1)))),"O")</f>
        <v>N</v>
      </c>
      <c r="V77" s="26" t="str">
        <f>IF(OR($J77="",$J77="odešel"),IF(O77="","N",IF($F77="žena",CHOOSE(_xlfn.ARABIC($H77),MATCH(O77-1,'[1]Normy VP'!$O$25:$R$25),MATCH(O77-1,'[1]Normy VP'!$O$26:$R$26),MATCH(O77-1,'[1]Normy VP'!$O$27:$R$27),MATCH(O77-1,'[1]Normy VP'!$O$28:$R$28),MATCH(O77-1,'[1]Normy VP'!$O$29:$R$29),MATCH(O77-1,'[1]Normy VP'!$O$30:$R$30)),CHOOSE(_xlfn.ARABIC($H77),MATCH(O77-1,'[1]Normy VP'!$S$10:$V$10),MATCH(O77-1,'[1]Normy VP'!$S$11:$V$11),MATCH(O77-1,'[1]Normy VP'!$S$12:$V$12),MATCH(O77-1,'[1]Normy VP'!$S$13:$V$13),MATCH(O77-1,'[1]Normy VP'!$S$14:$V$14),MATCH(O77-1,'[1]Normy VP'!$S$15:$V$15)))),"O")</f>
        <v>N</v>
      </c>
      <c r="W77" s="34" t="str">
        <f t="shared" si="7"/>
        <v>N</v>
      </c>
      <c r="X77" s="27" t="str">
        <f>IF(COUNTIF(B77:G77,"")&gt;0,"",IF(COUNTIF([1]PP!$A:$A,A77)=0,"neni v PP",IF(OR(Y77="odešel",VLOOKUP(A77,[1]PP!$A:$W,22,FALSE)="odešel"),"odešel",IF(OR(Y77="N",VLOOKUP(A77,[1]PP!$A:$W,22,FALSE)="N"),"N",IF(OR(Y77="C",VLOOKUP(A77,[1]PP!$A:$W,22,FALSE)="C"),"C",IF(OR(Y77="DZO",VLOOKUP(A77,[1]PP!$A:$W,22,FALSE)="DZO"),"DZO",IF(OR(Y77="mise",Y77="disp.",Y77="končí",Y77="DSC",VLOOKUP(A77,[1]PP!$A:$W,22,FALSE)="mise",VLOOKUP(A77,[1]PP!$A:$W,22,FALSE)="disp.",VLOOKUP(A77,[1]PP!$A:$W,22,FALSE)="končí",VLOOKUP(A77,[1]PP!$A:$W,22,FALSE)="DSC"),"jiné",IF(OR(Y77=4,VLOOKUP(A77,[1]PP!$A:$W,22,FALSE)=4),4,IF(OR(Y77=3,VLOOKUP(A77,[1]PP!$A:$W,22,FALSE)=3),3,IF(OR(Y77=2,VLOOKUP(A77,[1]PP!$A:$W,22,FALSE)=2),2,IF(AND(Y77=1,VLOOKUP(A77,[1]PP!$A:$W,22,FALSE)=1),1)))))))))))</f>
        <v/>
      </c>
      <c r="Y77" s="28" t="str">
        <f>IF(COUNTIF(B77:G77,"")&gt;0,"",IF(COUNTIF([1]PP!$A:$A,A77)=0,"neni v PP",IF(VLOOKUP(A77,[1]PP!$A:$W,8,FALSE)="odešel","odešel",IF(F77="","",IF(J77="",IF(OR(T77=4,W77=4),4,IF(AND(T77="N",W77="N"),"N",IF(OR(T77="N",W77="N"),4,ROUND(AVERAGE(T77,W77),0)))),J77)))))</f>
        <v/>
      </c>
      <c r="Z77" s="29" t="str">
        <f>IF(COUNTIF(B77:G77,"")=0,IF(X77="neni v PP",CONCATENATE("ID: &lt;",A77,"&gt; se neshoduje s žádným IDem v kartě PP"),IF(COUNTIF($A:$A,A77)&gt;1,CONCATENATE("ID: &lt;",A77,"&gt; se v kartě VP opakuje. Je nutné tyto IDy od sebe odlišit, např. mezerou za příjmením."),IF(COUNTIF([1]PP!A:A,A77)&gt;1,CONCATENATE("ID: &lt;",A77,"&gt; se v kartě PP opakuje. Je nutné tyto IDy od sebe odlišit, např. mezerou za příjmením."),IF(VLOOKUP(A77,[1]PP!$A:$W,5,FALSE)&lt;&gt;E77,CONCATENATE($E$4," &lt;",E77,"&gt; se neshoduje s jednotkou v kartě PP"," &lt;",VLOOKUP(A77,[1]PP!$A:$W,5,FALSE),"&gt;"),IF(AND(COUNTIF(K77:O77,"")&lt;5,J77="",I77=""),CONCATENATE("Doplň: ",$I$4),IF(AND(YEAR(I77)&lt;&gt;$E$2,COUNTIF(I77,"")=0),CONCATENATE("špatně uveden &lt;",$D$2,"&gt; nebo &lt;",$I$4,"&gt;"),IF(OR(AND(OR(COUNTIF(C77,"*a"),COUNTIF(C77,"*ie"),COUNTIF(C77,"*ine"),COUNTIF(D77,"*Á")),F77="muž"),AND(AND(COUNTIF(C77,"&lt;&gt;"&amp;"*a"),COUNTIF(C77,"&lt;&gt;"&amp;"*ie"),COUNTIF(C77,"&lt;&gt;"&amp;"*ine"),COUNTIF(D77,"&lt;&gt;"&amp;"*Á")),F77="žena")),CONCATENATE(C77," ",D77," je ",F77,"?"),""))))))),IF(COUNTIF(B77:O77,"")=14,"",CONCATENATE("Doplň: ",IF(B77="",CONCATENATE($B$4,IF(COUNTIF(C77:G77,"")=0,"",", ")),""),IF(C77="",CONCATENATE($C$4,IF(COUNTIF(D77:G77,"")=0,"",", ")),""),IF(D77="",CONCATENATE($D$4,IF(COUNTIF(E77:G77,"")=0,"",", ")),""),IF(E77="",CONCATENATE($E$4,IF(COUNTIF(F77:G77,"")=0,"",", ")),""),IF(F77="",CONCATENATE($F$4,IF(G77="",", ","")),""),IF(G77="",$G$4,""))))</f>
        <v/>
      </c>
      <c r="AA77" s="30"/>
    </row>
    <row r="78" spans="1:27" ht="16" x14ac:dyDescent="0.35">
      <c r="A78" s="14" t="str">
        <f t="shared" si="4"/>
        <v xml:space="preserve">  </v>
      </c>
      <c r="B78" s="15"/>
      <c r="C78" s="31"/>
      <c r="D78" s="31"/>
      <c r="E78" s="17"/>
      <c r="F78" s="18"/>
      <c r="G78" s="32"/>
      <c r="H78" s="33" t="str">
        <f>IF(G78="","",IF(F78="žena",ROMAN(MATCH(G78+1,'[1]Normy VP'!$Y$27:$Y$33,-1)),ROMAN(MATCH(G78+1,'[1]Normy VP'!$Y$19:$Y$25,-1))))</f>
        <v/>
      </c>
      <c r="I78" s="21"/>
      <c r="J78" s="22"/>
      <c r="K78" s="23"/>
      <c r="L78" s="23"/>
      <c r="M78" s="23"/>
      <c r="N78" s="22"/>
      <c r="O78" s="22"/>
      <c r="P78" s="24" t="str">
        <f>IF(OR($J78="",$J78="odešel"),IF(K78="","",IF($F78="žena",CHOOSE(_xlfn.ARABIC($H78),MATCH(K78+1,'[1]Normy VP'!$C$25:$F$25,-1),MATCH(K78+1,'[1]Normy VP'!$C$26:$F$26,-1),MATCH(K78+1,'[1]Normy VP'!$C$27:$F$27,-1),MATCH(K78+1,'[1]Normy VP'!$C$28:$F$28,-1),MATCH(K78+1,'[1]Normy VP'!$C$29:$F$29,-1),"muž"),CHOOSE(_xlfn.ARABIC($H78),MATCH(K78+1,'[1]Normy VP'!$C$10:$F$10,-1),MATCH(K78+1,'[1]Normy VP'!$C$11:$F$11,-1),MATCH(K78+1,'[1]Normy VP'!$C$12:$F$12,-1),MATCH(K78+1,'[1]Normy VP'!$C$13:$F$13,-1),MATCH(K78+1,'[1]Normy VP'!$C$14:$F$14,-1),""))),"O")</f>
        <v/>
      </c>
      <c r="Q78" s="24" t="str">
        <f>IF(OR($J78="",$J78="odešel"),IF($F78="žena","",IF(L78="","",(CHOOSE(_xlfn.ARABIC($H78),MATCH(L78+1,'[1]Normy VP'!$G$10:$J$10,-1),MATCH(L78+1,'[1]Normy VP'!$G$11:$J$11,-1),MATCH(L78+1,'[1]Normy VP'!$G$12:$J$12,-1),MATCH(L78+1,'[1]Normy VP'!$G$13:$J$13,-1),MATCH(L78+1,'[1]Normy VP'!$G$14:$J$14,-1),"")))),"O")</f>
        <v/>
      </c>
      <c r="R78" s="34" t="str">
        <f t="shared" si="5"/>
        <v>N</v>
      </c>
      <c r="S78" s="24" t="str">
        <f>IF(OR($J78="",$J78="odešel"),IF(M78="","N",IF($F78="žena",CHOOSE(_xlfn.ARABIC($H78),MATCH(M78+1,'[1]Normy VP'!$G$25:$J$25,-1),MATCH(M78+1,'[1]Normy VP'!$G$26:$J$26,-1),MATCH(M78+1,'[1]Normy VP'!$G$27:$J$27,-1),MATCH(M78+1,'[1]Normy VP'!$G$28:$J$28,-1),MATCH(M78+1,'[1]Normy VP'!$G$29:$J$29,-1),"muž"),(CHOOSE(_xlfn.ARABIC($H78),MATCH(M78+1,'[1]Normy VP'!$K$10:$N$10,-1),MATCH(M78+1,'[1]Normy VP'!$K$11:$N$11,-1),MATCH(M78+1,'[1]Normy VP'!$K$12:$N$12,-1),MATCH(M78+1,'[1]Normy VP'!$K$13:$N$13,-1),MATCH(M78+1,'[1]Normy VP'!$K$14:$N$14,-1),"")))),"O")</f>
        <v>N</v>
      </c>
      <c r="T78" s="34" t="str">
        <f t="shared" si="6"/>
        <v>N</v>
      </c>
      <c r="U78" s="24" t="str">
        <f>IF(OR($J78="",$J78="odešel"),IF(N78="","N",IF($F78="žena",CHOOSE(_xlfn.ARABIC($H78),MATCH(N78+1,'[1]Normy VP'!$K$25:$N$25,-1),MATCH(N78+1,'[1]Normy VP'!$K$26:$N$26,-1),MATCH(N78+1,'[1]Normy VP'!$K$27:$N$27,-1),MATCH(N78+1,'[1]Normy VP'!$K$28:$N$28,-1),MATCH(N78+1,'[1]Normy VP'!$K$29:$N$29,-1),MATCH(N78+1,'[1]Normy VP'!$K$30:$N$30,-1)),CHOOSE(_xlfn.ARABIC($H78),MATCH(N78+1,'[1]Normy VP'!$O$10:$R$10,-1),MATCH(N78+1,'[1]Normy VP'!$O$11:$R$11,-1),MATCH(N78+1,'[1]Normy VP'!$O$12:$R$12,-1),MATCH(N78+1,'[1]Normy VP'!$O$13:$R$13,-1),MATCH(N78+1,'[1]Normy VP'!$O$14:$R$14,-1),MATCH(N78+1,'[1]Normy VP'!$O$15:$R$15,-1)))),"O")</f>
        <v>N</v>
      </c>
      <c r="V78" s="26" t="str">
        <f>IF(OR($J78="",$J78="odešel"),IF(O78="","N",IF($F78="žena",CHOOSE(_xlfn.ARABIC($H78),MATCH(O78-1,'[1]Normy VP'!$O$25:$R$25),MATCH(O78-1,'[1]Normy VP'!$O$26:$R$26),MATCH(O78-1,'[1]Normy VP'!$O$27:$R$27),MATCH(O78-1,'[1]Normy VP'!$O$28:$R$28),MATCH(O78-1,'[1]Normy VP'!$O$29:$R$29),MATCH(O78-1,'[1]Normy VP'!$O$30:$R$30)),CHOOSE(_xlfn.ARABIC($H78),MATCH(O78-1,'[1]Normy VP'!$S$10:$V$10),MATCH(O78-1,'[1]Normy VP'!$S$11:$V$11),MATCH(O78-1,'[1]Normy VP'!$S$12:$V$12),MATCH(O78-1,'[1]Normy VP'!$S$13:$V$13),MATCH(O78-1,'[1]Normy VP'!$S$14:$V$14),MATCH(O78-1,'[1]Normy VP'!$S$15:$V$15)))),"O")</f>
        <v>N</v>
      </c>
      <c r="W78" s="34" t="str">
        <f t="shared" si="7"/>
        <v>N</v>
      </c>
      <c r="X78" s="27" t="str">
        <f>IF(COUNTIF(B78:G78,"")&gt;0,"",IF(COUNTIF([1]PP!$A:$A,A78)=0,"neni v PP",IF(OR(Y78="odešel",VLOOKUP(A78,[1]PP!$A:$W,22,FALSE)="odešel"),"odešel",IF(OR(Y78="N",VLOOKUP(A78,[1]PP!$A:$W,22,FALSE)="N"),"N",IF(OR(Y78="C",VLOOKUP(A78,[1]PP!$A:$W,22,FALSE)="C"),"C",IF(OR(Y78="DZO",VLOOKUP(A78,[1]PP!$A:$W,22,FALSE)="DZO"),"DZO",IF(OR(Y78="mise",Y78="disp.",Y78="končí",Y78="DSC",VLOOKUP(A78,[1]PP!$A:$W,22,FALSE)="mise",VLOOKUP(A78,[1]PP!$A:$W,22,FALSE)="disp.",VLOOKUP(A78,[1]PP!$A:$W,22,FALSE)="končí",VLOOKUP(A78,[1]PP!$A:$W,22,FALSE)="DSC"),"jiné",IF(OR(Y78=4,VLOOKUP(A78,[1]PP!$A:$W,22,FALSE)=4),4,IF(OR(Y78=3,VLOOKUP(A78,[1]PP!$A:$W,22,FALSE)=3),3,IF(OR(Y78=2,VLOOKUP(A78,[1]PP!$A:$W,22,FALSE)=2),2,IF(AND(Y78=1,VLOOKUP(A78,[1]PP!$A:$W,22,FALSE)=1),1)))))))))))</f>
        <v/>
      </c>
      <c r="Y78" s="28" t="str">
        <f>IF(COUNTIF(B78:G78,"")&gt;0,"",IF(COUNTIF([1]PP!$A:$A,A78)=0,"neni v PP",IF(VLOOKUP(A78,[1]PP!$A:$W,8,FALSE)="odešel","odešel",IF(F78="","",IF(J78="",IF(OR(T78=4,W78=4),4,IF(AND(T78="N",W78="N"),"N",IF(OR(T78="N",W78="N"),4,ROUND(AVERAGE(T78,W78),0)))),J78)))))</f>
        <v/>
      </c>
      <c r="Z78" s="29" t="str">
        <f>IF(COUNTIF(B78:G78,"")=0,IF(X78="neni v PP",CONCATENATE("ID: &lt;",A78,"&gt; se neshoduje s žádným IDem v kartě PP"),IF(COUNTIF($A:$A,A78)&gt;1,CONCATENATE("ID: &lt;",A78,"&gt; se v kartě VP opakuje. Je nutné tyto IDy od sebe odlišit, např. mezerou za příjmením."),IF(COUNTIF([1]PP!A:A,A78)&gt;1,CONCATENATE("ID: &lt;",A78,"&gt; se v kartě PP opakuje. Je nutné tyto IDy od sebe odlišit, např. mezerou za příjmením."),IF(VLOOKUP(A78,[1]PP!$A:$W,5,FALSE)&lt;&gt;E78,CONCATENATE($E$4," &lt;",E78,"&gt; se neshoduje s jednotkou v kartě PP"," &lt;",VLOOKUP(A78,[1]PP!$A:$W,5,FALSE),"&gt;"),IF(AND(COUNTIF(K78:O78,"")&lt;5,J78="",I78=""),CONCATENATE("Doplň: ",$I$4),IF(AND(YEAR(I78)&lt;&gt;$E$2,COUNTIF(I78,"")=0),CONCATENATE("špatně uveden &lt;",$D$2,"&gt; nebo &lt;",$I$4,"&gt;"),IF(OR(AND(OR(COUNTIF(C78,"*a"),COUNTIF(C78,"*ie"),COUNTIF(C78,"*ine"),COUNTIF(D78,"*Á")),F78="muž"),AND(AND(COUNTIF(C78,"&lt;&gt;"&amp;"*a"),COUNTIF(C78,"&lt;&gt;"&amp;"*ie"),COUNTIF(C78,"&lt;&gt;"&amp;"*ine"),COUNTIF(D78,"&lt;&gt;"&amp;"*Á")),F78="žena")),CONCATENATE(C78," ",D78," je ",F78,"?"),""))))))),IF(COUNTIF(B78:O78,"")=14,"",CONCATENATE("Doplň: ",IF(B78="",CONCATENATE($B$4,IF(COUNTIF(C78:G78,"")=0,"",", ")),""),IF(C78="",CONCATENATE($C$4,IF(COUNTIF(D78:G78,"")=0,"",", ")),""),IF(D78="",CONCATENATE($D$4,IF(COUNTIF(E78:G78,"")=0,"",", ")),""),IF(E78="",CONCATENATE($E$4,IF(COUNTIF(F78:G78,"")=0,"",", ")),""),IF(F78="",CONCATENATE($F$4,IF(G78="",", ","")),""),IF(G78="",$G$4,""))))</f>
        <v/>
      </c>
      <c r="AA78" s="30"/>
    </row>
    <row r="79" spans="1:27" ht="16" x14ac:dyDescent="0.35">
      <c r="A79" s="14" t="str">
        <f t="shared" si="4"/>
        <v xml:space="preserve">  </v>
      </c>
      <c r="B79" s="15"/>
      <c r="C79" s="31"/>
      <c r="D79" s="31"/>
      <c r="E79" s="17"/>
      <c r="F79" s="18"/>
      <c r="G79" s="32"/>
      <c r="H79" s="33" t="str">
        <f>IF(G79="","",IF(F79="žena",ROMAN(MATCH(G79+1,'[1]Normy VP'!$Y$27:$Y$33,-1)),ROMAN(MATCH(G79+1,'[1]Normy VP'!$Y$19:$Y$25,-1))))</f>
        <v/>
      </c>
      <c r="I79" s="21"/>
      <c r="J79" s="22"/>
      <c r="K79" s="23"/>
      <c r="L79" s="23"/>
      <c r="M79" s="23"/>
      <c r="N79" s="22"/>
      <c r="O79" s="22"/>
      <c r="P79" s="24" t="str">
        <f>IF(OR($J79="",$J79="odešel"),IF(K79="","",IF($F79="žena",CHOOSE(_xlfn.ARABIC($H79),MATCH(K79+1,'[1]Normy VP'!$C$25:$F$25,-1),MATCH(K79+1,'[1]Normy VP'!$C$26:$F$26,-1),MATCH(K79+1,'[1]Normy VP'!$C$27:$F$27,-1),MATCH(K79+1,'[1]Normy VP'!$C$28:$F$28,-1),MATCH(K79+1,'[1]Normy VP'!$C$29:$F$29,-1),"muž"),CHOOSE(_xlfn.ARABIC($H79),MATCH(K79+1,'[1]Normy VP'!$C$10:$F$10,-1),MATCH(K79+1,'[1]Normy VP'!$C$11:$F$11,-1),MATCH(K79+1,'[1]Normy VP'!$C$12:$F$12,-1),MATCH(K79+1,'[1]Normy VP'!$C$13:$F$13,-1),MATCH(K79+1,'[1]Normy VP'!$C$14:$F$14,-1),""))),"O")</f>
        <v/>
      </c>
      <c r="Q79" s="24" t="str">
        <f>IF(OR($J79="",$J79="odešel"),IF($F79="žena","",IF(L79="","",(CHOOSE(_xlfn.ARABIC($H79),MATCH(L79+1,'[1]Normy VP'!$G$10:$J$10,-1),MATCH(L79+1,'[1]Normy VP'!$G$11:$J$11,-1),MATCH(L79+1,'[1]Normy VP'!$G$12:$J$12,-1),MATCH(L79+1,'[1]Normy VP'!$G$13:$J$13,-1),MATCH(L79+1,'[1]Normy VP'!$G$14:$J$14,-1),"")))),"O")</f>
        <v/>
      </c>
      <c r="R79" s="34" t="str">
        <f t="shared" si="5"/>
        <v>N</v>
      </c>
      <c r="S79" s="24" t="str">
        <f>IF(OR($J79="",$J79="odešel"),IF(M79="","N",IF($F79="žena",CHOOSE(_xlfn.ARABIC($H79),MATCH(M79+1,'[1]Normy VP'!$G$25:$J$25,-1),MATCH(M79+1,'[1]Normy VP'!$G$26:$J$26,-1),MATCH(M79+1,'[1]Normy VP'!$G$27:$J$27,-1),MATCH(M79+1,'[1]Normy VP'!$G$28:$J$28,-1),MATCH(M79+1,'[1]Normy VP'!$G$29:$J$29,-1),"muž"),(CHOOSE(_xlfn.ARABIC($H79),MATCH(M79+1,'[1]Normy VP'!$K$10:$N$10,-1),MATCH(M79+1,'[1]Normy VP'!$K$11:$N$11,-1),MATCH(M79+1,'[1]Normy VP'!$K$12:$N$12,-1),MATCH(M79+1,'[1]Normy VP'!$K$13:$N$13,-1),MATCH(M79+1,'[1]Normy VP'!$K$14:$N$14,-1),"")))),"O")</f>
        <v>N</v>
      </c>
      <c r="T79" s="34" t="str">
        <f t="shared" si="6"/>
        <v>N</v>
      </c>
      <c r="U79" s="24" t="str">
        <f>IF(OR($J79="",$J79="odešel"),IF(N79="","N",IF($F79="žena",CHOOSE(_xlfn.ARABIC($H79),MATCH(N79+1,'[1]Normy VP'!$K$25:$N$25,-1),MATCH(N79+1,'[1]Normy VP'!$K$26:$N$26,-1),MATCH(N79+1,'[1]Normy VP'!$K$27:$N$27,-1),MATCH(N79+1,'[1]Normy VP'!$K$28:$N$28,-1),MATCH(N79+1,'[1]Normy VP'!$K$29:$N$29,-1),MATCH(N79+1,'[1]Normy VP'!$K$30:$N$30,-1)),CHOOSE(_xlfn.ARABIC($H79),MATCH(N79+1,'[1]Normy VP'!$O$10:$R$10,-1),MATCH(N79+1,'[1]Normy VP'!$O$11:$R$11,-1),MATCH(N79+1,'[1]Normy VP'!$O$12:$R$12,-1),MATCH(N79+1,'[1]Normy VP'!$O$13:$R$13,-1),MATCH(N79+1,'[1]Normy VP'!$O$14:$R$14,-1),MATCH(N79+1,'[1]Normy VP'!$O$15:$R$15,-1)))),"O")</f>
        <v>N</v>
      </c>
      <c r="V79" s="26" t="str">
        <f>IF(OR($J79="",$J79="odešel"),IF(O79="","N",IF($F79="žena",CHOOSE(_xlfn.ARABIC($H79),MATCH(O79-1,'[1]Normy VP'!$O$25:$R$25),MATCH(O79-1,'[1]Normy VP'!$O$26:$R$26),MATCH(O79-1,'[1]Normy VP'!$O$27:$R$27),MATCH(O79-1,'[1]Normy VP'!$O$28:$R$28),MATCH(O79-1,'[1]Normy VP'!$O$29:$R$29),MATCH(O79-1,'[1]Normy VP'!$O$30:$R$30)),CHOOSE(_xlfn.ARABIC($H79),MATCH(O79-1,'[1]Normy VP'!$S$10:$V$10),MATCH(O79-1,'[1]Normy VP'!$S$11:$V$11),MATCH(O79-1,'[1]Normy VP'!$S$12:$V$12),MATCH(O79-1,'[1]Normy VP'!$S$13:$V$13),MATCH(O79-1,'[1]Normy VP'!$S$14:$V$14),MATCH(O79-1,'[1]Normy VP'!$S$15:$V$15)))),"O")</f>
        <v>N</v>
      </c>
      <c r="W79" s="34" t="str">
        <f t="shared" si="7"/>
        <v>N</v>
      </c>
      <c r="X79" s="27" t="str">
        <f>IF(COUNTIF(B79:G79,"")&gt;0,"",IF(COUNTIF([1]PP!$A:$A,A79)=0,"neni v PP",IF(OR(Y79="odešel",VLOOKUP(A79,[1]PP!$A:$W,22,FALSE)="odešel"),"odešel",IF(OR(Y79="N",VLOOKUP(A79,[1]PP!$A:$W,22,FALSE)="N"),"N",IF(OR(Y79="C",VLOOKUP(A79,[1]PP!$A:$W,22,FALSE)="C"),"C",IF(OR(Y79="DZO",VLOOKUP(A79,[1]PP!$A:$W,22,FALSE)="DZO"),"DZO",IF(OR(Y79="mise",Y79="disp.",Y79="končí",Y79="DSC",VLOOKUP(A79,[1]PP!$A:$W,22,FALSE)="mise",VLOOKUP(A79,[1]PP!$A:$W,22,FALSE)="disp.",VLOOKUP(A79,[1]PP!$A:$W,22,FALSE)="končí",VLOOKUP(A79,[1]PP!$A:$W,22,FALSE)="DSC"),"jiné",IF(OR(Y79=4,VLOOKUP(A79,[1]PP!$A:$W,22,FALSE)=4),4,IF(OR(Y79=3,VLOOKUP(A79,[1]PP!$A:$W,22,FALSE)=3),3,IF(OR(Y79=2,VLOOKUP(A79,[1]PP!$A:$W,22,FALSE)=2),2,IF(AND(Y79=1,VLOOKUP(A79,[1]PP!$A:$W,22,FALSE)=1),1)))))))))))</f>
        <v/>
      </c>
      <c r="Y79" s="28" t="str">
        <f>IF(COUNTIF(B79:G79,"")&gt;0,"",IF(COUNTIF([1]PP!$A:$A,A79)=0,"neni v PP",IF(VLOOKUP(A79,[1]PP!$A:$W,8,FALSE)="odešel","odešel",IF(F79="","",IF(J79="",IF(OR(T79=4,W79=4),4,IF(AND(T79="N",W79="N"),"N",IF(OR(T79="N",W79="N"),4,ROUND(AVERAGE(T79,W79),0)))),J79)))))</f>
        <v/>
      </c>
      <c r="Z79" s="29" t="str">
        <f>IF(COUNTIF(B79:G79,"")=0,IF(X79="neni v PP",CONCATENATE("ID: &lt;",A79,"&gt; se neshoduje s žádným IDem v kartě PP"),IF(COUNTIF($A:$A,A79)&gt;1,CONCATENATE("ID: &lt;",A79,"&gt; se v kartě VP opakuje. Je nutné tyto IDy od sebe odlišit, např. mezerou za příjmením."),IF(COUNTIF([1]PP!A:A,A79)&gt;1,CONCATENATE("ID: &lt;",A79,"&gt; se v kartě PP opakuje. Je nutné tyto IDy od sebe odlišit, např. mezerou za příjmením."),IF(VLOOKUP(A79,[1]PP!$A:$W,5,FALSE)&lt;&gt;E79,CONCATENATE($E$4," &lt;",E79,"&gt; se neshoduje s jednotkou v kartě PP"," &lt;",VLOOKUP(A79,[1]PP!$A:$W,5,FALSE),"&gt;"),IF(AND(COUNTIF(K79:O79,"")&lt;5,J79="",I79=""),CONCATENATE("Doplň: ",$I$4),IF(AND(YEAR(I79)&lt;&gt;$E$2,COUNTIF(I79,"")=0),CONCATENATE("špatně uveden &lt;",$D$2,"&gt; nebo &lt;",$I$4,"&gt;"),IF(OR(AND(OR(COUNTIF(C79,"*a"),COUNTIF(C79,"*ie"),COUNTIF(C79,"*ine"),COUNTIF(D79,"*Á")),F79="muž"),AND(AND(COUNTIF(C79,"&lt;&gt;"&amp;"*a"),COUNTIF(C79,"&lt;&gt;"&amp;"*ie"),COUNTIF(C79,"&lt;&gt;"&amp;"*ine"),COUNTIF(D79,"&lt;&gt;"&amp;"*Á")),F79="žena")),CONCATENATE(C79," ",D79," je ",F79,"?"),""))))))),IF(COUNTIF(B79:O79,"")=14,"",CONCATENATE("Doplň: ",IF(B79="",CONCATENATE($B$4,IF(COUNTIF(C79:G79,"")=0,"",", ")),""),IF(C79="",CONCATENATE($C$4,IF(COUNTIF(D79:G79,"")=0,"",", ")),""),IF(D79="",CONCATENATE($D$4,IF(COUNTIF(E79:G79,"")=0,"",", ")),""),IF(E79="",CONCATENATE($E$4,IF(COUNTIF(F79:G79,"")=0,"",", ")),""),IF(F79="",CONCATENATE($F$4,IF(G79="",", ","")),""),IF(G79="",$G$4,""))))</f>
        <v/>
      </c>
      <c r="AA79" s="30"/>
    </row>
    <row r="80" spans="1:27" ht="16" x14ac:dyDescent="0.35">
      <c r="A80" s="14" t="str">
        <f t="shared" si="4"/>
        <v xml:space="preserve">  </v>
      </c>
      <c r="B80" s="15"/>
      <c r="C80" s="31"/>
      <c r="D80" s="31"/>
      <c r="E80" s="17"/>
      <c r="F80" s="18"/>
      <c r="G80" s="32"/>
      <c r="H80" s="33" t="str">
        <f>IF(G80="","",IF(F80="žena",ROMAN(MATCH(G80+1,'[1]Normy VP'!$Y$27:$Y$33,-1)),ROMAN(MATCH(G80+1,'[1]Normy VP'!$Y$19:$Y$25,-1))))</f>
        <v/>
      </c>
      <c r="I80" s="21"/>
      <c r="J80" s="22"/>
      <c r="K80" s="23"/>
      <c r="L80" s="23"/>
      <c r="M80" s="23"/>
      <c r="N80" s="22"/>
      <c r="O80" s="22"/>
      <c r="P80" s="24" t="str">
        <f>IF(OR($J80="",$J80="odešel"),IF(K80="","",IF($F80="žena",CHOOSE(_xlfn.ARABIC($H80),MATCH(K80+1,'[1]Normy VP'!$C$25:$F$25,-1),MATCH(K80+1,'[1]Normy VP'!$C$26:$F$26,-1),MATCH(K80+1,'[1]Normy VP'!$C$27:$F$27,-1),MATCH(K80+1,'[1]Normy VP'!$C$28:$F$28,-1),MATCH(K80+1,'[1]Normy VP'!$C$29:$F$29,-1),"muž"),CHOOSE(_xlfn.ARABIC($H80),MATCH(K80+1,'[1]Normy VP'!$C$10:$F$10,-1),MATCH(K80+1,'[1]Normy VP'!$C$11:$F$11,-1),MATCH(K80+1,'[1]Normy VP'!$C$12:$F$12,-1),MATCH(K80+1,'[1]Normy VP'!$C$13:$F$13,-1),MATCH(K80+1,'[1]Normy VP'!$C$14:$F$14,-1),""))),"O")</f>
        <v/>
      </c>
      <c r="Q80" s="24" t="str">
        <f>IF(OR($J80="",$J80="odešel"),IF($F80="žena","",IF(L80="","",(CHOOSE(_xlfn.ARABIC($H80),MATCH(L80+1,'[1]Normy VP'!$G$10:$J$10,-1),MATCH(L80+1,'[1]Normy VP'!$G$11:$J$11,-1),MATCH(L80+1,'[1]Normy VP'!$G$12:$J$12,-1),MATCH(L80+1,'[1]Normy VP'!$G$13:$J$13,-1),MATCH(L80+1,'[1]Normy VP'!$G$14:$J$14,-1),"")))),"O")</f>
        <v/>
      </c>
      <c r="R80" s="34" t="str">
        <f t="shared" si="5"/>
        <v>N</v>
      </c>
      <c r="S80" s="24" t="str">
        <f>IF(OR($J80="",$J80="odešel"),IF(M80="","N",IF($F80="žena",CHOOSE(_xlfn.ARABIC($H80),MATCH(M80+1,'[1]Normy VP'!$G$25:$J$25,-1),MATCH(M80+1,'[1]Normy VP'!$G$26:$J$26,-1),MATCH(M80+1,'[1]Normy VP'!$G$27:$J$27,-1),MATCH(M80+1,'[1]Normy VP'!$G$28:$J$28,-1),MATCH(M80+1,'[1]Normy VP'!$G$29:$J$29,-1),"muž"),(CHOOSE(_xlfn.ARABIC($H80),MATCH(M80+1,'[1]Normy VP'!$K$10:$N$10,-1),MATCH(M80+1,'[1]Normy VP'!$K$11:$N$11,-1),MATCH(M80+1,'[1]Normy VP'!$K$12:$N$12,-1),MATCH(M80+1,'[1]Normy VP'!$K$13:$N$13,-1),MATCH(M80+1,'[1]Normy VP'!$K$14:$N$14,-1),"")))),"O")</f>
        <v>N</v>
      </c>
      <c r="T80" s="34" t="str">
        <f t="shared" si="6"/>
        <v>N</v>
      </c>
      <c r="U80" s="24" t="str">
        <f>IF(OR($J80="",$J80="odešel"),IF(N80="","N",IF($F80="žena",CHOOSE(_xlfn.ARABIC($H80),MATCH(N80+1,'[1]Normy VP'!$K$25:$N$25,-1),MATCH(N80+1,'[1]Normy VP'!$K$26:$N$26,-1),MATCH(N80+1,'[1]Normy VP'!$K$27:$N$27,-1),MATCH(N80+1,'[1]Normy VP'!$K$28:$N$28,-1),MATCH(N80+1,'[1]Normy VP'!$K$29:$N$29,-1),MATCH(N80+1,'[1]Normy VP'!$K$30:$N$30,-1)),CHOOSE(_xlfn.ARABIC($H80),MATCH(N80+1,'[1]Normy VP'!$O$10:$R$10,-1),MATCH(N80+1,'[1]Normy VP'!$O$11:$R$11,-1),MATCH(N80+1,'[1]Normy VP'!$O$12:$R$12,-1),MATCH(N80+1,'[1]Normy VP'!$O$13:$R$13,-1),MATCH(N80+1,'[1]Normy VP'!$O$14:$R$14,-1),MATCH(N80+1,'[1]Normy VP'!$O$15:$R$15,-1)))),"O")</f>
        <v>N</v>
      </c>
      <c r="V80" s="26" t="str">
        <f>IF(OR($J80="",$J80="odešel"),IF(O80="","N",IF($F80="žena",CHOOSE(_xlfn.ARABIC($H80),MATCH(O80-1,'[1]Normy VP'!$O$25:$R$25),MATCH(O80-1,'[1]Normy VP'!$O$26:$R$26),MATCH(O80-1,'[1]Normy VP'!$O$27:$R$27),MATCH(O80-1,'[1]Normy VP'!$O$28:$R$28),MATCH(O80-1,'[1]Normy VP'!$O$29:$R$29),MATCH(O80-1,'[1]Normy VP'!$O$30:$R$30)),CHOOSE(_xlfn.ARABIC($H80),MATCH(O80-1,'[1]Normy VP'!$S$10:$V$10),MATCH(O80-1,'[1]Normy VP'!$S$11:$V$11),MATCH(O80-1,'[1]Normy VP'!$S$12:$V$12),MATCH(O80-1,'[1]Normy VP'!$S$13:$V$13),MATCH(O80-1,'[1]Normy VP'!$S$14:$V$14),MATCH(O80-1,'[1]Normy VP'!$S$15:$V$15)))),"O")</f>
        <v>N</v>
      </c>
      <c r="W80" s="34" t="str">
        <f t="shared" si="7"/>
        <v>N</v>
      </c>
      <c r="X80" s="27" t="str">
        <f>IF(COUNTIF(B80:G80,"")&gt;0,"",IF(COUNTIF([1]PP!$A:$A,A80)=0,"neni v PP",IF(OR(Y80="odešel",VLOOKUP(A80,[1]PP!$A:$W,22,FALSE)="odešel"),"odešel",IF(OR(Y80="N",VLOOKUP(A80,[1]PP!$A:$W,22,FALSE)="N"),"N",IF(OR(Y80="C",VLOOKUP(A80,[1]PP!$A:$W,22,FALSE)="C"),"C",IF(OR(Y80="DZO",VLOOKUP(A80,[1]PP!$A:$W,22,FALSE)="DZO"),"DZO",IF(OR(Y80="mise",Y80="disp.",Y80="končí",Y80="DSC",VLOOKUP(A80,[1]PP!$A:$W,22,FALSE)="mise",VLOOKUP(A80,[1]PP!$A:$W,22,FALSE)="disp.",VLOOKUP(A80,[1]PP!$A:$W,22,FALSE)="končí",VLOOKUP(A80,[1]PP!$A:$W,22,FALSE)="DSC"),"jiné",IF(OR(Y80=4,VLOOKUP(A80,[1]PP!$A:$W,22,FALSE)=4),4,IF(OR(Y80=3,VLOOKUP(A80,[1]PP!$A:$W,22,FALSE)=3),3,IF(OR(Y80=2,VLOOKUP(A80,[1]PP!$A:$W,22,FALSE)=2),2,IF(AND(Y80=1,VLOOKUP(A80,[1]PP!$A:$W,22,FALSE)=1),1)))))))))))</f>
        <v/>
      </c>
      <c r="Y80" s="28" t="str">
        <f>IF(COUNTIF(B80:G80,"")&gt;0,"",IF(COUNTIF([1]PP!$A:$A,A80)=0,"neni v PP",IF(VLOOKUP(A80,[1]PP!$A:$W,8,FALSE)="odešel","odešel",IF(F80="","",IF(J80="",IF(OR(T80=4,W80=4),4,IF(AND(T80="N",W80="N"),"N",IF(OR(T80="N",W80="N"),4,ROUND(AVERAGE(T80,W80),0)))),J80)))))</f>
        <v/>
      </c>
      <c r="Z80" s="29" t="str">
        <f>IF(COUNTIF(B80:G80,"")=0,IF(X80="neni v PP",CONCATENATE("ID: &lt;",A80,"&gt; se neshoduje s žádným IDem v kartě PP"),IF(COUNTIF($A:$A,A80)&gt;1,CONCATENATE("ID: &lt;",A80,"&gt; se v kartě VP opakuje. Je nutné tyto IDy od sebe odlišit, např. mezerou za příjmením."),IF(COUNTIF([1]PP!A:A,A80)&gt;1,CONCATENATE("ID: &lt;",A80,"&gt; se v kartě PP opakuje. Je nutné tyto IDy od sebe odlišit, např. mezerou za příjmením."),IF(VLOOKUP(A80,[1]PP!$A:$W,5,FALSE)&lt;&gt;E80,CONCATENATE($E$4," &lt;",E80,"&gt; se neshoduje s jednotkou v kartě PP"," &lt;",VLOOKUP(A80,[1]PP!$A:$W,5,FALSE),"&gt;"),IF(AND(COUNTIF(K80:O80,"")&lt;5,J80="",I80=""),CONCATENATE("Doplň: ",$I$4),IF(AND(YEAR(I80)&lt;&gt;$E$2,COUNTIF(I80,"")=0),CONCATENATE("špatně uveden &lt;",$D$2,"&gt; nebo &lt;",$I$4,"&gt;"),IF(OR(AND(OR(COUNTIF(C80,"*a"),COUNTIF(C80,"*ie"),COUNTIF(C80,"*ine"),COUNTIF(D80,"*Á")),F80="muž"),AND(AND(COUNTIF(C80,"&lt;&gt;"&amp;"*a"),COUNTIF(C80,"&lt;&gt;"&amp;"*ie"),COUNTIF(C80,"&lt;&gt;"&amp;"*ine"),COUNTIF(D80,"&lt;&gt;"&amp;"*Á")),F80="žena")),CONCATENATE(C80," ",D80," je ",F80,"?"),""))))))),IF(COUNTIF(B80:O80,"")=14,"",CONCATENATE("Doplň: ",IF(B80="",CONCATENATE($B$4,IF(COUNTIF(C80:G80,"")=0,"",", ")),""),IF(C80="",CONCATENATE($C$4,IF(COUNTIF(D80:G80,"")=0,"",", ")),""),IF(D80="",CONCATENATE($D$4,IF(COUNTIF(E80:G80,"")=0,"",", ")),""),IF(E80="",CONCATENATE($E$4,IF(COUNTIF(F80:G80,"")=0,"",", ")),""),IF(F80="",CONCATENATE($F$4,IF(G80="",", ","")),""),IF(G80="",$G$4,""))))</f>
        <v/>
      </c>
      <c r="AA80" s="30"/>
    </row>
    <row r="81" spans="1:27" ht="16" x14ac:dyDescent="0.35">
      <c r="A81" s="14" t="str">
        <f t="shared" si="4"/>
        <v xml:space="preserve">  </v>
      </c>
      <c r="B81" s="15"/>
      <c r="C81" s="31"/>
      <c r="D81" s="31"/>
      <c r="E81" s="17"/>
      <c r="F81" s="18"/>
      <c r="G81" s="32"/>
      <c r="H81" s="33" t="str">
        <f>IF(G81="","",IF(F81="žena",ROMAN(MATCH(G81+1,'[1]Normy VP'!$Y$27:$Y$33,-1)),ROMAN(MATCH(G81+1,'[1]Normy VP'!$Y$19:$Y$25,-1))))</f>
        <v/>
      </c>
      <c r="I81" s="21"/>
      <c r="J81" s="22"/>
      <c r="K81" s="23"/>
      <c r="L81" s="23"/>
      <c r="M81" s="23"/>
      <c r="N81" s="22"/>
      <c r="O81" s="22"/>
      <c r="P81" s="24" t="str">
        <f>IF(OR($J81="",$J81="odešel"),IF(K81="","",IF($F81="žena",CHOOSE(_xlfn.ARABIC($H81),MATCH(K81+1,'[1]Normy VP'!$C$25:$F$25,-1),MATCH(K81+1,'[1]Normy VP'!$C$26:$F$26,-1),MATCH(K81+1,'[1]Normy VP'!$C$27:$F$27,-1),MATCH(K81+1,'[1]Normy VP'!$C$28:$F$28,-1),MATCH(K81+1,'[1]Normy VP'!$C$29:$F$29,-1),"muž"),CHOOSE(_xlfn.ARABIC($H81),MATCH(K81+1,'[1]Normy VP'!$C$10:$F$10,-1),MATCH(K81+1,'[1]Normy VP'!$C$11:$F$11,-1),MATCH(K81+1,'[1]Normy VP'!$C$12:$F$12,-1),MATCH(K81+1,'[1]Normy VP'!$C$13:$F$13,-1),MATCH(K81+1,'[1]Normy VP'!$C$14:$F$14,-1),""))),"O")</f>
        <v/>
      </c>
      <c r="Q81" s="24" t="str">
        <f>IF(OR($J81="",$J81="odešel"),IF($F81="žena","",IF(L81="","",(CHOOSE(_xlfn.ARABIC($H81),MATCH(L81+1,'[1]Normy VP'!$G$10:$J$10,-1),MATCH(L81+1,'[1]Normy VP'!$G$11:$J$11,-1),MATCH(L81+1,'[1]Normy VP'!$G$12:$J$12,-1),MATCH(L81+1,'[1]Normy VP'!$G$13:$J$13,-1),MATCH(L81+1,'[1]Normy VP'!$G$14:$J$14,-1),"")))),"O")</f>
        <v/>
      </c>
      <c r="R81" s="34" t="str">
        <f t="shared" si="5"/>
        <v>N</v>
      </c>
      <c r="S81" s="24" t="str">
        <f>IF(OR($J81="",$J81="odešel"),IF(M81="","N",IF($F81="žena",CHOOSE(_xlfn.ARABIC($H81),MATCH(M81+1,'[1]Normy VP'!$G$25:$J$25,-1),MATCH(M81+1,'[1]Normy VP'!$G$26:$J$26,-1),MATCH(M81+1,'[1]Normy VP'!$G$27:$J$27,-1),MATCH(M81+1,'[1]Normy VP'!$G$28:$J$28,-1),MATCH(M81+1,'[1]Normy VP'!$G$29:$J$29,-1),"muž"),(CHOOSE(_xlfn.ARABIC($H81),MATCH(M81+1,'[1]Normy VP'!$K$10:$N$10,-1),MATCH(M81+1,'[1]Normy VP'!$K$11:$N$11,-1),MATCH(M81+1,'[1]Normy VP'!$K$12:$N$12,-1),MATCH(M81+1,'[1]Normy VP'!$K$13:$N$13,-1),MATCH(M81+1,'[1]Normy VP'!$K$14:$N$14,-1),"")))),"O")</f>
        <v>N</v>
      </c>
      <c r="T81" s="34" t="str">
        <f t="shared" si="6"/>
        <v>N</v>
      </c>
      <c r="U81" s="24" t="str">
        <f>IF(OR($J81="",$J81="odešel"),IF(N81="","N",IF($F81="žena",CHOOSE(_xlfn.ARABIC($H81),MATCH(N81+1,'[1]Normy VP'!$K$25:$N$25,-1),MATCH(N81+1,'[1]Normy VP'!$K$26:$N$26,-1),MATCH(N81+1,'[1]Normy VP'!$K$27:$N$27,-1),MATCH(N81+1,'[1]Normy VP'!$K$28:$N$28,-1),MATCH(N81+1,'[1]Normy VP'!$K$29:$N$29,-1),MATCH(N81+1,'[1]Normy VP'!$K$30:$N$30,-1)),CHOOSE(_xlfn.ARABIC($H81),MATCH(N81+1,'[1]Normy VP'!$O$10:$R$10,-1),MATCH(N81+1,'[1]Normy VP'!$O$11:$R$11,-1),MATCH(N81+1,'[1]Normy VP'!$O$12:$R$12,-1),MATCH(N81+1,'[1]Normy VP'!$O$13:$R$13,-1),MATCH(N81+1,'[1]Normy VP'!$O$14:$R$14,-1),MATCH(N81+1,'[1]Normy VP'!$O$15:$R$15,-1)))),"O")</f>
        <v>N</v>
      </c>
      <c r="V81" s="26" t="str">
        <f>IF(OR($J81="",$J81="odešel"),IF(O81="","N",IF($F81="žena",CHOOSE(_xlfn.ARABIC($H81),MATCH(O81-1,'[1]Normy VP'!$O$25:$R$25),MATCH(O81-1,'[1]Normy VP'!$O$26:$R$26),MATCH(O81-1,'[1]Normy VP'!$O$27:$R$27),MATCH(O81-1,'[1]Normy VP'!$O$28:$R$28),MATCH(O81-1,'[1]Normy VP'!$O$29:$R$29),MATCH(O81-1,'[1]Normy VP'!$O$30:$R$30)),CHOOSE(_xlfn.ARABIC($H81),MATCH(O81-1,'[1]Normy VP'!$S$10:$V$10),MATCH(O81-1,'[1]Normy VP'!$S$11:$V$11),MATCH(O81-1,'[1]Normy VP'!$S$12:$V$12),MATCH(O81-1,'[1]Normy VP'!$S$13:$V$13),MATCH(O81-1,'[1]Normy VP'!$S$14:$V$14),MATCH(O81-1,'[1]Normy VP'!$S$15:$V$15)))),"O")</f>
        <v>N</v>
      </c>
      <c r="W81" s="34" t="str">
        <f t="shared" si="7"/>
        <v>N</v>
      </c>
      <c r="X81" s="27" t="str">
        <f>IF(COUNTIF(B81:G81,"")&gt;0,"",IF(COUNTIF([1]PP!$A:$A,A81)=0,"neni v PP",IF(OR(Y81="odešel",VLOOKUP(A81,[1]PP!$A:$W,22,FALSE)="odešel"),"odešel",IF(OR(Y81="N",VLOOKUP(A81,[1]PP!$A:$W,22,FALSE)="N"),"N",IF(OR(Y81="C",VLOOKUP(A81,[1]PP!$A:$W,22,FALSE)="C"),"C",IF(OR(Y81="DZO",VLOOKUP(A81,[1]PP!$A:$W,22,FALSE)="DZO"),"DZO",IF(OR(Y81="mise",Y81="disp.",Y81="končí",Y81="DSC",VLOOKUP(A81,[1]PP!$A:$W,22,FALSE)="mise",VLOOKUP(A81,[1]PP!$A:$W,22,FALSE)="disp.",VLOOKUP(A81,[1]PP!$A:$W,22,FALSE)="končí",VLOOKUP(A81,[1]PP!$A:$W,22,FALSE)="DSC"),"jiné",IF(OR(Y81=4,VLOOKUP(A81,[1]PP!$A:$W,22,FALSE)=4),4,IF(OR(Y81=3,VLOOKUP(A81,[1]PP!$A:$W,22,FALSE)=3),3,IF(OR(Y81=2,VLOOKUP(A81,[1]PP!$A:$W,22,FALSE)=2),2,IF(AND(Y81=1,VLOOKUP(A81,[1]PP!$A:$W,22,FALSE)=1),1)))))))))))</f>
        <v/>
      </c>
      <c r="Y81" s="28" t="str">
        <f>IF(COUNTIF(B81:G81,"")&gt;0,"",IF(COUNTIF([1]PP!$A:$A,A81)=0,"neni v PP",IF(VLOOKUP(A81,[1]PP!$A:$W,8,FALSE)="odešel","odešel",IF(F81="","",IF(J81="",IF(OR(T81=4,W81=4),4,IF(AND(T81="N",W81="N"),"N",IF(OR(T81="N",W81="N"),4,ROUND(AVERAGE(T81,W81),0)))),J81)))))</f>
        <v/>
      </c>
      <c r="Z81" s="29" t="str">
        <f>IF(COUNTIF(B81:G81,"")=0,IF(X81="neni v PP",CONCATENATE("ID: &lt;",A81,"&gt; se neshoduje s žádným IDem v kartě PP"),IF(COUNTIF($A:$A,A81)&gt;1,CONCATENATE("ID: &lt;",A81,"&gt; se v kartě VP opakuje. Je nutné tyto IDy od sebe odlišit, např. mezerou za příjmením."),IF(COUNTIF([1]PP!A:A,A81)&gt;1,CONCATENATE("ID: &lt;",A81,"&gt; se v kartě PP opakuje. Je nutné tyto IDy od sebe odlišit, např. mezerou za příjmením."),IF(VLOOKUP(A81,[1]PP!$A:$W,5,FALSE)&lt;&gt;E81,CONCATENATE($E$4," &lt;",E81,"&gt; se neshoduje s jednotkou v kartě PP"," &lt;",VLOOKUP(A81,[1]PP!$A:$W,5,FALSE),"&gt;"),IF(AND(COUNTIF(K81:O81,"")&lt;5,J81="",I81=""),CONCATENATE("Doplň: ",$I$4),IF(AND(YEAR(I81)&lt;&gt;$E$2,COUNTIF(I81,"")=0),CONCATENATE("špatně uveden &lt;",$D$2,"&gt; nebo &lt;",$I$4,"&gt;"),IF(OR(AND(OR(COUNTIF(C81,"*a"),COUNTIF(C81,"*ie"),COUNTIF(C81,"*ine"),COUNTIF(D81,"*Á")),F81="muž"),AND(AND(COUNTIF(C81,"&lt;&gt;"&amp;"*a"),COUNTIF(C81,"&lt;&gt;"&amp;"*ie"),COUNTIF(C81,"&lt;&gt;"&amp;"*ine"),COUNTIF(D81,"&lt;&gt;"&amp;"*Á")),F81="žena")),CONCATENATE(C81," ",D81," je ",F81,"?"),""))))))),IF(COUNTIF(B81:O81,"")=14,"",CONCATENATE("Doplň: ",IF(B81="",CONCATENATE($B$4,IF(COUNTIF(C81:G81,"")=0,"",", ")),""),IF(C81="",CONCATENATE($C$4,IF(COUNTIF(D81:G81,"")=0,"",", ")),""),IF(D81="",CONCATENATE($D$4,IF(COUNTIF(E81:G81,"")=0,"",", ")),""),IF(E81="",CONCATENATE($E$4,IF(COUNTIF(F81:G81,"")=0,"",", ")),""),IF(F81="",CONCATENATE($F$4,IF(G81="",", ","")),""),IF(G81="",$G$4,""))))</f>
        <v/>
      </c>
      <c r="AA81" s="30"/>
    </row>
    <row r="82" spans="1:27" ht="16" x14ac:dyDescent="0.35">
      <c r="A82" s="14" t="str">
        <f t="shared" si="4"/>
        <v xml:space="preserve">  </v>
      </c>
      <c r="B82" s="15"/>
      <c r="C82" s="31"/>
      <c r="D82" s="31"/>
      <c r="E82" s="17"/>
      <c r="F82" s="18"/>
      <c r="G82" s="32"/>
      <c r="H82" s="33" t="str">
        <f>IF(G82="","",IF(F82="žena",ROMAN(MATCH(G82+1,'[1]Normy VP'!$Y$27:$Y$33,-1)),ROMAN(MATCH(G82+1,'[1]Normy VP'!$Y$19:$Y$25,-1))))</f>
        <v/>
      </c>
      <c r="I82" s="21"/>
      <c r="J82" s="22"/>
      <c r="K82" s="23"/>
      <c r="L82" s="23"/>
      <c r="M82" s="23"/>
      <c r="N82" s="22"/>
      <c r="O82" s="22"/>
      <c r="P82" s="24" t="str">
        <f>IF(OR($J82="",$J82="odešel"),IF(K82="","",IF($F82="žena",CHOOSE(_xlfn.ARABIC($H82),MATCH(K82+1,'[1]Normy VP'!$C$25:$F$25,-1),MATCH(K82+1,'[1]Normy VP'!$C$26:$F$26,-1),MATCH(K82+1,'[1]Normy VP'!$C$27:$F$27,-1),MATCH(K82+1,'[1]Normy VP'!$C$28:$F$28,-1),MATCH(K82+1,'[1]Normy VP'!$C$29:$F$29,-1),"muž"),CHOOSE(_xlfn.ARABIC($H82),MATCH(K82+1,'[1]Normy VP'!$C$10:$F$10,-1),MATCH(K82+1,'[1]Normy VP'!$C$11:$F$11,-1),MATCH(K82+1,'[1]Normy VP'!$C$12:$F$12,-1),MATCH(K82+1,'[1]Normy VP'!$C$13:$F$13,-1),MATCH(K82+1,'[1]Normy VP'!$C$14:$F$14,-1),""))),"O")</f>
        <v/>
      </c>
      <c r="Q82" s="24" t="str">
        <f>IF(OR($J82="",$J82="odešel"),IF($F82="žena","",IF(L82="","",(CHOOSE(_xlfn.ARABIC($H82),MATCH(L82+1,'[1]Normy VP'!$G$10:$J$10,-1),MATCH(L82+1,'[1]Normy VP'!$G$11:$J$11,-1),MATCH(L82+1,'[1]Normy VP'!$G$12:$J$12,-1),MATCH(L82+1,'[1]Normy VP'!$G$13:$J$13,-1),MATCH(L82+1,'[1]Normy VP'!$G$14:$J$14,-1),"")))),"O")</f>
        <v/>
      </c>
      <c r="R82" s="34" t="str">
        <f t="shared" si="5"/>
        <v>N</v>
      </c>
      <c r="S82" s="24" t="str">
        <f>IF(OR($J82="",$J82="odešel"),IF(M82="","N",IF($F82="žena",CHOOSE(_xlfn.ARABIC($H82),MATCH(M82+1,'[1]Normy VP'!$G$25:$J$25,-1),MATCH(M82+1,'[1]Normy VP'!$G$26:$J$26,-1),MATCH(M82+1,'[1]Normy VP'!$G$27:$J$27,-1),MATCH(M82+1,'[1]Normy VP'!$G$28:$J$28,-1),MATCH(M82+1,'[1]Normy VP'!$G$29:$J$29,-1),"muž"),(CHOOSE(_xlfn.ARABIC($H82),MATCH(M82+1,'[1]Normy VP'!$K$10:$N$10,-1),MATCH(M82+1,'[1]Normy VP'!$K$11:$N$11,-1),MATCH(M82+1,'[1]Normy VP'!$K$12:$N$12,-1),MATCH(M82+1,'[1]Normy VP'!$K$13:$N$13,-1),MATCH(M82+1,'[1]Normy VP'!$K$14:$N$14,-1),"")))),"O")</f>
        <v>N</v>
      </c>
      <c r="T82" s="34" t="str">
        <f t="shared" si="6"/>
        <v>N</v>
      </c>
      <c r="U82" s="24" t="str">
        <f>IF(OR($J82="",$J82="odešel"),IF(N82="","N",IF($F82="žena",CHOOSE(_xlfn.ARABIC($H82),MATCH(N82+1,'[1]Normy VP'!$K$25:$N$25,-1),MATCH(N82+1,'[1]Normy VP'!$K$26:$N$26,-1),MATCH(N82+1,'[1]Normy VP'!$K$27:$N$27,-1),MATCH(N82+1,'[1]Normy VP'!$K$28:$N$28,-1),MATCH(N82+1,'[1]Normy VP'!$K$29:$N$29,-1),MATCH(N82+1,'[1]Normy VP'!$K$30:$N$30,-1)),CHOOSE(_xlfn.ARABIC($H82),MATCH(N82+1,'[1]Normy VP'!$O$10:$R$10,-1),MATCH(N82+1,'[1]Normy VP'!$O$11:$R$11,-1),MATCH(N82+1,'[1]Normy VP'!$O$12:$R$12,-1),MATCH(N82+1,'[1]Normy VP'!$O$13:$R$13,-1),MATCH(N82+1,'[1]Normy VP'!$O$14:$R$14,-1),MATCH(N82+1,'[1]Normy VP'!$O$15:$R$15,-1)))),"O")</f>
        <v>N</v>
      </c>
      <c r="V82" s="26" t="str">
        <f>IF(OR($J82="",$J82="odešel"),IF(O82="","N",IF($F82="žena",CHOOSE(_xlfn.ARABIC($H82),MATCH(O82-1,'[1]Normy VP'!$O$25:$R$25),MATCH(O82-1,'[1]Normy VP'!$O$26:$R$26),MATCH(O82-1,'[1]Normy VP'!$O$27:$R$27),MATCH(O82-1,'[1]Normy VP'!$O$28:$R$28),MATCH(O82-1,'[1]Normy VP'!$O$29:$R$29),MATCH(O82-1,'[1]Normy VP'!$O$30:$R$30)),CHOOSE(_xlfn.ARABIC($H82),MATCH(O82-1,'[1]Normy VP'!$S$10:$V$10),MATCH(O82-1,'[1]Normy VP'!$S$11:$V$11),MATCH(O82-1,'[1]Normy VP'!$S$12:$V$12),MATCH(O82-1,'[1]Normy VP'!$S$13:$V$13),MATCH(O82-1,'[1]Normy VP'!$S$14:$V$14),MATCH(O82-1,'[1]Normy VP'!$S$15:$V$15)))),"O")</f>
        <v>N</v>
      </c>
      <c r="W82" s="34" t="str">
        <f t="shared" si="7"/>
        <v>N</v>
      </c>
      <c r="X82" s="27" t="str">
        <f>IF(COUNTIF(B82:G82,"")&gt;0,"",IF(COUNTIF([1]PP!$A:$A,A82)=0,"neni v PP",IF(OR(Y82="odešel",VLOOKUP(A82,[1]PP!$A:$W,22,FALSE)="odešel"),"odešel",IF(OR(Y82="N",VLOOKUP(A82,[1]PP!$A:$W,22,FALSE)="N"),"N",IF(OR(Y82="C",VLOOKUP(A82,[1]PP!$A:$W,22,FALSE)="C"),"C",IF(OR(Y82="DZO",VLOOKUP(A82,[1]PP!$A:$W,22,FALSE)="DZO"),"DZO",IF(OR(Y82="mise",Y82="disp.",Y82="končí",Y82="DSC",VLOOKUP(A82,[1]PP!$A:$W,22,FALSE)="mise",VLOOKUP(A82,[1]PP!$A:$W,22,FALSE)="disp.",VLOOKUP(A82,[1]PP!$A:$W,22,FALSE)="končí",VLOOKUP(A82,[1]PP!$A:$W,22,FALSE)="DSC"),"jiné",IF(OR(Y82=4,VLOOKUP(A82,[1]PP!$A:$W,22,FALSE)=4),4,IF(OR(Y82=3,VLOOKUP(A82,[1]PP!$A:$W,22,FALSE)=3),3,IF(OR(Y82=2,VLOOKUP(A82,[1]PP!$A:$W,22,FALSE)=2),2,IF(AND(Y82=1,VLOOKUP(A82,[1]PP!$A:$W,22,FALSE)=1),1)))))))))))</f>
        <v/>
      </c>
      <c r="Y82" s="28" t="str">
        <f>IF(COUNTIF(B82:G82,"")&gt;0,"",IF(COUNTIF([1]PP!$A:$A,A82)=0,"neni v PP",IF(VLOOKUP(A82,[1]PP!$A:$W,8,FALSE)="odešel","odešel",IF(F82="","",IF(J82="",IF(OR(T82=4,W82=4),4,IF(AND(T82="N",W82="N"),"N",IF(OR(T82="N",W82="N"),4,ROUND(AVERAGE(T82,W82),0)))),J82)))))</f>
        <v/>
      </c>
      <c r="Z82" s="29" t="str">
        <f>IF(COUNTIF(B82:G82,"")=0,IF(X82="neni v PP",CONCATENATE("ID: &lt;",A82,"&gt; se neshoduje s žádným IDem v kartě PP"),IF(COUNTIF($A:$A,A82)&gt;1,CONCATENATE("ID: &lt;",A82,"&gt; se v kartě VP opakuje. Je nutné tyto IDy od sebe odlišit, např. mezerou za příjmením."),IF(COUNTIF([1]PP!A:A,A82)&gt;1,CONCATENATE("ID: &lt;",A82,"&gt; se v kartě PP opakuje. Je nutné tyto IDy od sebe odlišit, např. mezerou za příjmením."),IF(VLOOKUP(A82,[1]PP!$A:$W,5,FALSE)&lt;&gt;E82,CONCATENATE($E$4," &lt;",E82,"&gt; se neshoduje s jednotkou v kartě PP"," &lt;",VLOOKUP(A82,[1]PP!$A:$W,5,FALSE),"&gt;"),IF(AND(COUNTIF(K82:O82,"")&lt;5,J82="",I82=""),CONCATENATE("Doplň: ",$I$4),IF(AND(YEAR(I82)&lt;&gt;$E$2,COUNTIF(I82,"")=0),CONCATENATE("špatně uveden &lt;",$D$2,"&gt; nebo &lt;",$I$4,"&gt;"),IF(OR(AND(OR(COUNTIF(C82,"*a"),COUNTIF(C82,"*ie"),COUNTIF(C82,"*ine"),COUNTIF(D82,"*Á")),F82="muž"),AND(AND(COUNTIF(C82,"&lt;&gt;"&amp;"*a"),COUNTIF(C82,"&lt;&gt;"&amp;"*ie"),COUNTIF(C82,"&lt;&gt;"&amp;"*ine"),COUNTIF(D82,"&lt;&gt;"&amp;"*Á")),F82="žena")),CONCATENATE(C82," ",D82," je ",F82,"?"),""))))))),IF(COUNTIF(B82:O82,"")=14,"",CONCATENATE("Doplň: ",IF(B82="",CONCATENATE($B$4,IF(COUNTIF(C82:G82,"")=0,"",", ")),""),IF(C82="",CONCATENATE($C$4,IF(COUNTIF(D82:G82,"")=0,"",", ")),""),IF(D82="",CONCATENATE($D$4,IF(COUNTIF(E82:G82,"")=0,"",", ")),""),IF(E82="",CONCATENATE($E$4,IF(COUNTIF(F82:G82,"")=0,"",", ")),""),IF(F82="",CONCATENATE($F$4,IF(G82="",", ","")),""),IF(G82="",$G$4,""))))</f>
        <v/>
      </c>
      <c r="AA82" s="30"/>
    </row>
    <row r="83" spans="1:27" ht="16" x14ac:dyDescent="0.35">
      <c r="A83" s="14" t="str">
        <f t="shared" si="4"/>
        <v xml:space="preserve">  </v>
      </c>
      <c r="B83" s="15"/>
      <c r="C83" s="31"/>
      <c r="D83" s="31"/>
      <c r="E83" s="17"/>
      <c r="F83" s="18"/>
      <c r="G83" s="32"/>
      <c r="H83" s="33" t="str">
        <f>IF(G83="","",IF(F83="žena",ROMAN(MATCH(G83+1,'[1]Normy VP'!$Y$27:$Y$33,-1)),ROMAN(MATCH(G83+1,'[1]Normy VP'!$Y$19:$Y$25,-1))))</f>
        <v/>
      </c>
      <c r="I83" s="21"/>
      <c r="J83" s="22"/>
      <c r="K83" s="23"/>
      <c r="L83" s="23"/>
      <c r="M83" s="23"/>
      <c r="N83" s="22"/>
      <c r="O83" s="22"/>
      <c r="P83" s="24" t="str">
        <f>IF(OR($J83="",$J83="odešel"),IF(K83="","",IF($F83="žena",CHOOSE(_xlfn.ARABIC($H83),MATCH(K83+1,'[1]Normy VP'!$C$25:$F$25,-1),MATCH(K83+1,'[1]Normy VP'!$C$26:$F$26,-1),MATCH(K83+1,'[1]Normy VP'!$C$27:$F$27,-1),MATCH(K83+1,'[1]Normy VP'!$C$28:$F$28,-1),MATCH(K83+1,'[1]Normy VP'!$C$29:$F$29,-1),"muž"),CHOOSE(_xlfn.ARABIC($H83),MATCH(K83+1,'[1]Normy VP'!$C$10:$F$10,-1),MATCH(K83+1,'[1]Normy VP'!$C$11:$F$11,-1),MATCH(K83+1,'[1]Normy VP'!$C$12:$F$12,-1),MATCH(K83+1,'[1]Normy VP'!$C$13:$F$13,-1),MATCH(K83+1,'[1]Normy VP'!$C$14:$F$14,-1),""))),"O")</f>
        <v/>
      </c>
      <c r="Q83" s="24" t="str">
        <f>IF(OR($J83="",$J83="odešel"),IF($F83="žena","",IF(L83="","",(CHOOSE(_xlfn.ARABIC($H83),MATCH(L83+1,'[1]Normy VP'!$G$10:$J$10,-1),MATCH(L83+1,'[1]Normy VP'!$G$11:$J$11,-1),MATCH(L83+1,'[1]Normy VP'!$G$12:$J$12,-1),MATCH(L83+1,'[1]Normy VP'!$G$13:$J$13,-1),MATCH(L83+1,'[1]Normy VP'!$G$14:$J$14,-1),"")))),"O")</f>
        <v/>
      </c>
      <c r="R83" s="34" t="str">
        <f t="shared" si="5"/>
        <v>N</v>
      </c>
      <c r="S83" s="24" t="str">
        <f>IF(OR($J83="",$J83="odešel"),IF(M83="","N",IF($F83="žena",CHOOSE(_xlfn.ARABIC($H83),MATCH(M83+1,'[1]Normy VP'!$G$25:$J$25,-1),MATCH(M83+1,'[1]Normy VP'!$G$26:$J$26,-1),MATCH(M83+1,'[1]Normy VP'!$G$27:$J$27,-1),MATCH(M83+1,'[1]Normy VP'!$G$28:$J$28,-1),MATCH(M83+1,'[1]Normy VP'!$G$29:$J$29,-1),"muž"),(CHOOSE(_xlfn.ARABIC($H83),MATCH(M83+1,'[1]Normy VP'!$K$10:$N$10,-1),MATCH(M83+1,'[1]Normy VP'!$K$11:$N$11,-1),MATCH(M83+1,'[1]Normy VP'!$K$12:$N$12,-1),MATCH(M83+1,'[1]Normy VP'!$K$13:$N$13,-1),MATCH(M83+1,'[1]Normy VP'!$K$14:$N$14,-1),"")))),"O")</f>
        <v>N</v>
      </c>
      <c r="T83" s="34" t="str">
        <f t="shared" si="6"/>
        <v>N</v>
      </c>
      <c r="U83" s="24" t="str">
        <f>IF(OR($J83="",$J83="odešel"),IF(N83="","N",IF($F83="žena",CHOOSE(_xlfn.ARABIC($H83),MATCH(N83+1,'[1]Normy VP'!$K$25:$N$25,-1),MATCH(N83+1,'[1]Normy VP'!$K$26:$N$26,-1),MATCH(N83+1,'[1]Normy VP'!$K$27:$N$27,-1),MATCH(N83+1,'[1]Normy VP'!$K$28:$N$28,-1),MATCH(N83+1,'[1]Normy VP'!$K$29:$N$29,-1),MATCH(N83+1,'[1]Normy VP'!$K$30:$N$30,-1)),CHOOSE(_xlfn.ARABIC($H83),MATCH(N83+1,'[1]Normy VP'!$O$10:$R$10,-1),MATCH(N83+1,'[1]Normy VP'!$O$11:$R$11,-1),MATCH(N83+1,'[1]Normy VP'!$O$12:$R$12,-1),MATCH(N83+1,'[1]Normy VP'!$O$13:$R$13,-1),MATCH(N83+1,'[1]Normy VP'!$O$14:$R$14,-1),MATCH(N83+1,'[1]Normy VP'!$O$15:$R$15,-1)))),"O")</f>
        <v>N</v>
      </c>
      <c r="V83" s="26" t="str">
        <f>IF(OR($J83="",$J83="odešel"),IF(O83="","N",IF($F83="žena",CHOOSE(_xlfn.ARABIC($H83),MATCH(O83-1,'[1]Normy VP'!$O$25:$R$25),MATCH(O83-1,'[1]Normy VP'!$O$26:$R$26),MATCH(O83-1,'[1]Normy VP'!$O$27:$R$27),MATCH(O83-1,'[1]Normy VP'!$O$28:$R$28),MATCH(O83-1,'[1]Normy VP'!$O$29:$R$29),MATCH(O83-1,'[1]Normy VP'!$O$30:$R$30)),CHOOSE(_xlfn.ARABIC($H83),MATCH(O83-1,'[1]Normy VP'!$S$10:$V$10),MATCH(O83-1,'[1]Normy VP'!$S$11:$V$11),MATCH(O83-1,'[1]Normy VP'!$S$12:$V$12),MATCH(O83-1,'[1]Normy VP'!$S$13:$V$13),MATCH(O83-1,'[1]Normy VP'!$S$14:$V$14),MATCH(O83-1,'[1]Normy VP'!$S$15:$V$15)))),"O")</f>
        <v>N</v>
      </c>
      <c r="W83" s="34" t="str">
        <f t="shared" si="7"/>
        <v>N</v>
      </c>
      <c r="X83" s="27" t="str">
        <f>IF(COUNTIF(B83:G83,"")&gt;0,"",IF(COUNTIF([1]PP!$A:$A,A83)=0,"neni v PP",IF(OR(Y83="odešel",VLOOKUP(A83,[1]PP!$A:$W,22,FALSE)="odešel"),"odešel",IF(OR(Y83="N",VLOOKUP(A83,[1]PP!$A:$W,22,FALSE)="N"),"N",IF(OR(Y83="C",VLOOKUP(A83,[1]PP!$A:$W,22,FALSE)="C"),"C",IF(OR(Y83="DZO",VLOOKUP(A83,[1]PP!$A:$W,22,FALSE)="DZO"),"DZO",IF(OR(Y83="mise",Y83="disp.",Y83="končí",Y83="DSC",VLOOKUP(A83,[1]PP!$A:$W,22,FALSE)="mise",VLOOKUP(A83,[1]PP!$A:$W,22,FALSE)="disp.",VLOOKUP(A83,[1]PP!$A:$W,22,FALSE)="končí",VLOOKUP(A83,[1]PP!$A:$W,22,FALSE)="DSC"),"jiné",IF(OR(Y83=4,VLOOKUP(A83,[1]PP!$A:$W,22,FALSE)=4),4,IF(OR(Y83=3,VLOOKUP(A83,[1]PP!$A:$W,22,FALSE)=3),3,IF(OR(Y83=2,VLOOKUP(A83,[1]PP!$A:$W,22,FALSE)=2),2,IF(AND(Y83=1,VLOOKUP(A83,[1]PP!$A:$W,22,FALSE)=1),1)))))))))))</f>
        <v/>
      </c>
      <c r="Y83" s="28" t="str">
        <f>IF(COUNTIF(B83:G83,"")&gt;0,"",IF(COUNTIF([1]PP!$A:$A,A83)=0,"neni v PP",IF(VLOOKUP(A83,[1]PP!$A:$W,8,FALSE)="odešel","odešel",IF(F83="","",IF(J83="",IF(OR(T83=4,W83=4),4,IF(AND(T83="N",W83="N"),"N",IF(OR(T83="N",W83="N"),4,ROUND(AVERAGE(T83,W83),0)))),J83)))))</f>
        <v/>
      </c>
      <c r="Z83" s="29" t="str">
        <f>IF(COUNTIF(B83:G83,"")=0,IF(X83="neni v PP",CONCATENATE("ID: &lt;",A83,"&gt; se neshoduje s žádným IDem v kartě PP"),IF(COUNTIF($A:$A,A83)&gt;1,CONCATENATE("ID: &lt;",A83,"&gt; se v kartě VP opakuje. Je nutné tyto IDy od sebe odlišit, např. mezerou za příjmením."),IF(COUNTIF([1]PP!A:A,A83)&gt;1,CONCATENATE("ID: &lt;",A83,"&gt; se v kartě PP opakuje. Je nutné tyto IDy od sebe odlišit, např. mezerou za příjmením."),IF(VLOOKUP(A83,[1]PP!$A:$W,5,FALSE)&lt;&gt;E83,CONCATENATE($E$4," &lt;",E83,"&gt; se neshoduje s jednotkou v kartě PP"," &lt;",VLOOKUP(A83,[1]PP!$A:$W,5,FALSE),"&gt;"),IF(AND(COUNTIF(K83:O83,"")&lt;5,J83="",I83=""),CONCATENATE("Doplň: ",$I$4),IF(AND(YEAR(I83)&lt;&gt;$E$2,COUNTIF(I83,"")=0),CONCATENATE("špatně uveden &lt;",$D$2,"&gt; nebo &lt;",$I$4,"&gt;"),IF(OR(AND(OR(COUNTIF(C83,"*a"),COUNTIF(C83,"*ie"),COUNTIF(C83,"*ine"),COUNTIF(D83,"*Á")),F83="muž"),AND(AND(COUNTIF(C83,"&lt;&gt;"&amp;"*a"),COUNTIF(C83,"&lt;&gt;"&amp;"*ie"),COUNTIF(C83,"&lt;&gt;"&amp;"*ine"),COUNTIF(D83,"&lt;&gt;"&amp;"*Á")),F83="žena")),CONCATENATE(C83," ",D83," je ",F83,"?"),""))))))),IF(COUNTIF(B83:O83,"")=14,"",CONCATENATE("Doplň: ",IF(B83="",CONCATENATE($B$4,IF(COUNTIF(C83:G83,"")=0,"",", ")),""),IF(C83="",CONCATENATE($C$4,IF(COUNTIF(D83:G83,"")=0,"",", ")),""),IF(D83="",CONCATENATE($D$4,IF(COUNTIF(E83:G83,"")=0,"",", ")),""),IF(E83="",CONCATENATE($E$4,IF(COUNTIF(F83:G83,"")=0,"",", ")),""),IF(F83="",CONCATENATE($F$4,IF(G83="",", ","")),""),IF(G83="",$G$4,""))))</f>
        <v/>
      </c>
      <c r="AA83" s="30"/>
    </row>
    <row r="84" spans="1:27" ht="16" x14ac:dyDescent="0.35">
      <c r="A84" s="14" t="str">
        <f t="shared" si="4"/>
        <v xml:space="preserve">  </v>
      </c>
      <c r="B84" s="15"/>
      <c r="C84" s="31"/>
      <c r="D84" s="31"/>
      <c r="E84" s="17"/>
      <c r="F84" s="18"/>
      <c r="G84" s="32"/>
      <c r="H84" s="33" t="str">
        <f>IF(G84="","",IF(F84="žena",ROMAN(MATCH(G84+1,'[1]Normy VP'!$Y$27:$Y$33,-1)),ROMAN(MATCH(G84+1,'[1]Normy VP'!$Y$19:$Y$25,-1))))</f>
        <v/>
      </c>
      <c r="I84" s="21"/>
      <c r="J84" s="22"/>
      <c r="K84" s="23"/>
      <c r="L84" s="23"/>
      <c r="M84" s="23"/>
      <c r="N84" s="22"/>
      <c r="O84" s="22"/>
      <c r="P84" s="24" t="str">
        <f>IF(OR($J84="",$J84="odešel"),IF(K84="","",IF($F84="žena",CHOOSE(_xlfn.ARABIC($H84),MATCH(K84+1,'[1]Normy VP'!$C$25:$F$25,-1),MATCH(K84+1,'[1]Normy VP'!$C$26:$F$26,-1),MATCH(K84+1,'[1]Normy VP'!$C$27:$F$27,-1),MATCH(K84+1,'[1]Normy VP'!$C$28:$F$28,-1),MATCH(K84+1,'[1]Normy VP'!$C$29:$F$29,-1),"muž"),CHOOSE(_xlfn.ARABIC($H84),MATCH(K84+1,'[1]Normy VP'!$C$10:$F$10,-1),MATCH(K84+1,'[1]Normy VP'!$C$11:$F$11,-1),MATCH(K84+1,'[1]Normy VP'!$C$12:$F$12,-1),MATCH(K84+1,'[1]Normy VP'!$C$13:$F$13,-1),MATCH(K84+1,'[1]Normy VP'!$C$14:$F$14,-1),""))),"O")</f>
        <v/>
      </c>
      <c r="Q84" s="24" t="str">
        <f>IF(OR($J84="",$J84="odešel"),IF($F84="žena","",IF(L84="","",(CHOOSE(_xlfn.ARABIC($H84),MATCH(L84+1,'[1]Normy VP'!$G$10:$J$10,-1),MATCH(L84+1,'[1]Normy VP'!$G$11:$J$11,-1),MATCH(L84+1,'[1]Normy VP'!$G$12:$J$12,-1),MATCH(L84+1,'[1]Normy VP'!$G$13:$J$13,-1),MATCH(L84+1,'[1]Normy VP'!$G$14:$J$14,-1),"")))),"O")</f>
        <v/>
      </c>
      <c r="R84" s="34" t="str">
        <f t="shared" si="5"/>
        <v>N</v>
      </c>
      <c r="S84" s="24" t="str">
        <f>IF(OR($J84="",$J84="odešel"),IF(M84="","N",IF($F84="žena",CHOOSE(_xlfn.ARABIC($H84),MATCH(M84+1,'[1]Normy VP'!$G$25:$J$25,-1),MATCH(M84+1,'[1]Normy VP'!$G$26:$J$26,-1),MATCH(M84+1,'[1]Normy VP'!$G$27:$J$27,-1),MATCH(M84+1,'[1]Normy VP'!$G$28:$J$28,-1),MATCH(M84+1,'[1]Normy VP'!$G$29:$J$29,-1),"muž"),(CHOOSE(_xlfn.ARABIC($H84),MATCH(M84+1,'[1]Normy VP'!$K$10:$N$10,-1),MATCH(M84+1,'[1]Normy VP'!$K$11:$N$11,-1),MATCH(M84+1,'[1]Normy VP'!$K$12:$N$12,-1),MATCH(M84+1,'[1]Normy VP'!$K$13:$N$13,-1),MATCH(M84+1,'[1]Normy VP'!$K$14:$N$14,-1),"")))),"O")</f>
        <v>N</v>
      </c>
      <c r="T84" s="34" t="str">
        <f t="shared" si="6"/>
        <v>N</v>
      </c>
      <c r="U84" s="24" t="str">
        <f>IF(OR($J84="",$J84="odešel"),IF(N84="","N",IF($F84="žena",CHOOSE(_xlfn.ARABIC($H84),MATCH(N84+1,'[1]Normy VP'!$K$25:$N$25,-1),MATCH(N84+1,'[1]Normy VP'!$K$26:$N$26,-1),MATCH(N84+1,'[1]Normy VP'!$K$27:$N$27,-1),MATCH(N84+1,'[1]Normy VP'!$K$28:$N$28,-1),MATCH(N84+1,'[1]Normy VP'!$K$29:$N$29,-1),MATCH(N84+1,'[1]Normy VP'!$K$30:$N$30,-1)),CHOOSE(_xlfn.ARABIC($H84),MATCH(N84+1,'[1]Normy VP'!$O$10:$R$10,-1),MATCH(N84+1,'[1]Normy VP'!$O$11:$R$11,-1),MATCH(N84+1,'[1]Normy VP'!$O$12:$R$12,-1),MATCH(N84+1,'[1]Normy VP'!$O$13:$R$13,-1),MATCH(N84+1,'[1]Normy VP'!$O$14:$R$14,-1),MATCH(N84+1,'[1]Normy VP'!$O$15:$R$15,-1)))),"O")</f>
        <v>N</v>
      </c>
      <c r="V84" s="26" t="str">
        <f>IF(OR($J84="",$J84="odešel"),IF(O84="","N",IF($F84="žena",CHOOSE(_xlfn.ARABIC($H84),MATCH(O84-1,'[1]Normy VP'!$O$25:$R$25),MATCH(O84-1,'[1]Normy VP'!$O$26:$R$26),MATCH(O84-1,'[1]Normy VP'!$O$27:$R$27),MATCH(O84-1,'[1]Normy VP'!$O$28:$R$28),MATCH(O84-1,'[1]Normy VP'!$O$29:$R$29),MATCH(O84-1,'[1]Normy VP'!$O$30:$R$30)),CHOOSE(_xlfn.ARABIC($H84),MATCH(O84-1,'[1]Normy VP'!$S$10:$V$10),MATCH(O84-1,'[1]Normy VP'!$S$11:$V$11),MATCH(O84-1,'[1]Normy VP'!$S$12:$V$12),MATCH(O84-1,'[1]Normy VP'!$S$13:$V$13),MATCH(O84-1,'[1]Normy VP'!$S$14:$V$14),MATCH(O84-1,'[1]Normy VP'!$S$15:$V$15)))),"O")</f>
        <v>N</v>
      </c>
      <c r="W84" s="34" t="str">
        <f t="shared" si="7"/>
        <v>N</v>
      </c>
      <c r="X84" s="27" t="str">
        <f>IF(COUNTIF(B84:G84,"")&gt;0,"",IF(COUNTIF([1]PP!$A:$A,A84)=0,"neni v PP",IF(OR(Y84="odešel",VLOOKUP(A84,[1]PP!$A:$W,22,FALSE)="odešel"),"odešel",IF(OR(Y84="N",VLOOKUP(A84,[1]PP!$A:$W,22,FALSE)="N"),"N",IF(OR(Y84="C",VLOOKUP(A84,[1]PP!$A:$W,22,FALSE)="C"),"C",IF(OR(Y84="DZO",VLOOKUP(A84,[1]PP!$A:$W,22,FALSE)="DZO"),"DZO",IF(OR(Y84="mise",Y84="disp.",Y84="končí",Y84="DSC",VLOOKUP(A84,[1]PP!$A:$W,22,FALSE)="mise",VLOOKUP(A84,[1]PP!$A:$W,22,FALSE)="disp.",VLOOKUP(A84,[1]PP!$A:$W,22,FALSE)="končí",VLOOKUP(A84,[1]PP!$A:$W,22,FALSE)="DSC"),"jiné",IF(OR(Y84=4,VLOOKUP(A84,[1]PP!$A:$W,22,FALSE)=4),4,IF(OR(Y84=3,VLOOKUP(A84,[1]PP!$A:$W,22,FALSE)=3),3,IF(OR(Y84=2,VLOOKUP(A84,[1]PP!$A:$W,22,FALSE)=2),2,IF(AND(Y84=1,VLOOKUP(A84,[1]PP!$A:$W,22,FALSE)=1),1)))))))))))</f>
        <v/>
      </c>
      <c r="Y84" s="28" t="str">
        <f>IF(COUNTIF(B84:G84,"")&gt;0,"",IF(COUNTIF([1]PP!$A:$A,A84)=0,"neni v PP",IF(VLOOKUP(A84,[1]PP!$A:$W,8,FALSE)="odešel","odešel",IF(F84="","",IF(J84="",IF(OR(T84=4,W84=4),4,IF(AND(T84="N",W84="N"),"N",IF(OR(T84="N",W84="N"),4,ROUND(AVERAGE(T84,W84),0)))),J84)))))</f>
        <v/>
      </c>
      <c r="Z84" s="29" t="str">
        <f>IF(COUNTIF(B84:G84,"")=0,IF(X84="neni v PP",CONCATENATE("ID: &lt;",A84,"&gt; se neshoduje s žádným IDem v kartě PP"),IF(COUNTIF($A:$A,A84)&gt;1,CONCATENATE("ID: &lt;",A84,"&gt; se v kartě VP opakuje. Je nutné tyto IDy od sebe odlišit, např. mezerou za příjmením."),IF(COUNTIF([1]PP!A:A,A84)&gt;1,CONCATENATE("ID: &lt;",A84,"&gt; se v kartě PP opakuje. Je nutné tyto IDy od sebe odlišit, např. mezerou za příjmením."),IF(VLOOKUP(A84,[1]PP!$A:$W,5,FALSE)&lt;&gt;E84,CONCATENATE($E$4," &lt;",E84,"&gt; se neshoduje s jednotkou v kartě PP"," &lt;",VLOOKUP(A84,[1]PP!$A:$W,5,FALSE),"&gt;"),IF(AND(COUNTIF(K84:O84,"")&lt;5,J84="",I84=""),CONCATENATE("Doplň: ",$I$4),IF(AND(YEAR(I84)&lt;&gt;$E$2,COUNTIF(I84,"")=0),CONCATENATE("špatně uveden &lt;",$D$2,"&gt; nebo &lt;",$I$4,"&gt;"),IF(OR(AND(OR(COUNTIF(C84,"*a"),COUNTIF(C84,"*ie"),COUNTIF(C84,"*ine"),COUNTIF(D84,"*Á")),F84="muž"),AND(AND(COUNTIF(C84,"&lt;&gt;"&amp;"*a"),COUNTIF(C84,"&lt;&gt;"&amp;"*ie"),COUNTIF(C84,"&lt;&gt;"&amp;"*ine"),COUNTIF(D84,"&lt;&gt;"&amp;"*Á")),F84="žena")),CONCATENATE(C84," ",D84," je ",F84,"?"),""))))))),IF(COUNTIF(B84:O84,"")=14,"",CONCATENATE("Doplň: ",IF(B84="",CONCATENATE($B$4,IF(COUNTIF(C84:G84,"")=0,"",", ")),""),IF(C84="",CONCATENATE($C$4,IF(COUNTIF(D84:G84,"")=0,"",", ")),""),IF(D84="",CONCATENATE($D$4,IF(COUNTIF(E84:G84,"")=0,"",", ")),""),IF(E84="",CONCATENATE($E$4,IF(COUNTIF(F84:G84,"")=0,"",", ")),""),IF(F84="",CONCATENATE($F$4,IF(G84="",", ","")),""),IF(G84="",$G$4,""))))</f>
        <v/>
      </c>
      <c r="AA84" s="30"/>
    </row>
    <row r="85" spans="1:27" ht="16" x14ac:dyDescent="0.35">
      <c r="A85" s="14" t="str">
        <f t="shared" si="4"/>
        <v xml:space="preserve">  </v>
      </c>
      <c r="B85" s="15"/>
      <c r="C85" s="31"/>
      <c r="D85" s="31"/>
      <c r="E85" s="17"/>
      <c r="F85" s="18"/>
      <c r="G85" s="32"/>
      <c r="H85" s="33" t="str">
        <f>IF(G85="","",IF(F85="žena",ROMAN(MATCH(G85+1,'[1]Normy VP'!$Y$27:$Y$33,-1)),ROMAN(MATCH(G85+1,'[1]Normy VP'!$Y$19:$Y$25,-1))))</f>
        <v/>
      </c>
      <c r="I85" s="21"/>
      <c r="J85" s="22"/>
      <c r="K85" s="23"/>
      <c r="L85" s="23"/>
      <c r="M85" s="23"/>
      <c r="N85" s="22"/>
      <c r="O85" s="22"/>
      <c r="P85" s="24" t="str">
        <f>IF(OR($J85="",$J85="odešel"),IF(K85="","",IF($F85="žena",CHOOSE(_xlfn.ARABIC($H85),MATCH(K85+1,'[1]Normy VP'!$C$25:$F$25,-1),MATCH(K85+1,'[1]Normy VP'!$C$26:$F$26,-1),MATCH(K85+1,'[1]Normy VP'!$C$27:$F$27,-1),MATCH(K85+1,'[1]Normy VP'!$C$28:$F$28,-1),MATCH(K85+1,'[1]Normy VP'!$C$29:$F$29,-1),"muž"),CHOOSE(_xlfn.ARABIC($H85),MATCH(K85+1,'[1]Normy VP'!$C$10:$F$10,-1),MATCH(K85+1,'[1]Normy VP'!$C$11:$F$11,-1),MATCH(K85+1,'[1]Normy VP'!$C$12:$F$12,-1),MATCH(K85+1,'[1]Normy VP'!$C$13:$F$13,-1),MATCH(K85+1,'[1]Normy VP'!$C$14:$F$14,-1),""))),"O")</f>
        <v/>
      </c>
      <c r="Q85" s="24" t="str">
        <f>IF(OR($J85="",$J85="odešel"),IF($F85="žena","",IF(L85="","",(CHOOSE(_xlfn.ARABIC($H85),MATCH(L85+1,'[1]Normy VP'!$G$10:$J$10,-1),MATCH(L85+1,'[1]Normy VP'!$G$11:$J$11,-1),MATCH(L85+1,'[1]Normy VP'!$G$12:$J$12,-1),MATCH(L85+1,'[1]Normy VP'!$G$13:$J$13,-1),MATCH(L85+1,'[1]Normy VP'!$G$14:$J$14,-1),"")))),"O")</f>
        <v/>
      </c>
      <c r="R85" s="34" t="str">
        <f t="shared" si="5"/>
        <v>N</v>
      </c>
      <c r="S85" s="24" t="str">
        <f>IF(OR($J85="",$J85="odešel"),IF(M85="","N",IF($F85="žena",CHOOSE(_xlfn.ARABIC($H85),MATCH(M85+1,'[1]Normy VP'!$G$25:$J$25,-1),MATCH(M85+1,'[1]Normy VP'!$G$26:$J$26,-1),MATCH(M85+1,'[1]Normy VP'!$G$27:$J$27,-1),MATCH(M85+1,'[1]Normy VP'!$G$28:$J$28,-1),MATCH(M85+1,'[1]Normy VP'!$G$29:$J$29,-1),"muž"),(CHOOSE(_xlfn.ARABIC($H85),MATCH(M85+1,'[1]Normy VP'!$K$10:$N$10,-1),MATCH(M85+1,'[1]Normy VP'!$K$11:$N$11,-1),MATCH(M85+1,'[1]Normy VP'!$K$12:$N$12,-1),MATCH(M85+1,'[1]Normy VP'!$K$13:$N$13,-1),MATCH(M85+1,'[1]Normy VP'!$K$14:$N$14,-1),"")))),"O")</f>
        <v>N</v>
      </c>
      <c r="T85" s="34" t="str">
        <f t="shared" si="6"/>
        <v>N</v>
      </c>
      <c r="U85" s="24" t="str">
        <f>IF(OR($J85="",$J85="odešel"),IF(N85="","N",IF($F85="žena",CHOOSE(_xlfn.ARABIC($H85),MATCH(N85+1,'[1]Normy VP'!$K$25:$N$25,-1),MATCH(N85+1,'[1]Normy VP'!$K$26:$N$26,-1),MATCH(N85+1,'[1]Normy VP'!$K$27:$N$27,-1),MATCH(N85+1,'[1]Normy VP'!$K$28:$N$28,-1),MATCH(N85+1,'[1]Normy VP'!$K$29:$N$29,-1),MATCH(N85+1,'[1]Normy VP'!$K$30:$N$30,-1)),CHOOSE(_xlfn.ARABIC($H85),MATCH(N85+1,'[1]Normy VP'!$O$10:$R$10,-1),MATCH(N85+1,'[1]Normy VP'!$O$11:$R$11,-1),MATCH(N85+1,'[1]Normy VP'!$O$12:$R$12,-1),MATCH(N85+1,'[1]Normy VP'!$O$13:$R$13,-1),MATCH(N85+1,'[1]Normy VP'!$O$14:$R$14,-1),MATCH(N85+1,'[1]Normy VP'!$O$15:$R$15,-1)))),"O")</f>
        <v>N</v>
      </c>
      <c r="V85" s="26" t="str">
        <f>IF(OR($J85="",$J85="odešel"),IF(O85="","N",IF($F85="žena",CHOOSE(_xlfn.ARABIC($H85),MATCH(O85-1,'[1]Normy VP'!$O$25:$R$25),MATCH(O85-1,'[1]Normy VP'!$O$26:$R$26),MATCH(O85-1,'[1]Normy VP'!$O$27:$R$27),MATCH(O85-1,'[1]Normy VP'!$O$28:$R$28),MATCH(O85-1,'[1]Normy VP'!$O$29:$R$29),MATCH(O85-1,'[1]Normy VP'!$O$30:$R$30)),CHOOSE(_xlfn.ARABIC($H85),MATCH(O85-1,'[1]Normy VP'!$S$10:$V$10),MATCH(O85-1,'[1]Normy VP'!$S$11:$V$11),MATCH(O85-1,'[1]Normy VP'!$S$12:$V$12),MATCH(O85-1,'[1]Normy VP'!$S$13:$V$13),MATCH(O85-1,'[1]Normy VP'!$S$14:$V$14),MATCH(O85-1,'[1]Normy VP'!$S$15:$V$15)))),"O")</f>
        <v>N</v>
      </c>
      <c r="W85" s="34" t="str">
        <f t="shared" si="7"/>
        <v>N</v>
      </c>
      <c r="X85" s="27" t="str">
        <f>IF(COUNTIF(B85:G85,"")&gt;0,"",IF(COUNTIF([1]PP!$A:$A,A85)=0,"neni v PP",IF(OR(Y85="odešel",VLOOKUP(A85,[1]PP!$A:$W,22,FALSE)="odešel"),"odešel",IF(OR(Y85="N",VLOOKUP(A85,[1]PP!$A:$W,22,FALSE)="N"),"N",IF(OR(Y85="C",VLOOKUP(A85,[1]PP!$A:$W,22,FALSE)="C"),"C",IF(OR(Y85="DZO",VLOOKUP(A85,[1]PP!$A:$W,22,FALSE)="DZO"),"DZO",IF(OR(Y85="mise",Y85="disp.",Y85="končí",Y85="DSC",VLOOKUP(A85,[1]PP!$A:$W,22,FALSE)="mise",VLOOKUP(A85,[1]PP!$A:$W,22,FALSE)="disp.",VLOOKUP(A85,[1]PP!$A:$W,22,FALSE)="končí",VLOOKUP(A85,[1]PP!$A:$W,22,FALSE)="DSC"),"jiné",IF(OR(Y85=4,VLOOKUP(A85,[1]PP!$A:$W,22,FALSE)=4),4,IF(OR(Y85=3,VLOOKUP(A85,[1]PP!$A:$W,22,FALSE)=3),3,IF(OR(Y85=2,VLOOKUP(A85,[1]PP!$A:$W,22,FALSE)=2),2,IF(AND(Y85=1,VLOOKUP(A85,[1]PP!$A:$W,22,FALSE)=1),1)))))))))))</f>
        <v/>
      </c>
      <c r="Y85" s="28" t="str">
        <f>IF(COUNTIF(B85:G85,"")&gt;0,"",IF(COUNTIF([1]PP!$A:$A,A85)=0,"neni v PP",IF(VLOOKUP(A85,[1]PP!$A:$W,8,FALSE)="odešel","odešel",IF(F85="","",IF(J85="",IF(OR(T85=4,W85=4),4,IF(AND(T85="N",W85="N"),"N",IF(OR(T85="N",W85="N"),4,ROUND(AVERAGE(T85,W85),0)))),J85)))))</f>
        <v/>
      </c>
      <c r="Z85" s="29" t="str">
        <f>IF(COUNTIF(B85:G85,"")=0,IF(X85="neni v PP",CONCATENATE("ID: &lt;",A85,"&gt; se neshoduje s žádným IDem v kartě PP"),IF(COUNTIF($A:$A,A85)&gt;1,CONCATENATE("ID: &lt;",A85,"&gt; se v kartě VP opakuje. Je nutné tyto IDy od sebe odlišit, např. mezerou za příjmením."),IF(COUNTIF([1]PP!A:A,A85)&gt;1,CONCATENATE("ID: &lt;",A85,"&gt; se v kartě PP opakuje. Je nutné tyto IDy od sebe odlišit, např. mezerou za příjmením."),IF(VLOOKUP(A85,[1]PP!$A:$W,5,FALSE)&lt;&gt;E85,CONCATENATE($E$4," &lt;",E85,"&gt; se neshoduje s jednotkou v kartě PP"," &lt;",VLOOKUP(A85,[1]PP!$A:$W,5,FALSE),"&gt;"),IF(AND(COUNTIF(K85:O85,"")&lt;5,J85="",I85=""),CONCATENATE("Doplň: ",$I$4),IF(AND(YEAR(I85)&lt;&gt;$E$2,COUNTIF(I85,"")=0),CONCATENATE("špatně uveden &lt;",$D$2,"&gt; nebo &lt;",$I$4,"&gt;"),IF(OR(AND(OR(COUNTIF(C85,"*a"),COUNTIF(C85,"*ie"),COUNTIF(C85,"*ine"),COUNTIF(D85,"*Á")),F85="muž"),AND(AND(COUNTIF(C85,"&lt;&gt;"&amp;"*a"),COUNTIF(C85,"&lt;&gt;"&amp;"*ie"),COUNTIF(C85,"&lt;&gt;"&amp;"*ine"),COUNTIF(D85,"&lt;&gt;"&amp;"*Á")),F85="žena")),CONCATENATE(C85," ",D85," je ",F85,"?"),""))))))),IF(COUNTIF(B85:O85,"")=14,"",CONCATENATE("Doplň: ",IF(B85="",CONCATENATE($B$4,IF(COUNTIF(C85:G85,"")=0,"",", ")),""),IF(C85="",CONCATENATE($C$4,IF(COUNTIF(D85:G85,"")=0,"",", ")),""),IF(D85="",CONCATENATE($D$4,IF(COUNTIF(E85:G85,"")=0,"",", ")),""),IF(E85="",CONCATENATE($E$4,IF(COUNTIF(F85:G85,"")=0,"",", ")),""),IF(F85="",CONCATENATE($F$4,IF(G85="",", ","")),""),IF(G85="",$G$4,""))))</f>
        <v/>
      </c>
      <c r="AA85" s="30"/>
    </row>
    <row r="86" spans="1:27" ht="16" x14ac:dyDescent="0.35">
      <c r="A86" s="14" t="str">
        <f t="shared" si="4"/>
        <v xml:space="preserve">  </v>
      </c>
      <c r="B86" s="15"/>
      <c r="C86" s="31"/>
      <c r="D86" s="31"/>
      <c r="E86" s="17"/>
      <c r="F86" s="18"/>
      <c r="G86" s="32"/>
      <c r="H86" s="33" t="str">
        <f>IF(G86="","",IF(F86="žena",ROMAN(MATCH(G86+1,'[1]Normy VP'!$Y$27:$Y$33,-1)),ROMAN(MATCH(G86+1,'[1]Normy VP'!$Y$19:$Y$25,-1))))</f>
        <v/>
      </c>
      <c r="I86" s="21"/>
      <c r="J86" s="22"/>
      <c r="K86" s="23"/>
      <c r="L86" s="23"/>
      <c r="M86" s="23"/>
      <c r="N86" s="22"/>
      <c r="O86" s="22"/>
      <c r="P86" s="24" t="str">
        <f>IF(OR($J86="",$J86="odešel"),IF(K86="","",IF($F86="žena",CHOOSE(_xlfn.ARABIC($H86),MATCH(K86+1,'[1]Normy VP'!$C$25:$F$25,-1),MATCH(K86+1,'[1]Normy VP'!$C$26:$F$26,-1),MATCH(K86+1,'[1]Normy VP'!$C$27:$F$27,-1),MATCH(K86+1,'[1]Normy VP'!$C$28:$F$28,-1),MATCH(K86+1,'[1]Normy VP'!$C$29:$F$29,-1),"muž"),CHOOSE(_xlfn.ARABIC($H86),MATCH(K86+1,'[1]Normy VP'!$C$10:$F$10,-1),MATCH(K86+1,'[1]Normy VP'!$C$11:$F$11,-1),MATCH(K86+1,'[1]Normy VP'!$C$12:$F$12,-1),MATCH(K86+1,'[1]Normy VP'!$C$13:$F$13,-1),MATCH(K86+1,'[1]Normy VP'!$C$14:$F$14,-1),""))),"O")</f>
        <v/>
      </c>
      <c r="Q86" s="24" t="str">
        <f>IF(OR($J86="",$J86="odešel"),IF($F86="žena","",IF(L86="","",(CHOOSE(_xlfn.ARABIC($H86),MATCH(L86+1,'[1]Normy VP'!$G$10:$J$10,-1),MATCH(L86+1,'[1]Normy VP'!$G$11:$J$11,-1),MATCH(L86+1,'[1]Normy VP'!$G$12:$J$12,-1),MATCH(L86+1,'[1]Normy VP'!$G$13:$J$13,-1),MATCH(L86+1,'[1]Normy VP'!$G$14:$J$14,-1),"")))),"O")</f>
        <v/>
      </c>
      <c r="R86" s="34" t="str">
        <f t="shared" si="5"/>
        <v>N</v>
      </c>
      <c r="S86" s="24" t="str">
        <f>IF(OR($J86="",$J86="odešel"),IF(M86="","N",IF($F86="žena",CHOOSE(_xlfn.ARABIC($H86),MATCH(M86+1,'[1]Normy VP'!$G$25:$J$25,-1),MATCH(M86+1,'[1]Normy VP'!$G$26:$J$26,-1),MATCH(M86+1,'[1]Normy VP'!$G$27:$J$27,-1),MATCH(M86+1,'[1]Normy VP'!$G$28:$J$28,-1),MATCH(M86+1,'[1]Normy VP'!$G$29:$J$29,-1),"muž"),(CHOOSE(_xlfn.ARABIC($H86),MATCH(M86+1,'[1]Normy VP'!$K$10:$N$10,-1),MATCH(M86+1,'[1]Normy VP'!$K$11:$N$11,-1),MATCH(M86+1,'[1]Normy VP'!$K$12:$N$12,-1),MATCH(M86+1,'[1]Normy VP'!$K$13:$N$13,-1),MATCH(M86+1,'[1]Normy VP'!$K$14:$N$14,-1),"")))),"O")</f>
        <v>N</v>
      </c>
      <c r="T86" s="34" t="str">
        <f t="shared" si="6"/>
        <v>N</v>
      </c>
      <c r="U86" s="24" t="str">
        <f>IF(OR($J86="",$J86="odešel"),IF(N86="","N",IF($F86="žena",CHOOSE(_xlfn.ARABIC($H86),MATCH(N86+1,'[1]Normy VP'!$K$25:$N$25,-1),MATCH(N86+1,'[1]Normy VP'!$K$26:$N$26,-1),MATCH(N86+1,'[1]Normy VP'!$K$27:$N$27,-1),MATCH(N86+1,'[1]Normy VP'!$K$28:$N$28,-1),MATCH(N86+1,'[1]Normy VP'!$K$29:$N$29,-1),MATCH(N86+1,'[1]Normy VP'!$K$30:$N$30,-1)),CHOOSE(_xlfn.ARABIC($H86),MATCH(N86+1,'[1]Normy VP'!$O$10:$R$10,-1),MATCH(N86+1,'[1]Normy VP'!$O$11:$R$11,-1),MATCH(N86+1,'[1]Normy VP'!$O$12:$R$12,-1),MATCH(N86+1,'[1]Normy VP'!$O$13:$R$13,-1),MATCH(N86+1,'[1]Normy VP'!$O$14:$R$14,-1),MATCH(N86+1,'[1]Normy VP'!$O$15:$R$15,-1)))),"O")</f>
        <v>N</v>
      </c>
      <c r="V86" s="26" t="str">
        <f>IF(OR($J86="",$J86="odešel"),IF(O86="","N",IF($F86="žena",CHOOSE(_xlfn.ARABIC($H86),MATCH(O86-1,'[1]Normy VP'!$O$25:$R$25),MATCH(O86-1,'[1]Normy VP'!$O$26:$R$26),MATCH(O86-1,'[1]Normy VP'!$O$27:$R$27),MATCH(O86-1,'[1]Normy VP'!$O$28:$R$28),MATCH(O86-1,'[1]Normy VP'!$O$29:$R$29),MATCH(O86-1,'[1]Normy VP'!$O$30:$R$30)),CHOOSE(_xlfn.ARABIC($H86),MATCH(O86-1,'[1]Normy VP'!$S$10:$V$10),MATCH(O86-1,'[1]Normy VP'!$S$11:$V$11),MATCH(O86-1,'[1]Normy VP'!$S$12:$V$12),MATCH(O86-1,'[1]Normy VP'!$S$13:$V$13),MATCH(O86-1,'[1]Normy VP'!$S$14:$V$14),MATCH(O86-1,'[1]Normy VP'!$S$15:$V$15)))),"O")</f>
        <v>N</v>
      </c>
      <c r="W86" s="34" t="str">
        <f t="shared" si="7"/>
        <v>N</v>
      </c>
      <c r="X86" s="27" t="str">
        <f>IF(COUNTIF(B86:G86,"")&gt;0,"",IF(COUNTIF([1]PP!$A:$A,A86)=0,"neni v PP",IF(OR(Y86="odešel",VLOOKUP(A86,[1]PP!$A:$W,22,FALSE)="odešel"),"odešel",IF(OR(Y86="N",VLOOKUP(A86,[1]PP!$A:$W,22,FALSE)="N"),"N",IF(OR(Y86="C",VLOOKUP(A86,[1]PP!$A:$W,22,FALSE)="C"),"C",IF(OR(Y86="DZO",VLOOKUP(A86,[1]PP!$A:$W,22,FALSE)="DZO"),"DZO",IF(OR(Y86="mise",Y86="disp.",Y86="končí",Y86="DSC",VLOOKUP(A86,[1]PP!$A:$W,22,FALSE)="mise",VLOOKUP(A86,[1]PP!$A:$W,22,FALSE)="disp.",VLOOKUP(A86,[1]PP!$A:$W,22,FALSE)="končí",VLOOKUP(A86,[1]PP!$A:$W,22,FALSE)="DSC"),"jiné",IF(OR(Y86=4,VLOOKUP(A86,[1]PP!$A:$W,22,FALSE)=4),4,IF(OR(Y86=3,VLOOKUP(A86,[1]PP!$A:$W,22,FALSE)=3),3,IF(OR(Y86=2,VLOOKUP(A86,[1]PP!$A:$W,22,FALSE)=2),2,IF(AND(Y86=1,VLOOKUP(A86,[1]PP!$A:$W,22,FALSE)=1),1)))))))))))</f>
        <v/>
      </c>
      <c r="Y86" s="28" t="str">
        <f>IF(COUNTIF(B86:G86,"")&gt;0,"",IF(COUNTIF([1]PP!$A:$A,A86)=0,"neni v PP",IF(VLOOKUP(A86,[1]PP!$A:$W,8,FALSE)="odešel","odešel",IF(F86="","",IF(J86="",IF(OR(T86=4,W86=4),4,IF(AND(T86="N",W86="N"),"N",IF(OR(T86="N",W86="N"),4,ROUND(AVERAGE(T86,W86),0)))),J86)))))</f>
        <v/>
      </c>
      <c r="Z86" s="29" t="str">
        <f>IF(COUNTIF(B86:G86,"")=0,IF(X86="neni v PP",CONCATENATE("ID: &lt;",A86,"&gt; se neshoduje s žádným IDem v kartě PP"),IF(COUNTIF($A:$A,A86)&gt;1,CONCATENATE("ID: &lt;",A86,"&gt; se v kartě VP opakuje. Je nutné tyto IDy od sebe odlišit, např. mezerou za příjmením."),IF(COUNTIF([1]PP!A:A,A86)&gt;1,CONCATENATE("ID: &lt;",A86,"&gt; se v kartě PP opakuje. Je nutné tyto IDy od sebe odlišit, např. mezerou za příjmením."),IF(VLOOKUP(A86,[1]PP!$A:$W,5,FALSE)&lt;&gt;E86,CONCATENATE($E$4," &lt;",E86,"&gt; se neshoduje s jednotkou v kartě PP"," &lt;",VLOOKUP(A86,[1]PP!$A:$W,5,FALSE),"&gt;"),IF(AND(COUNTIF(K86:O86,"")&lt;5,J86="",I86=""),CONCATENATE("Doplň: ",$I$4),IF(AND(YEAR(I86)&lt;&gt;$E$2,COUNTIF(I86,"")=0),CONCATENATE("špatně uveden &lt;",$D$2,"&gt; nebo &lt;",$I$4,"&gt;"),IF(OR(AND(OR(COUNTIF(C86,"*a"),COUNTIF(C86,"*ie"),COUNTIF(C86,"*ine"),COUNTIF(D86,"*Á")),F86="muž"),AND(AND(COUNTIF(C86,"&lt;&gt;"&amp;"*a"),COUNTIF(C86,"&lt;&gt;"&amp;"*ie"),COUNTIF(C86,"&lt;&gt;"&amp;"*ine"),COUNTIF(D86,"&lt;&gt;"&amp;"*Á")),F86="žena")),CONCATENATE(C86," ",D86," je ",F86,"?"),""))))))),IF(COUNTIF(B86:O86,"")=14,"",CONCATENATE("Doplň: ",IF(B86="",CONCATENATE($B$4,IF(COUNTIF(C86:G86,"")=0,"",", ")),""),IF(C86="",CONCATENATE($C$4,IF(COUNTIF(D86:G86,"")=0,"",", ")),""),IF(D86="",CONCATENATE($D$4,IF(COUNTIF(E86:G86,"")=0,"",", ")),""),IF(E86="",CONCATENATE($E$4,IF(COUNTIF(F86:G86,"")=0,"",", ")),""),IF(F86="",CONCATENATE($F$4,IF(G86="",", ","")),""),IF(G86="",$G$4,""))))</f>
        <v/>
      </c>
      <c r="AA86" s="30"/>
    </row>
    <row r="87" spans="1:27" ht="16" x14ac:dyDescent="0.35">
      <c r="A87" s="14" t="str">
        <f t="shared" si="4"/>
        <v xml:space="preserve">  </v>
      </c>
      <c r="B87" s="15"/>
      <c r="C87" s="31"/>
      <c r="D87" s="31"/>
      <c r="E87" s="17"/>
      <c r="F87" s="18"/>
      <c r="G87" s="32"/>
      <c r="H87" s="33" t="str">
        <f>IF(G87="","",IF(F87="žena",ROMAN(MATCH(G87+1,'[1]Normy VP'!$Y$27:$Y$33,-1)),ROMAN(MATCH(G87+1,'[1]Normy VP'!$Y$19:$Y$25,-1))))</f>
        <v/>
      </c>
      <c r="I87" s="21"/>
      <c r="J87" s="22"/>
      <c r="K87" s="23"/>
      <c r="L87" s="23"/>
      <c r="M87" s="23"/>
      <c r="N87" s="22"/>
      <c r="O87" s="22"/>
      <c r="P87" s="24" t="str">
        <f>IF(OR($J87="",$J87="odešel"),IF(K87="","",IF($F87="žena",CHOOSE(_xlfn.ARABIC($H87),MATCH(K87+1,'[1]Normy VP'!$C$25:$F$25,-1),MATCH(K87+1,'[1]Normy VP'!$C$26:$F$26,-1),MATCH(K87+1,'[1]Normy VP'!$C$27:$F$27,-1),MATCH(K87+1,'[1]Normy VP'!$C$28:$F$28,-1),MATCH(K87+1,'[1]Normy VP'!$C$29:$F$29,-1),"muž"),CHOOSE(_xlfn.ARABIC($H87),MATCH(K87+1,'[1]Normy VP'!$C$10:$F$10,-1),MATCH(K87+1,'[1]Normy VP'!$C$11:$F$11,-1),MATCH(K87+1,'[1]Normy VP'!$C$12:$F$12,-1),MATCH(K87+1,'[1]Normy VP'!$C$13:$F$13,-1),MATCH(K87+1,'[1]Normy VP'!$C$14:$F$14,-1),""))),"O")</f>
        <v/>
      </c>
      <c r="Q87" s="24" t="str">
        <f>IF(OR($J87="",$J87="odešel"),IF($F87="žena","",IF(L87="","",(CHOOSE(_xlfn.ARABIC($H87),MATCH(L87+1,'[1]Normy VP'!$G$10:$J$10,-1),MATCH(L87+1,'[1]Normy VP'!$G$11:$J$11,-1),MATCH(L87+1,'[1]Normy VP'!$G$12:$J$12,-1),MATCH(L87+1,'[1]Normy VP'!$G$13:$J$13,-1),MATCH(L87+1,'[1]Normy VP'!$G$14:$J$14,-1),"")))),"O")</f>
        <v/>
      </c>
      <c r="R87" s="34" t="str">
        <f t="shared" si="5"/>
        <v>N</v>
      </c>
      <c r="S87" s="24" t="str">
        <f>IF(OR($J87="",$J87="odešel"),IF(M87="","N",IF($F87="žena",CHOOSE(_xlfn.ARABIC($H87),MATCH(M87+1,'[1]Normy VP'!$G$25:$J$25,-1),MATCH(M87+1,'[1]Normy VP'!$G$26:$J$26,-1),MATCH(M87+1,'[1]Normy VP'!$G$27:$J$27,-1),MATCH(M87+1,'[1]Normy VP'!$G$28:$J$28,-1),MATCH(M87+1,'[1]Normy VP'!$G$29:$J$29,-1),"muž"),(CHOOSE(_xlfn.ARABIC($H87),MATCH(M87+1,'[1]Normy VP'!$K$10:$N$10,-1),MATCH(M87+1,'[1]Normy VP'!$K$11:$N$11,-1),MATCH(M87+1,'[1]Normy VP'!$K$12:$N$12,-1),MATCH(M87+1,'[1]Normy VP'!$K$13:$N$13,-1),MATCH(M87+1,'[1]Normy VP'!$K$14:$N$14,-1),"")))),"O")</f>
        <v>N</v>
      </c>
      <c r="T87" s="34" t="str">
        <f t="shared" si="6"/>
        <v>N</v>
      </c>
      <c r="U87" s="24" t="str">
        <f>IF(OR($J87="",$J87="odešel"),IF(N87="","N",IF($F87="žena",CHOOSE(_xlfn.ARABIC($H87),MATCH(N87+1,'[1]Normy VP'!$K$25:$N$25,-1),MATCH(N87+1,'[1]Normy VP'!$K$26:$N$26,-1),MATCH(N87+1,'[1]Normy VP'!$K$27:$N$27,-1),MATCH(N87+1,'[1]Normy VP'!$K$28:$N$28,-1),MATCH(N87+1,'[1]Normy VP'!$K$29:$N$29,-1),MATCH(N87+1,'[1]Normy VP'!$K$30:$N$30,-1)),CHOOSE(_xlfn.ARABIC($H87),MATCH(N87+1,'[1]Normy VP'!$O$10:$R$10,-1),MATCH(N87+1,'[1]Normy VP'!$O$11:$R$11,-1),MATCH(N87+1,'[1]Normy VP'!$O$12:$R$12,-1),MATCH(N87+1,'[1]Normy VP'!$O$13:$R$13,-1),MATCH(N87+1,'[1]Normy VP'!$O$14:$R$14,-1),MATCH(N87+1,'[1]Normy VP'!$O$15:$R$15,-1)))),"O")</f>
        <v>N</v>
      </c>
      <c r="V87" s="26" t="str">
        <f>IF(OR($J87="",$J87="odešel"),IF(O87="","N",IF($F87="žena",CHOOSE(_xlfn.ARABIC($H87),MATCH(O87-1,'[1]Normy VP'!$O$25:$R$25),MATCH(O87-1,'[1]Normy VP'!$O$26:$R$26),MATCH(O87-1,'[1]Normy VP'!$O$27:$R$27),MATCH(O87-1,'[1]Normy VP'!$O$28:$R$28),MATCH(O87-1,'[1]Normy VP'!$O$29:$R$29),MATCH(O87-1,'[1]Normy VP'!$O$30:$R$30)),CHOOSE(_xlfn.ARABIC($H87),MATCH(O87-1,'[1]Normy VP'!$S$10:$V$10),MATCH(O87-1,'[1]Normy VP'!$S$11:$V$11),MATCH(O87-1,'[1]Normy VP'!$S$12:$V$12),MATCH(O87-1,'[1]Normy VP'!$S$13:$V$13),MATCH(O87-1,'[1]Normy VP'!$S$14:$V$14),MATCH(O87-1,'[1]Normy VP'!$S$15:$V$15)))),"O")</f>
        <v>N</v>
      </c>
      <c r="W87" s="34" t="str">
        <f t="shared" si="7"/>
        <v>N</v>
      </c>
      <c r="X87" s="27" t="str">
        <f>IF(COUNTIF(B87:G87,"")&gt;0,"",IF(COUNTIF([1]PP!$A:$A,A87)=0,"neni v PP",IF(OR(Y87="odešel",VLOOKUP(A87,[1]PP!$A:$W,22,FALSE)="odešel"),"odešel",IF(OR(Y87="N",VLOOKUP(A87,[1]PP!$A:$W,22,FALSE)="N"),"N",IF(OR(Y87="C",VLOOKUP(A87,[1]PP!$A:$W,22,FALSE)="C"),"C",IF(OR(Y87="DZO",VLOOKUP(A87,[1]PP!$A:$W,22,FALSE)="DZO"),"DZO",IF(OR(Y87="mise",Y87="disp.",Y87="končí",Y87="DSC",VLOOKUP(A87,[1]PP!$A:$W,22,FALSE)="mise",VLOOKUP(A87,[1]PP!$A:$W,22,FALSE)="disp.",VLOOKUP(A87,[1]PP!$A:$W,22,FALSE)="končí",VLOOKUP(A87,[1]PP!$A:$W,22,FALSE)="DSC"),"jiné",IF(OR(Y87=4,VLOOKUP(A87,[1]PP!$A:$W,22,FALSE)=4),4,IF(OR(Y87=3,VLOOKUP(A87,[1]PP!$A:$W,22,FALSE)=3),3,IF(OR(Y87=2,VLOOKUP(A87,[1]PP!$A:$W,22,FALSE)=2),2,IF(AND(Y87=1,VLOOKUP(A87,[1]PP!$A:$W,22,FALSE)=1),1)))))))))))</f>
        <v/>
      </c>
      <c r="Y87" s="28" t="str">
        <f>IF(COUNTIF(B87:G87,"")&gt;0,"",IF(COUNTIF([1]PP!$A:$A,A87)=0,"neni v PP",IF(VLOOKUP(A87,[1]PP!$A:$W,8,FALSE)="odešel","odešel",IF(F87="","",IF(J87="",IF(OR(T87=4,W87=4),4,IF(AND(T87="N",W87="N"),"N",IF(OR(T87="N",W87="N"),4,ROUND(AVERAGE(T87,W87),0)))),J87)))))</f>
        <v/>
      </c>
      <c r="Z87" s="29" t="str">
        <f>IF(COUNTIF(B87:G87,"")=0,IF(X87="neni v PP",CONCATENATE("ID: &lt;",A87,"&gt; se neshoduje s žádným IDem v kartě PP"),IF(COUNTIF($A:$A,A87)&gt;1,CONCATENATE("ID: &lt;",A87,"&gt; se v kartě VP opakuje. Je nutné tyto IDy od sebe odlišit, např. mezerou za příjmením."),IF(COUNTIF([1]PP!A:A,A87)&gt;1,CONCATENATE("ID: &lt;",A87,"&gt; se v kartě PP opakuje. Je nutné tyto IDy od sebe odlišit, např. mezerou za příjmením."),IF(VLOOKUP(A87,[1]PP!$A:$W,5,FALSE)&lt;&gt;E87,CONCATENATE($E$4," &lt;",E87,"&gt; se neshoduje s jednotkou v kartě PP"," &lt;",VLOOKUP(A87,[1]PP!$A:$W,5,FALSE),"&gt;"),IF(AND(COUNTIF(K87:O87,"")&lt;5,J87="",I87=""),CONCATENATE("Doplň: ",$I$4),IF(AND(YEAR(I87)&lt;&gt;$E$2,COUNTIF(I87,"")=0),CONCATENATE("špatně uveden &lt;",$D$2,"&gt; nebo &lt;",$I$4,"&gt;"),IF(OR(AND(OR(COUNTIF(C87,"*a"),COUNTIF(C87,"*ie"),COUNTIF(C87,"*ine"),COUNTIF(D87,"*Á")),F87="muž"),AND(AND(COUNTIF(C87,"&lt;&gt;"&amp;"*a"),COUNTIF(C87,"&lt;&gt;"&amp;"*ie"),COUNTIF(C87,"&lt;&gt;"&amp;"*ine"),COUNTIF(D87,"&lt;&gt;"&amp;"*Á")),F87="žena")),CONCATENATE(C87," ",D87," je ",F87,"?"),""))))))),IF(COUNTIF(B87:O87,"")=14,"",CONCATENATE("Doplň: ",IF(B87="",CONCATENATE($B$4,IF(COUNTIF(C87:G87,"")=0,"",", ")),""),IF(C87="",CONCATENATE($C$4,IF(COUNTIF(D87:G87,"")=0,"",", ")),""),IF(D87="",CONCATENATE($D$4,IF(COUNTIF(E87:G87,"")=0,"",", ")),""),IF(E87="",CONCATENATE($E$4,IF(COUNTIF(F87:G87,"")=0,"",", ")),""),IF(F87="",CONCATENATE($F$4,IF(G87="",", ","")),""),IF(G87="",$G$4,""))))</f>
        <v/>
      </c>
      <c r="AA87" s="30"/>
    </row>
    <row r="88" spans="1:27" ht="16" x14ac:dyDescent="0.35">
      <c r="A88" s="14" t="str">
        <f t="shared" si="4"/>
        <v xml:space="preserve">  </v>
      </c>
      <c r="B88" s="15"/>
      <c r="C88" s="31"/>
      <c r="D88" s="31"/>
      <c r="E88" s="17"/>
      <c r="F88" s="18"/>
      <c r="G88" s="32"/>
      <c r="H88" s="33" t="str">
        <f>IF(G88="","",IF(F88="žena",ROMAN(MATCH(G88+1,'[1]Normy VP'!$Y$27:$Y$33,-1)),ROMAN(MATCH(G88+1,'[1]Normy VP'!$Y$19:$Y$25,-1))))</f>
        <v/>
      </c>
      <c r="I88" s="21"/>
      <c r="J88" s="22"/>
      <c r="K88" s="23"/>
      <c r="L88" s="23"/>
      <c r="M88" s="23"/>
      <c r="N88" s="22"/>
      <c r="O88" s="22"/>
      <c r="P88" s="24" t="str">
        <f>IF(OR($J88="",$J88="odešel"),IF(K88="","",IF($F88="žena",CHOOSE(_xlfn.ARABIC($H88),MATCH(K88+1,'[1]Normy VP'!$C$25:$F$25,-1),MATCH(K88+1,'[1]Normy VP'!$C$26:$F$26,-1),MATCH(K88+1,'[1]Normy VP'!$C$27:$F$27,-1),MATCH(K88+1,'[1]Normy VP'!$C$28:$F$28,-1),MATCH(K88+1,'[1]Normy VP'!$C$29:$F$29,-1),"muž"),CHOOSE(_xlfn.ARABIC($H88),MATCH(K88+1,'[1]Normy VP'!$C$10:$F$10,-1),MATCH(K88+1,'[1]Normy VP'!$C$11:$F$11,-1),MATCH(K88+1,'[1]Normy VP'!$C$12:$F$12,-1),MATCH(K88+1,'[1]Normy VP'!$C$13:$F$13,-1),MATCH(K88+1,'[1]Normy VP'!$C$14:$F$14,-1),""))),"O")</f>
        <v/>
      </c>
      <c r="Q88" s="24" t="str">
        <f>IF(OR($J88="",$J88="odešel"),IF($F88="žena","",IF(L88="","",(CHOOSE(_xlfn.ARABIC($H88),MATCH(L88+1,'[1]Normy VP'!$G$10:$J$10,-1),MATCH(L88+1,'[1]Normy VP'!$G$11:$J$11,-1),MATCH(L88+1,'[1]Normy VP'!$G$12:$J$12,-1),MATCH(L88+1,'[1]Normy VP'!$G$13:$J$13,-1),MATCH(L88+1,'[1]Normy VP'!$G$14:$J$14,-1),"")))),"O")</f>
        <v/>
      </c>
      <c r="R88" s="34" t="str">
        <f t="shared" si="5"/>
        <v>N</v>
      </c>
      <c r="S88" s="24" t="str">
        <f>IF(OR($J88="",$J88="odešel"),IF(M88="","N",IF($F88="žena",CHOOSE(_xlfn.ARABIC($H88),MATCH(M88+1,'[1]Normy VP'!$G$25:$J$25,-1),MATCH(M88+1,'[1]Normy VP'!$G$26:$J$26,-1),MATCH(M88+1,'[1]Normy VP'!$G$27:$J$27,-1),MATCH(M88+1,'[1]Normy VP'!$G$28:$J$28,-1),MATCH(M88+1,'[1]Normy VP'!$G$29:$J$29,-1),"muž"),(CHOOSE(_xlfn.ARABIC($H88),MATCH(M88+1,'[1]Normy VP'!$K$10:$N$10,-1),MATCH(M88+1,'[1]Normy VP'!$K$11:$N$11,-1),MATCH(M88+1,'[1]Normy VP'!$K$12:$N$12,-1),MATCH(M88+1,'[1]Normy VP'!$K$13:$N$13,-1),MATCH(M88+1,'[1]Normy VP'!$K$14:$N$14,-1),"")))),"O")</f>
        <v>N</v>
      </c>
      <c r="T88" s="34" t="str">
        <f t="shared" si="6"/>
        <v>N</v>
      </c>
      <c r="U88" s="24" t="str">
        <f>IF(OR($J88="",$J88="odešel"),IF(N88="","N",IF($F88="žena",CHOOSE(_xlfn.ARABIC($H88),MATCH(N88+1,'[1]Normy VP'!$K$25:$N$25,-1),MATCH(N88+1,'[1]Normy VP'!$K$26:$N$26,-1),MATCH(N88+1,'[1]Normy VP'!$K$27:$N$27,-1),MATCH(N88+1,'[1]Normy VP'!$K$28:$N$28,-1),MATCH(N88+1,'[1]Normy VP'!$K$29:$N$29,-1),MATCH(N88+1,'[1]Normy VP'!$K$30:$N$30,-1)),CHOOSE(_xlfn.ARABIC($H88),MATCH(N88+1,'[1]Normy VP'!$O$10:$R$10,-1),MATCH(N88+1,'[1]Normy VP'!$O$11:$R$11,-1),MATCH(N88+1,'[1]Normy VP'!$O$12:$R$12,-1),MATCH(N88+1,'[1]Normy VP'!$O$13:$R$13,-1),MATCH(N88+1,'[1]Normy VP'!$O$14:$R$14,-1),MATCH(N88+1,'[1]Normy VP'!$O$15:$R$15,-1)))),"O")</f>
        <v>N</v>
      </c>
      <c r="V88" s="26" t="str">
        <f>IF(OR($J88="",$J88="odešel"),IF(O88="","N",IF($F88="žena",CHOOSE(_xlfn.ARABIC($H88),MATCH(O88-1,'[1]Normy VP'!$O$25:$R$25),MATCH(O88-1,'[1]Normy VP'!$O$26:$R$26),MATCH(O88-1,'[1]Normy VP'!$O$27:$R$27),MATCH(O88-1,'[1]Normy VP'!$O$28:$R$28),MATCH(O88-1,'[1]Normy VP'!$O$29:$R$29),MATCH(O88-1,'[1]Normy VP'!$O$30:$R$30)),CHOOSE(_xlfn.ARABIC($H88),MATCH(O88-1,'[1]Normy VP'!$S$10:$V$10),MATCH(O88-1,'[1]Normy VP'!$S$11:$V$11),MATCH(O88-1,'[1]Normy VP'!$S$12:$V$12),MATCH(O88-1,'[1]Normy VP'!$S$13:$V$13),MATCH(O88-1,'[1]Normy VP'!$S$14:$V$14),MATCH(O88-1,'[1]Normy VP'!$S$15:$V$15)))),"O")</f>
        <v>N</v>
      </c>
      <c r="W88" s="34" t="str">
        <f t="shared" si="7"/>
        <v>N</v>
      </c>
      <c r="X88" s="27" t="str">
        <f>IF(COUNTIF(B88:G88,"")&gt;0,"",IF(COUNTIF([1]PP!$A:$A,A88)=0,"neni v PP",IF(OR(Y88="odešel",VLOOKUP(A88,[1]PP!$A:$W,22,FALSE)="odešel"),"odešel",IF(OR(Y88="N",VLOOKUP(A88,[1]PP!$A:$W,22,FALSE)="N"),"N",IF(OR(Y88="C",VLOOKUP(A88,[1]PP!$A:$W,22,FALSE)="C"),"C",IF(OR(Y88="DZO",VLOOKUP(A88,[1]PP!$A:$W,22,FALSE)="DZO"),"DZO",IF(OR(Y88="mise",Y88="disp.",Y88="končí",Y88="DSC",VLOOKUP(A88,[1]PP!$A:$W,22,FALSE)="mise",VLOOKUP(A88,[1]PP!$A:$W,22,FALSE)="disp.",VLOOKUP(A88,[1]PP!$A:$W,22,FALSE)="končí",VLOOKUP(A88,[1]PP!$A:$W,22,FALSE)="DSC"),"jiné",IF(OR(Y88=4,VLOOKUP(A88,[1]PP!$A:$W,22,FALSE)=4),4,IF(OR(Y88=3,VLOOKUP(A88,[1]PP!$A:$W,22,FALSE)=3),3,IF(OR(Y88=2,VLOOKUP(A88,[1]PP!$A:$W,22,FALSE)=2),2,IF(AND(Y88=1,VLOOKUP(A88,[1]PP!$A:$W,22,FALSE)=1),1)))))))))))</f>
        <v/>
      </c>
      <c r="Y88" s="28" t="str">
        <f>IF(COUNTIF(B88:G88,"")&gt;0,"",IF(COUNTIF([1]PP!$A:$A,A88)=0,"neni v PP",IF(VLOOKUP(A88,[1]PP!$A:$W,8,FALSE)="odešel","odešel",IF(F88="","",IF(J88="",IF(OR(T88=4,W88=4),4,IF(AND(T88="N",W88="N"),"N",IF(OR(T88="N",W88="N"),4,ROUND(AVERAGE(T88,W88),0)))),J88)))))</f>
        <v/>
      </c>
      <c r="Z88" s="29"/>
      <c r="AA88" s="30"/>
    </row>
    <row r="89" spans="1:27" ht="16" x14ac:dyDescent="0.35">
      <c r="A89" s="14" t="str">
        <f t="shared" si="4"/>
        <v xml:space="preserve">  </v>
      </c>
      <c r="B89" s="15"/>
      <c r="C89" s="31"/>
      <c r="D89" s="31"/>
      <c r="E89" s="17"/>
      <c r="F89" s="18"/>
      <c r="G89" s="32"/>
      <c r="H89" s="33" t="str">
        <f>IF(G89="","",IF(F89="žena",ROMAN(MATCH(G89+1,'[1]Normy VP'!$Y$27:$Y$33,-1)),ROMAN(MATCH(G89+1,'[1]Normy VP'!$Y$19:$Y$25,-1))))</f>
        <v/>
      </c>
      <c r="I89" s="21"/>
      <c r="J89" s="22"/>
      <c r="K89" s="23"/>
      <c r="L89" s="23"/>
      <c r="M89" s="23"/>
      <c r="N89" s="22"/>
      <c r="O89" s="22"/>
      <c r="P89" s="24" t="str">
        <f>IF(OR($J89="",$J89="odešel"),IF(K89="","",IF($F89="žena",CHOOSE(_xlfn.ARABIC($H89),MATCH(K89+1,'[1]Normy VP'!$C$25:$F$25,-1),MATCH(K89+1,'[1]Normy VP'!$C$26:$F$26,-1),MATCH(K89+1,'[1]Normy VP'!$C$27:$F$27,-1),MATCH(K89+1,'[1]Normy VP'!$C$28:$F$28,-1),MATCH(K89+1,'[1]Normy VP'!$C$29:$F$29,-1),"muž"),CHOOSE(_xlfn.ARABIC($H89),MATCH(K89+1,'[1]Normy VP'!$C$10:$F$10,-1),MATCH(K89+1,'[1]Normy VP'!$C$11:$F$11,-1),MATCH(K89+1,'[1]Normy VP'!$C$12:$F$12,-1),MATCH(K89+1,'[1]Normy VP'!$C$13:$F$13,-1),MATCH(K89+1,'[1]Normy VP'!$C$14:$F$14,-1),""))),"O")</f>
        <v/>
      </c>
      <c r="Q89" s="24" t="str">
        <f>IF(OR($J89="",$J89="odešel"),IF($F89="žena","",IF(L89="","",(CHOOSE(_xlfn.ARABIC($H89),MATCH(L89+1,'[1]Normy VP'!$G$10:$J$10,-1),MATCH(L89+1,'[1]Normy VP'!$G$11:$J$11,-1),MATCH(L89+1,'[1]Normy VP'!$G$12:$J$12,-1),MATCH(L89+1,'[1]Normy VP'!$G$13:$J$13,-1),MATCH(L89+1,'[1]Normy VP'!$G$14:$J$14,-1),"")))),"O")</f>
        <v/>
      </c>
      <c r="R89" s="34" t="str">
        <f t="shared" si="5"/>
        <v>N</v>
      </c>
      <c r="S89" s="24" t="str">
        <f>IF(OR($J89="",$J89="odešel"),IF(M89="","N",IF($F89="žena",CHOOSE(_xlfn.ARABIC($H89),MATCH(M89+1,'[1]Normy VP'!$G$25:$J$25,-1),MATCH(M89+1,'[1]Normy VP'!$G$26:$J$26,-1),MATCH(M89+1,'[1]Normy VP'!$G$27:$J$27,-1),MATCH(M89+1,'[1]Normy VP'!$G$28:$J$28,-1),MATCH(M89+1,'[1]Normy VP'!$G$29:$J$29,-1),"muž"),(CHOOSE(_xlfn.ARABIC($H89),MATCH(M89+1,'[1]Normy VP'!$K$10:$N$10,-1),MATCH(M89+1,'[1]Normy VP'!$K$11:$N$11,-1),MATCH(M89+1,'[1]Normy VP'!$K$12:$N$12,-1),MATCH(M89+1,'[1]Normy VP'!$K$13:$N$13,-1),MATCH(M89+1,'[1]Normy VP'!$K$14:$N$14,-1),"")))),"O")</f>
        <v>N</v>
      </c>
      <c r="T89" s="34" t="str">
        <f t="shared" si="6"/>
        <v>N</v>
      </c>
      <c r="U89" s="24" t="str">
        <f>IF(OR($J89="",$J89="odešel"),IF(N89="","N",IF($F89="žena",CHOOSE(_xlfn.ARABIC($H89),MATCH(N89+1,'[1]Normy VP'!$K$25:$N$25,-1),MATCH(N89+1,'[1]Normy VP'!$K$26:$N$26,-1),MATCH(N89+1,'[1]Normy VP'!$K$27:$N$27,-1),MATCH(N89+1,'[1]Normy VP'!$K$28:$N$28,-1),MATCH(N89+1,'[1]Normy VP'!$K$29:$N$29,-1),MATCH(N89+1,'[1]Normy VP'!$K$30:$N$30,-1)),CHOOSE(_xlfn.ARABIC($H89),MATCH(N89+1,'[1]Normy VP'!$O$10:$R$10,-1),MATCH(N89+1,'[1]Normy VP'!$O$11:$R$11,-1),MATCH(N89+1,'[1]Normy VP'!$O$12:$R$12,-1),MATCH(N89+1,'[1]Normy VP'!$O$13:$R$13,-1),MATCH(N89+1,'[1]Normy VP'!$O$14:$R$14,-1),MATCH(N89+1,'[1]Normy VP'!$O$15:$R$15,-1)))),"O")</f>
        <v>N</v>
      </c>
      <c r="V89" s="26" t="str">
        <f>IF(OR($J89="",$J89="odešel"),IF(O89="","N",IF($F89="žena",CHOOSE(_xlfn.ARABIC($H89),MATCH(O89-1,'[1]Normy VP'!$O$25:$R$25),MATCH(O89-1,'[1]Normy VP'!$O$26:$R$26),MATCH(O89-1,'[1]Normy VP'!$O$27:$R$27),MATCH(O89-1,'[1]Normy VP'!$O$28:$R$28),MATCH(O89-1,'[1]Normy VP'!$O$29:$R$29),MATCH(O89-1,'[1]Normy VP'!$O$30:$R$30)),CHOOSE(_xlfn.ARABIC($H89),MATCH(O89-1,'[1]Normy VP'!$S$10:$V$10),MATCH(O89-1,'[1]Normy VP'!$S$11:$V$11),MATCH(O89-1,'[1]Normy VP'!$S$12:$V$12),MATCH(O89-1,'[1]Normy VP'!$S$13:$V$13),MATCH(O89-1,'[1]Normy VP'!$S$14:$V$14),MATCH(O89-1,'[1]Normy VP'!$S$15:$V$15)))),"O")</f>
        <v>N</v>
      </c>
      <c r="W89" s="34" t="str">
        <f t="shared" si="7"/>
        <v>N</v>
      </c>
      <c r="X89" s="27" t="str">
        <f>IF(COUNTIF(B89:G89,"")&gt;0,"",IF(COUNTIF([1]PP!$A:$A,A89)=0,"neni v PP",IF(OR(Y89="odešel",VLOOKUP(A89,[1]PP!$A:$W,22,FALSE)="odešel"),"odešel",IF(OR(Y89="N",VLOOKUP(A89,[1]PP!$A:$W,22,FALSE)="N"),"N",IF(OR(Y89="C",VLOOKUP(A89,[1]PP!$A:$W,22,FALSE)="C"),"C",IF(OR(Y89="DZO",VLOOKUP(A89,[1]PP!$A:$W,22,FALSE)="DZO"),"DZO",IF(OR(Y89="mise",Y89="disp.",Y89="končí",Y89="DSC",VLOOKUP(A89,[1]PP!$A:$W,22,FALSE)="mise",VLOOKUP(A89,[1]PP!$A:$W,22,FALSE)="disp.",VLOOKUP(A89,[1]PP!$A:$W,22,FALSE)="končí",VLOOKUP(A89,[1]PP!$A:$W,22,FALSE)="DSC"),"jiné",IF(OR(Y89=4,VLOOKUP(A89,[1]PP!$A:$W,22,FALSE)=4),4,IF(OR(Y89=3,VLOOKUP(A89,[1]PP!$A:$W,22,FALSE)=3),3,IF(OR(Y89=2,VLOOKUP(A89,[1]PP!$A:$W,22,FALSE)=2),2,IF(AND(Y89=1,VLOOKUP(A89,[1]PP!$A:$W,22,FALSE)=1),1)))))))))))</f>
        <v/>
      </c>
      <c r="Y89" s="28" t="str">
        <f>IF(COUNTIF(B89:G89,"")&gt;0,"",IF(COUNTIF([1]PP!$A:$A,A89)=0,"neni v PP",IF(VLOOKUP(A89,[1]PP!$A:$W,8,FALSE)="odešel","odešel",IF(F89="","",IF(J89="",IF(OR(T89=4,W89=4),4,IF(AND(T89="N",W89="N"),"N",IF(OR(T89="N",W89="N"),4,ROUND(AVERAGE(T89,W89),0)))),J89)))))</f>
        <v/>
      </c>
      <c r="Z89" s="29" t="str">
        <f>IF(COUNTIF(B89:G89,"")=0,IF(X89="neni v PP",CONCATENATE("ID: &lt;",A89,"&gt; se neshoduje s žádným IDem v kartě PP"),IF(COUNTIF($A:$A,A89)&gt;1,CONCATENATE("ID: &lt;",A89,"&gt; se v kartě VP opakuje. Je nutné tyto IDy od sebe odlišit, např. mezerou za příjmením."),IF(COUNTIF([1]PP!A:A,A89)&gt;1,CONCATENATE("ID: &lt;",A89,"&gt; se v kartě PP opakuje. Je nutné tyto IDy od sebe odlišit, např. mezerou za příjmením."),IF(VLOOKUP(A89,[1]PP!$A:$W,5,FALSE)&lt;&gt;E89,CONCATENATE($E$4," &lt;",E89,"&gt; se neshoduje s jednotkou v kartě PP"," &lt;",VLOOKUP(A89,[1]PP!$A:$W,5,FALSE),"&gt;"),IF(AND(COUNTIF(K89:O89,"")&lt;5,J89="",I89=""),CONCATENATE("Doplň: ",$I$4),IF(AND(YEAR(I89)&lt;&gt;$E$2,COUNTIF(I89,"")=0),CONCATENATE("špatně uveden &lt;",$D$2,"&gt; nebo &lt;",$I$4,"&gt;"),IF(OR(AND(OR(COUNTIF(C89,"*a"),COUNTIF(C89,"*ie"),COUNTIF(C89,"*ine"),COUNTIF(D89,"*Á")),F89="muž"),AND(AND(COUNTIF(C89,"&lt;&gt;"&amp;"*a"),COUNTIF(C89,"&lt;&gt;"&amp;"*ie"),COUNTIF(C89,"&lt;&gt;"&amp;"*ine"),COUNTIF(D89,"&lt;&gt;"&amp;"*Á")),F89="žena")),CONCATENATE(C89," ",D89," je ",F89,"?"),""))))))),IF(COUNTIF(B89:O89,"")=14,"",CONCATENATE("Doplň: ",IF(B89="",CONCATENATE($B$4,IF(COUNTIF(C89:G89,"")=0,"",", ")),""),IF(C89="",CONCATENATE($C$4,IF(COUNTIF(D89:G89,"")=0,"",", ")),""),IF(D89="",CONCATENATE($D$4,IF(COUNTIF(E89:G89,"")=0,"",", ")),""),IF(E89="",CONCATENATE($E$4,IF(COUNTIF(F89:G89,"")=0,"",", ")),""),IF(F89="",CONCATENATE($F$4,IF(G89="",", ","")),""),IF(G89="",$G$4,""))))</f>
        <v/>
      </c>
      <c r="AA89" s="30"/>
    </row>
    <row r="90" spans="1:27" ht="16" x14ac:dyDescent="0.35">
      <c r="A90" s="14" t="str">
        <f t="shared" si="4"/>
        <v xml:space="preserve">  </v>
      </c>
      <c r="B90" s="15"/>
      <c r="C90" s="31"/>
      <c r="D90" s="31"/>
      <c r="E90" s="17"/>
      <c r="F90" s="18"/>
      <c r="G90" s="32"/>
      <c r="H90" s="33" t="str">
        <f>IF(G90="","",IF(F90="žena",ROMAN(MATCH(G90+1,'[1]Normy VP'!$Y$27:$Y$33,-1)),ROMAN(MATCH(G90+1,'[1]Normy VP'!$Y$19:$Y$25,-1))))</f>
        <v/>
      </c>
      <c r="I90" s="21"/>
      <c r="J90" s="22"/>
      <c r="K90" s="23"/>
      <c r="L90" s="23"/>
      <c r="M90" s="23"/>
      <c r="N90" s="22"/>
      <c r="O90" s="22"/>
      <c r="P90" s="24" t="str">
        <f>IF(OR($J90="",$J90="odešel"),IF(K90="","",IF($F90="žena",CHOOSE(_xlfn.ARABIC($H90),MATCH(K90+1,'[1]Normy VP'!$C$25:$F$25,-1),MATCH(K90+1,'[1]Normy VP'!$C$26:$F$26,-1),MATCH(K90+1,'[1]Normy VP'!$C$27:$F$27,-1),MATCH(K90+1,'[1]Normy VP'!$C$28:$F$28,-1),MATCH(K90+1,'[1]Normy VP'!$C$29:$F$29,-1),"muž"),CHOOSE(_xlfn.ARABIC($H90),MATCH(K90+1,'[1]Normy VP'!$C$10:$F$10,-1),MATCH(K90+1,'[1]Normy VP'!$C$11:$F$11,-1),MATCH(K90+1,'[1]Normy VP'!$C$12:$F$12,-1),MATCH(K90+1,'[1]Normy VP'!$C$13:$F$13,-1),MATCH(K90+1,'[1]Normy VP'!$C$14:$F$14,-1),""))),"O")</f>
        <v/>
      </c>
      <c r="Q90" s="24" t="str">
        <f>IF(OR($J90="",$J90="odešel"),IF($F90="žena","",IF(L90="","",(CHOOSE(_xlfn.ARABIC($H90),MATCH(L90+1,'[1]Normy VP'!$G$10:$J$10,-1),MATCH(L90+1,'[1]Normy VP'!$G$11:$J$11,-1),MATCH(L90+1,'[1]Normy VP'!$G$12:$J$12,-1),MATCH(L90+1,'[1]Normy VP'!$G$13:$J$13,-1),MATCH(L90+1,'[1]Normy VP'!$G$14:$J$14,-1),"")))),"O")</f>
        <v/>
      </c>
      <c r="R90" s="34" t="str">
        <f t="shared" si="5"/>
        <v>N</v>
      </c>
      <c r="S90" s="24" t="str">
        <f>IF(OR($J90="",$J90="odešel"),IF(M90="","N",IF($F90="žena",CHOOSE(_xlfn.ARABIC($H90),MATCH(M90+1,'[1]Normy VP'!$G$25:$J$25,-1),MATCH(M90+1,'[1]Normy VP'!$G$26:$J$26,-1),MATCH(M90+1,'[1]Normy VP'!$G$27:$J$27,-1),MATCH(M90+1,'[1]Normy VP'!$G$28:$J$28,-1),MATCH(M90+1,'[1]Normy VP'!$G$29:$J$29,-1),"muž"),(CHOOSE(_xlfn.ARABIC($H90),MATCH(M90+1,'[1]Normy VP'!$K$10:$N$10,-1),MATCH(M90+1,'[1]Normy VP'!$K$11:$N$11,-1),MATCH(M90+1,'[1]Normy VP'!$K$12:$N$12,-1),MATCH(M90+1,'[1]Normy VP'!$K$13:$N$13,-1),MATCH(M90+1,'[1]Normy VP'!$K$14:$N$14,-1),"")))),"O")</f>
        <v>N</v>
      </c>
      <c r="T90" s="34" t="str">
        <f t="shared" si="6"/>
        <v>N</v>
      </c>
      <c r="U90" s="24" t="str">
        <f>IF(OR($J90="",$J90="odešel"),IF(N90="","N",IF($F90="žena",CHOOSE(_xlfn.ARABIC($H90),MATCH(N90+1,'[1]Normy VP'!$K$25:$N$25,-1),MATCH(N90+1,'[1]Normy VP'!$K$26:$N$26,-1),MATCH(N90+1,'[1]Normy VP'!$K$27:$N$27,-1),MATCH(N90+1,'[1]Normy VP'!$K$28:$N$28,-1),MATCH(N90+1,'[1]Normy VP'!$K$29:$N$29,-1),MATCH(N90+1,'[1]Normy VP'!$K$30:$N$30,-1)),CHOOSE(_xlfn.ARABIC($H90),MATCH(N90+1,'[1]Normy VP'!$O$10:$R$10,-1),MATCH(N90+1,'[1]Normy VP'!$O$11:$R$11,-1),MATCH(N90+1,'[1]Normy VP'!$O$12:$R$12,-1),MATCH(N90+1,'[1]Normy VP'!$O$13:$R$13,-1),MATCH(N90+1,'[1]Normy VP'!$O$14:$R$14,-1),MATCH(N90+1,'[1]Normy VP'!$O$15:$R$15,-1)))),"O")</f>
        <v>N</v>
      </c>
      <c r="V90" s="26" t="str">
        <f>IF(OR($J90="",$J90="odešel"),IF(O90="","N",IF($F90="žena",CHOOSE(_xlfn.ARABIC($H90),MATCH(O90-1,'[1]Normy VP'!$O$25:$R$25),MATCH(O90-1,'[1]Normy VP'!$O$26:$R$26),MATCH(O90-1,'[1]Normy VP'!$O$27:$R$27),MATCH(O90-1,'[1]Normy VP'!$O$28:$R$28),MATCH(O90-1,'[1]Normy VP'!$O$29:$R$29),MATCH(O90-1,'[1]Normy VP'!$O$30:$R$30)),CHOOSE(_xlfn.ARABIC($H90),MATCH(O90-1,'[1]Normy VP'!$S$10:$V$10),MATCH(O90-1,'[1]Normy VP'!$S$11:$V$11),MATCH(O90-1,'[1]Normy VP'!$S$12:$V$12),MATCH(O90-1,'[1]Normy VP'!$S$13:$V$13),MATCH(O90-1,'[1]Normy VP'!$S$14:$V$14),MATCH(O90-1,'[1]Normy VP'!$S$15:$V$15)))),"O")</f>
        <v>N</v>
      </c>
      <c r="W90" s="34" t="str">
        <f t="shared" si="7"/>
        <v>N</v>
      </c>
      <c r="X90" s="27" t="str">
        <f>IF(COUNTIF(B90:G90,"")&gt;0,"",IF(COUNTIF([1]PP!$A:$A,A90)=0,"neni v PP",IF(OR(Y90="odešel",VLOOKUP(A90,[1]PP!$A:$W,22,FALSE)="odešel"),"odešel",IF(OR(Y90="N",VLOOKUP(A90,[1]PP!$A:$W,22,FALSE)="N"),"N",IF(OR(Y90="C",VLOOKUP(A90,[1]PP!$A:$W,22,FALSE)="C"),"C",IF(OR(Y90="DZO",VLOOKUP(A90,[1]PP!$A:$W,22,FALSE)="DZO"),"DZO",IF(OR(Y90="mise",Y90="disp.",Y90="končí",Y90="DSC",VLOOKUP(A90,[1]PP!$A:$W,22,FALSE)="mise",VLOOKUP(A90,[1]PP!$A:$W,22,FALSE)="disp.",VLOOKUP(A90,[1]PP!$A:$W,22,FALSE)="končí",VLOOKUP(A90,[1]PP!$A:$W,22,FALSE)="DSC"),"jiné",IF(OR(Y90=4,VLOOKUP(A90,[1]PP!$A:$W,22,FALSE)=4),4,IF(OR(Y90=3,VLOOKUP(A90,[1]PP!$A:$W,22,FALSE)=3),3,IF(OR(Y90=2,VLOOKUP(A90,[1]PP!$A:$W,22,FALSE)=2),2,IF(AND(Y90=1,VLOOKUP(A90,[1]PP!$A:$W,22,FALSE)=1),1)))))))))))</f>
        <v/>
      </c>
      <c r="Y90" s="28" t="str">
        <f>IF(COUNTIF(B90:G90,"")&gt;0,"",IF(COUNTIF([1]PP!$A:$A,A90)=0,"neni v PP",IF(VLOOKUP(A90,[1]PP!$A:$W,8,FALSE)="odešel","odešel",IF(F90="","",IF(J90="",IF(OR(T90=4,W90=4),4,IF(AND(T90="N",W90="N"),"N",IF(OR(T90="N",W90="N"),4,ROUND(AVERAGE(T90,W90),0)))),J90)))))</f>
        <v/>
      </c>
      <c r="Z90" s="29" t="str">
        <f>IF(COUNTIF(B90:G90,"")=0,IF(X90="neni v PP",CONCATENATE("ID: &lt;",A90,"&gt; se neshoduje s žádným IDem v kartě PP"),IF(COUNTIF($A:$A,A90)&gt;1,CONCATENATE("ID: &lt;",A90,"&gt; se v kartě VP opakuje. Je nutné tyto IDy od sebe odlišit, např. mezerou za příjmením."),IF(COUNTIF([1]PP!A:A,A90)&gt;1,CONCATENATE("ID: &lt;",A90,"&gt; se v kartě PP opakuje. Je nutné tyto IDy od sebe odlišit, např. mezerou za příjmením."),IF(VLOOKUP(A90,[1]PP!$A:$W,5,FALSE)&lt;&gt;E90,CONCATENATE($E$4," &lt;",E90,"&gt; se neshoduje s jednotkou v kartě PP"," &lt;",VLOOKUP(A90,[1]PP!$A:$W,5,FALSE),"&gt;"),IF(AND(COUNTIF(K90:O90,"")&lt;5,J90="",I90=""),CONCATENATE("Doplň: ",$I$4),IF(AND(YEAR(I90)&lt;&gt;$E$2,COUNTIF(I90,"")=0),CONCATENATE("špatně uveden &lt;",$D$2,"&gt; nebo &lt;",$I$4,"&gt;"),IF(OR(AND(OR(COUNTIF(C90,"*a"),COUNTIF(C90,"*ie"),COUNTIF(C90,"*ine"),COUNTIF(D90,"*Á")),F90="muž"),AND(AND(COUNTIF(C90,"&lt;&gt;"&amp;"*a"),COUNTIF(C90,"&lt;&gt;"&amp;"*ie"),COUNTIF(C90,"&lt;&gt;"&amp;"*ine"),COUNTIF(D90,"&lt;&gt;"&amp;"*Á")),F90="žena")),CONCATENATE(C90," ",D90," je ",F90,"?"),""))))))),IF(COUNTIF(B90:O90,"")=14,"",CONCATENATE("Doplň: ",IF(B90="",CONCATENATE($B$4,IF(COUNTIF(C90:G90,"")=0,"",", ")),""),IF(C90="",CONCATENATE($C$4,IF(COUNTIF(D90:G90,"")=0,"",", ")),""),IF(D90="",CONCATENATE($D$4,IF(COUNTIF(E90:G90,"")=0,"",", ")),""),IF(E90="",CONCATENATE($E$4,IF(COUNTIF(F90:G90,"")=0,"",", ")),""),IF(F90="",CONCATENATE($F$4,IF(G90="",", ","")),""),IF(G90="",$G$4,""))))</f>
        <v/>
      </c>
      <c r="AA90" s="30"/>
    </row>
    <row r="91" spans="1:27" ht="16" x14ac:dyDescent="0.35">
      <c r="A91" s="14" t="str">
        <f t="shared" si="4"/>
        <v xml:space="preserve">  </v>
      </c>
      <c r="B91" s="15"/>
      <c r="C91" s="31"/>
      <c r="D91" s="31"/>
      <c r="E91" s="17"/>
      <c r="F91" s="18"/>
      <c r="G91" s="32"/>
      <c r="H91" s="33" t="str">
        <f>IF(G91="","",IF(F91="žena",ROMAN(MATCH(G91+1,'[1]Normy VP'!$Y$27:$Y$33,-1)),ROMAN(MATCH(G91+1,'[1]Normy VP'!$Y$19:$Y$25,-1))))</f>
        <v/>
      </c>
      <c r="I91" s="21"/>
      <c r="J91" s="22"/>
      <c r="K91" s="23"/>
      <c r="L91" s="23"/>
      <c r="M91" s="23"/>
      <c r="N91" s="22"/>
      <c r="O91" s="22"/>
      <c r="P91" s="24" t="str">
        <f>IF(OR($J91="",$J91="odešel"),IF(K91="","",IF($F91="žena",CHOOSE(_xlfn.ARABIC($H91),MATCH(K91+1,'[1]Normy VP'!$C$25:$F$25,-1),MATCH(K91+1,'[1]Normy VP'!$C$26:$F$26,-1),MATCH(K91+1,'[1]Normy VP'!$C$27:$F$27,-1),MATCH(K91+1,'[1]Normy VP'!$C$28:$F$28,-1),MATCH(K91+1,'[1]Normy VP'!$C$29:$F$29,-1),"muž"),CHOOSE(_xlfn.ARABIC($H91),MATCH(K91+1,'[1]Normy VP'!$C$10:$F$10,-1),MATCH(K91+1,'[1]Normy VP'!$C$11:$F$11,-1),MATCH(K91+1,'[1]Normy VP'!$C$12:$F$12,-1),MATCH(K91+1,'[1]Normy VP'!$C$13:$F$13,-1),MATCH(K91+1,'[1]Normy VP'!$C$14:$F$14,-1),""))),"O")</f>
        <v/>
      </c>
      <c r="Q91" s="24" t="str">
        <f>IF(OR($J91="",$J91="odešel"),IF($F91="žena","",IF(L91="","",(CHOOSE(_xlfn.ARABIC($H91),MATCH(L91+1,'[1]Normy VP'!$G$10:$J$10,-1),MATCH(L91+1,'[1]Normy VP'!$G$11:$J$11,-1),MATCH(L91+1,'[1]Normy VP'!$G$12:$J$12,-1),MATCH(L91+1,'[1]Normy VP'!$G$13:$J$13,-1),MATCH(L91+1,'[1]Normy VP'!$G$14:$J$14,-1),"")))),"O")</f>
        <v/>
      </c>
      <c r="R91" s="34" t="str">
        <f t="shared" si="5"/>
        <v>N</v>
      </c>
      <c r="S91" s="24" t="str">
        <f>IF(OR($J91="",$J91="odešel"),IF(M91="","N",IF($F91="žena",CHOOSE(_xlfn.ARABIC($H91),MATCH(M91+1,'[1]Normy VP'!$G$25:$J$25,-1),MATCH(M91+1,'[1]Normy VP'!$G$26:$J$26,-1),MATCH(M91+1,'[1]Normy VP'!$G$27:$J$27,-1),MATCH(M91+1,'[1]Normy VP'!$G$28:$J$28,-1),MATCH(M91+1,'[1]Normy VP'!$G$29:$J$29,-1),"muž"),(CHOOSE(_xlfn.ARABIC($H91),MATCH(M91+1,'[1]Normy VP'!$K$10:$N$10,-1),MATCH(M91+1,'[1]Normy VP'!$K$11:$N$11,-1),MATCH(M91+1,'[1]Normy VP'!$K$12:$N$12,-1),MATCH(M91+1,'[1]Normy VP'!$K$13:$N$13,-1),MATCH(M91+1,'[1]Normy VP'!$K$14:$N$14,-1),"")))),"O")</f>
        <v>N</v>
      </c>
      <c r="T91" s="34" t="str">
        <f t="shared" si="6"/>
        <v>N</v>
      </c>
      <c r="U91" s="24" t="str">
        <f>IF(OR($J91="",$J91="odešel"),IF(N91="","N",IF($F91="žena",CHOOSE(_xlfn.ARABIC($H91),MATCH(N91+1,'[1]Normy VP'!$K$25:$N$25,-1),MATCH(N91+1,'[1]Normy VP'!$K$26:$N$26,-1),MATCH(N91+1,'[1]Normy VP'!$K$27:$N$27,-1),MATCH(N91+1,'[1]Normy VP'!$K$28:$N$28,-1),MATCH(N91+1,'[1]Normy VP'!$K$29:$N$29,-1),MATCH(N91+1,'[1]Normy VP'!$K$30:$N$30,-1)),CHOOSE(_xlfn.ARABIC($H91),MATCH(N91+1,'[1]Normy VP'!$O$10:$R$10,-1),MATCH(N91+1,'[1]Normy VP'!$O$11:$R$11,-1),MATCH(N91+1,'[1]Normy VP'!$O$12:$R$12,-1),MATCH(N91+1,'[1]Normy VP'!$O$13:$R$13,-1),MATCH(N91+1,'[1]Normy VP'!$O$14:$R$14,-1),MATCH(N91+1,'[1]Normy VP'!$O$15:$R$15,-1)))),"O")</f>
        <v>N</v>
      </c>
      <c r="V91" s="26" t="str">
        <f>IF(OR($J91="",$J91="odešel"),IF(O91="","N",IF($F91="žena",CHOOSE(_xlfn.ARABIC($H91),MATCH(O91-1,'[1]Normy VP'!$O$25:$R$25),MATCH(O91-1,'[1]Normy VP'!$O$26:$R$26),MATCH(O91-1,'[1]Normy VP'!$O$27:$R$27),MATCH(O91-1,'[1]Normy VP'!$O$28:$R$28),MATCH(O91-1,'[1]Normy VP'!$O$29:$R$29),MATCH(O91-1,'[1]Normy VP'!$O$30:$R$30)),CHOOSE(_xlfn.ARABIC($H91),MATCH(O91-1,'[1]Normy VP'!$S$10:$V$10),MATCH(O91-1,'[1]Normy VP'!$S$11:$V$11),MATCH(O91-1,'[1]Normy VP'!$S$12:$V$12),MATCH(O91-1,'[1]Normy VP'!$S$13:$V$13),MATCH(O91-1,'[1]Normy VP'!$S$14:$V$14),MATCH(O91-1,'[1]Normy VP'!$S$15:$V$15)))),"O")</f>
        <v>N</v>
      </c>
      <c r="W91" s="34" t="str">
        <f t="shared" si="7"/>
        <v>N</v>
      </c>
      <c r="X91" s="27" t="str">
        <f>IF(COUNTIF(B91:G91,"")&gt;0,"",IF(COUNTIF([1]PP!$A:$A,A91)=0,"neni v PP",IF(OR(Y91="odešel",VLOOKUP(A91,[1]PP!$A:$W,22,FALSE)="odešel"),"odešel",IF(OR(Y91="N",VLOOKUP(A91,[1]PP!$A:$W,22,FALSE)="N"),"N",IF(OR(Y91="C",VLOOKUP(A91,[1]PP!$A:$W,22,FALSE)="C"),"C",IF(OR(Y91="DZO",VLOOKUP(A91,[1]PP!$A:$W,22,FALSE)="DZO"),"DZO",IF(OR(Y91="mise",Y91="disp.",Y91="končí",Y91="DSC",VLOOKUP(A91,[1]PP!$A:$W,22,FALSE)="mise",VLOOKUP(A91,[1]PP!$A:$W,22,FALSE)="disp.",VLOOKUP(A91,[1]PP!$A:$W,22,FALSE)="končí",VLOOKUP(A91,[1]PP!$A:$W,22,FALSE)="DSC"),"jiné",IF(OR(Y91=4,VLOOKUP(A91,[1]PP!$A:$W,22,FALSE)=4),4,IF(OR(Y91=3,VLOOKUP(A91,[1]PP!$A:$W,22,FALSE)=3),3,IF(OR(Y91=2,VLOOKUP(A91,[1]PP!$A:$W,22,FALSE)=2),2,IF(AND(Y91=1,VLOOKUP(A91,[1]PP!$A:$W,22,FALSE)=1),1)))))))))))</f>
        <v/>
      </c>
      <c r="Y91" s="28" t="str">
        <f>IF(COUNTIF(B91:G91,"")&gt;0,"",IF(COUNTIF([1]PP!$A:$A,A91)=0,"neni v PP",IF(VLOOKUP(A91,[1]PP!$A:$W,8,FALSE)="odešel","odešel",IF(F91="","",IF(J91="",IF(OR(T91=4,W91=4),4,IF(AND(T91="N",W91="N"),"N",IF(OR(T91="N",W91="N"),4,ROUND(AVERAGE(T91,W91),0)))),J91)))))</f>
        <v/>
      </c>
      <c r="Z91" s="29" t="str">
        <f>IF(COUNTIF(B91:G91,"")=0,IF(X91="neni v PP",CONCATENATE("ID: &lt;",A91,"&gt; se neshoduje s žádným IDem v kartě PP"),IF(COUNTIF($A:$A,A91)&gt;1,CONCATENATE("ID: &lt;",A91,"&gt; se v kartě VP opakuje. Je nutné tyto IDy od sebe odlišit, např. mezerou za příjmením."),IF(COUNTIF([1]PP!A:A,A91)&gt;1,CONCATENATE("ID: &lt;",A91,"&gt; se v kartě PP opakuje. Je nutné tyto IDy od sebe odlišit, např. mezerou za příjmením."),IF(VLOOKUP(A91,[1]PP!$A:$W,5,FALSE)&lt;&gt;E91,CONCATENATE($E$4," &lt;",E91,"&gt; se neshoduje s jednotkou v kartě PP"," &lt;",VLOOKUP(A91,[1]PP!$A:$W,5,FALSE),"&gt;"),IF(AND(COUNTIF(K91:O91,"")&lt;5,J91="",I91=""),CONCATENATE("Doplň: ",$I$4),IF(AND(YEAR(I91)&lt;&gt;$E$2,COUNTIF(I91,"")=0),CONCATENATE("špatně uveden &lt;",$D$2,"&gt; nebo &lt;",$I$4,"&gt;"),IF(OR(AND(OR(COUNTIF(C91,"*a"),COUNTIF(C91,"*ie"),COUNTIF(C91,"*ine"),COUNTIF(D91,"*Á")),F91="muž"),AND(AND(COUNTIF(C91,"&lt;&gt;"&amp;"*a"),COUNTIF(C91,"&lt;&gt;"&amp;"*ie"),COUNTIF(C91,"&lt;&gt;"&amp;"*ine"),COUNTIF(D91,"&lt;&gt;"&amp;"*Á")),F91="žena")),CONCATENATE(C91," ",D91," je ",F91,"?"),""))))))),IF(COUNTIF(B91:O91,"")=14,"",CONCATENATE("Doplň: ",IF(B91="",CONCATENATE($B$4,IF(COUNTIF(C91:G91,"")=0,"",", ")),""),IF(C91="",CONCATENATE($C$4,IF(COUNTIF(D91:G91,"")=0,"",", ")),""),IF(D91="",CONCATENATE($D$4,IF(COUNTIF(E91:G91,"")=0,"",", ")),""),IF(E91="",CONCATENATE($E$4,IF(COUNTIF(F91:G91,"")=0,"",", ")),""),IF(F91="",CONCATENATE($F$4,IF(G91="",", ","")),""),IF(G91="",$G$4,""))))</f>
        <v/>
      </c>
      <c r="AA91" s="30"/>
    </row>
    <row r="92" spans="1:27" ht="16" x14ac:dyDescent="0.35">
      <c r="A92" s="14" t="str">
        <f t="shared" si="4"/>
        <v xml:space="preserve">  </v>
      </c>
      <c r="B92" s="15"/>
      <c r="C92" s="31"/>
      <c r="D92" s="31"/>
      <c r="E92" s="17"/>
      <c r="F92" s="18"/>
      <c r="G92" s="32"/>
      <c r="H92" s="33" t="str">
        <f>IF(G92="","",IF(F92="žena",ROMAN(MATCH(G92+1,'[1]Normy VP'!$Y$27:$Y$33,-1)),ROMAN(MATCH(G92+1,'[1]Normy VP'!$Y$19:$Y$25,-1))))</f>
        <v/>
      </c>
      <c r="I92" s="21"/>
      <c r="J92" s="22"/>
      <c r="K92" s="23"/>
      <c r="L92" s="23"/>
      <c r="M92" s="23"/>
      <c r="N92" s="22"/>
      <c r="O92" s="22"/>
      <c r="P92" s="24" t="str">
        <f>IF(OR($J92="",$J92="odešel"),IF(K92="","",IF($F92="žena",CHOOSE(_xlfn.ARABIC($H92),MATCH(K92+1,'[1]Normy VP'!$C$25:$F$25,-1),MATCH(K92+1,'[1]Normy VP'!$C$26:$F$26,-1),MATCH(K92+1,'[1]Normy VP'!$C$27:$F$27,-1),MATCH(K92+1,'[1]Normy VP'!$C$28:$F$28,-1),MATCH(K92+1,'[1]Normy VP'!$C$29:$F$29,-1),"muž"),CHOOSE(_xlfn.ARABIC($H92),MATCH(K92+1,'[1]Normy VP'!$C$10:$F$10,-1),MATCH(K92+1,'[1]Normy VP'!$C$11:$F$11,-1),MATCH(K92+1,'[1]Normy VP'!$C$12:$F$12,-1),MATCH(K92+1,'[1]Normy VP'!$C$13:$F$13,-1),MATCH(K92+1,'[1]Normy VP'!$C$14:$F$14,-1),""))),"O")</f>
        <v/>
      </c>
      <c r="Q92" s="24" t="str">
        <f>IF(OR($J92="",$J92="odešel"),IF($F92="žena","",IF(L92="","",(CHOOSE(_xlfn.ARABIC($H92),MATCH(L92+1,'[1]Normy VP'!$G$10:$J$10,-1),MATCH(L92+1,'[1]Normy VP'!$G$11:$J$11,-1),MATCH(L92+1,'[1]Normy VP'!$G$12:$J$12,-1),MATCH(L92+1,'[1]Normy VP'!$G$13:$J$13,-1),MATCH(L92+1,'[1]Normy VP'!$G$14:$J$14,-1),"")))),"O")</f>
        <v/>
      </c>
      <c r="R92" s="34" t="str">
        <f t="shared" si="5"/>
        <v>N</v>
      </c>
      <c r="S92" s="24" t="str">
        <f>IF(OR($J92="",$J92="odešel"),IF(M92="","N",IF($F92="žena",CHOOSE(_xlfn.ARABIC($H92),MATCH(M92+1,'[1]Normy VP'!$G$25:$J$25,-1),MATCH(M92+1,'[1]Normy VP'!$G$26:$J$26,-1),MATCH(M92+1,'[1]Normy VP'!$G$27:$J$27,-1),MATCH(M92+1,'[1]Normy VP'!$G$28:$J$28,-1),MATCH(M92+1,'[1]Normy VP'!$G$29:$J$29,-1),"muž"),(CHOOSE(_xlfn.ARABIC($H92),MATCH(M92+1,'[1]Normy VP'!$K$10:$N$10,-1),MATCH(M92+1,'[1]Normy VP'!$K$11:$N$11,-1),MATCH(M92+1,'[1]Normy VP'!$K$12:$N$12,-1),MATCH(M92+1,'[1]Normy VP'!$K$13:$N$13,-1),MATCH(M92+1,'[1]Normy VP'!$K$14:$N$14,-1),"")))),"O")</f>
        <v>N</v>
      </c>
      <c r="T92" s="34" t="str">
        <f t="shared" si="6"/>
        <v>N</v>
      </c>
      <c r="U92" s="24" t="str">
        <f>IF(OR($J92="",$J92="odešel"),IF(N92="","N",IF($F92="žena",CHOOSE(_xlfn.ARABIC($H92),MATCH(N92+1,'[1]Normy VP'!$K$25:$N$25,-1),MATCH(N92+1,'[1]Normy VP'!$K$26:$N$26,-1),MATCH(N92+1,'[1]Normy VP'!$K$27:$N$27,-1),MATCH(N92+1,'[1]Normy VP'!$K$28:$N$28,-1),MATCH(N92+1,'[1]Normy VP'!$K$29:$N$29,-1),MATCH(N92+1,'[1]Normy VP'!$K$30:$N$30,-1)),CHOOSE(_xlfn.ARABIC($H92),MATCH(N92+1,'[1]Normy VP'!$O$10:$R$10,-1),MATCH(N92+1,'[1]Normy VP'!$O$11:$R$11,-1),MATCH(N92+1,'[1]Normy VP'!$O$12:$R$12,-1),MATCH(N92+1,'[1]Normy VP'!$O$13:$R$13,-1),MATCH(N92+1,'[1]Normy VP'!$O$14:$R$14,-1),MATCH(N92+1,'[1]Normy VP'!$O$15:$R$15,-1)))),"O")</f>
        <v>N</v>
      </c>
      <c r="V92" s="26" t="str">
        <f>IF(OR($J92="",$J92="odešel"),IF(O92="","N",IF($F92="žena",CHOOSE(_xlfn.ARABIC($H92),MATCH(O92-1,'[1]Normy VP'!$O$25:$R$25),MATCH(O92-1,'[1]Normy VP'!$O$26:$R$26),MATCH(O92-1,'[1]Normy VP'!$O$27:$R$27),MATCH(O92-1,'[1]Normy VP'!$O$28:$R$28),MATCH(O92-1,'[1]Normy VP'!$O$29:$R$29),MATCH(O92-1,'[1]Normy VP'!$O$30:$R$30)),CHOOSE(_xlfn.ARABIC($H92),MATCH(O92-1,'[1]Normy VP'!$S$10:$V$10),MATCH(O92-1,'[1]Normy VP'!$S$11:$V$11),MATCH(O92-1,'[1]Normy VP'!$S$12:$V$12),MATCH(O92-1,'[1]Normy VP'!$S$13:$V$13),MATCH(O92-1,'[1]Normy VP'!$S$14:$V$14),MATCH(O92-1,'[1]Normy VP'!$S$15:$V$15)))),"O")</f>
        <v>N</v>
      </c>
      <c r="W92" s="34" t="str">
        <f t="shared" si="7"/>
        <v>N</v>
      </c>
      <c r="X92" s="27" t="str">
        <f>IF(COUNTIF(B92:G92,"")&gt;0,"",IF(COUNTIF([1]PP!$A:$A,A92)=0,"neni v PP",IF(OR(Y92="odešel",VLOOKUP(A92,[1]PP!$A:$W,22,FALSE)="odešel"),"odešel",IF(OR(Y92="N",VLOOKUP(A92,[1]PP!$A:$W,22,FALSE)="N"),"N",IF(OR(Y92="C",VLOOKUP(A92,[1]PP!$A:$W,22,FALSE)="C"),"C",IF(OR(Y92="DZO",VLOOKUP(A92,[1]PP!$A:$W,22,FALSE)="DZO"),"DZO",IF(OR(Y92="mise",Y92="disp.",Y92="končí",Y92="DSC",VLOOKUP(A92,[1]PP!$A:$W,22,FALSE)="mise",VLOOKUP(A92,[1]PP!$A:$W,22,FALSE)="disp.",VLOOKUP(A92,[1]PP!$A:$W,22,FALSE)="končí",VLOOKUP(A92,[1]PP!$A:$W,22,FALSE)="DSC"),"jiné",IF(OR(Y92=4,VLOOKUP(A92,[1]PP!$A:$W,22,FALSE)=4),4,IF(OR(Y92=3,VLOOKUP(A92,[1]PP!$A:$W,22,FALSE)=3),3,IF(OR(Y92=2,VLOOKUP(A92,[1]PP!$A:$W,22,FALSE)=2),2,IF(AND(Y92=1,VLOOKUP(A92,[1]PP!$A:$W,22,FALSE)=1),1)))))))))))</f>
        <v/>
      </c>
      <c r="Y92" s="28" t="str">
        <f>IF(COUNTIF(B92:G92,"")&gt;0,"",IF(COUNTIF([1]PP!$A:$A,A92)=0,"neni v PP",IF(VLOOKUP(A92,[1]PP!$A:$W,8,FALSE)="odešel","odešel",IF(F92="","",IF(J92="",IF(OR(T92=4,W92=4),4,IF(AND(T92="N",W92="N"),"N",IF(OR(T92="N",W92="N"),4,ROUND(AVERAGE(T92,W92),0)))),J92)))))</f>
        <v/>
      </c>
      <c r="Z92" s="29" t="str">
        <f>IF(COUNTIF(B92:G92,"")=0,IF(X92="neni v PP",CONCATENATE("ID: &lt;",A92,"&gt; se neshoduje s žádným IDem v kartě PP"),IF(COUNTIF($A:$A,A92)&gt;1,CONCATENATE("ID: &lt;",A92,"&gt; se v kartě VP opakuje. Je nutné tyto IDy od sebe odlišit, např. mezerou za příjmením."),IF(COUNTIF([1]PP!A:A,A92)&gt;1,CONCATENATE("ID: &lt;",A92,"&gt; se v kartě PP opakuje. Je nutné tyto IDy od sebe odlišit, např. mezerou za příjmením."),IF(VLOOKUP(A92,[1]PP!$A:$W,5,FALSE)&lt;&gt;E92,CONCATENATE($E$4," &lt;",E92,"&gt; se neshoduje s jednotkou v kartě PP"," &lt;",VLOOKUP(A92,[1]PP!$A:$W,5,FALSE),"&gt;"),IF(AND(COUNTIF(K92:O92,"")&lt;5,J92="",I92=""),CONCATENATE("Doplň: ",$I$4),IF(AND(YEAR(I92)&lt;&gt;$E$2,COUNTIF(I92,"")=0),CONCATENATE("špatně uveden &lt;",$D$2,"&gt; nebo &lt;",$I$4,"&gt;"),IF(OR(AND(OR(COUNTIF(C92,"*a"),COUNTIF(C92,"*ie"),COUNTIF(C92,"*ine"),COUNTIF(D92,"*Á")),F92="muž"),AND(AND(COUNTIF(C92,"&lt;&gt;"&amp;"*a"),COUNTIF(C92,"&lt;&gt;"&amp;"*ie"),COUNTIF(C92,"&lt;&gt;"&amp;"*ine"),COUNTIF(D92,"&lt;&gt;"&amp;"*Á")),F92="žena")),CONCATENATE(C92," ",D92," je ",F92,"?"),""))))))),IF(COUNTIF(B92:O92,"")=14,"",CONCATENATE("Doplň: ",IF(B92="",CONCATENATE($B$4,IF(COUNTIF(C92:G92,"")=0,"",", ")),""),IF(C92="",CONCATENATE($C$4,IF(COUNTIF(D92:G92,"")=0,"",", ")),""),IF(D92="",CONCATENATE($D$4,IF(COUNTIF(E92:G92,"")=0,"",", ")),""),IF(E92="",CONCATENATE($E$4,IF(COUNTIF(F92:G92,"")=0,"",", ")),""),IF(F92="",CONCATENATE($F$4,IF(G92="",", ","")),""),IF(G92="",$G$4,""))))</f>
        <v/>
      </c>
      <c r="AA92" s="30"/>
    </row>
    <row r="93" spans="1:27" ht="16" x14ac:dyDescent="0.35">
      <c r="A93" s="14" t="str">
        <f t="shared" si="4"/>
        <v xml:space="preserve">  </v>
      </c>
      <c r="B93" s="15"/>
      <c r="C93" s="31"/>
      <c r="D93" s="31"/>
      <c r="E93" s="17"/>
      <c r="F93" s="18"/>
      <c r="G93" s="32"/>
      <c r="H93" s="33" t="str">
        <f>IF(G93="","",IF(F93="žena",ROMAN(MATCH(G93+1,'[1]Normy VP'!$Y$27:$Y$33,-1)),ROMAN(MATCH(G93+1,'[1]Normy VP'!$Y$19:$Y$25,-1))))</f>
        <v/>
      </c>
      <c r="I93" s="21"/>
      <c r="J93" s="22"/>
      <c r="K93" s="23"/>
      <c r="L93" s="23"/>
      <c r="M93" s="23"/>
      <c r="N93" s="22"/>
      <c r="O93" s="22"/>
      <c r="P93" s="24" t="str">
        <f>IF(OR($J93="",$J93="odešel"),IF(K93="","",IF($F93="žena",CHOOSE(_xlfn.ARABIC($H93),MATCH(K93+1,'[1]Normy VP'!$C$25:$F$25,-1),MATCH(K93+1,'[1]Normy VP'!$C$26:$F$26,-1),MATCH(K93+1,'[1]Normy VP'!$C$27:$F$27,-1),MATCH(K93+1,'[1]Normy VP'!$C$28:$F$28,-1),MATCH(K93+1,'[1]Normy VP'!$C$29:$F$29,-1),"muž"),CHOOSE(_xlfn.ARABIC($H93),MATCH(K93+1,'[1]Normy VP'!$C$10:$F$10,-1),MATCH(K93+1,'[1]Normy VP'!$C$11:$F$11,-1),MATCH(K93+1,'[1]Normy VP'!$C$12:$F$12,-1),MATCH(K93+1,'[1]Normy VP'!$C$13:$F$13,-1),MATCH(K93+1,'[1]Normy VP'!$C$14:$F$14,-1),""))),"O")</f>
        <v/>
      </c>
      <c r="Q93" s="24" t="str">
        <f>IF(OR($J93="",$J93="odešel"),IF($F93="žena","",IF(L93="","",(CHOOSE(_xlfn.ARABIC($H93),MATCH(L93+1,'[1]Normy VP'!$G$10:$J$10,-1),MATCH(L93+1,'[1]Normy VP'!$G$11:$J$11,-1),MATCH(L93+1,'[1]Normy VP'!$G$12:$J$12,-1),MATCH(L93+1,'[1]Normy VP'!$G$13:$J$13,-1),MATCH(L93+1,'[1]Normy VP'!$G$14:$J$14,-1),"")))),"O")</f>
        <v/>
      </c>
      <c r="R93" s="34" t="str">
        <f t="shared" si="5"/>
        <v>N</v>
      </c>
      <c r="S93" s="24" t="str">
        <f>IF(OR($J93="",$J93="odešel"),IF(M93="","N",IF($F93="žena",CHOOSE(_xlfn.ARABIC($H93),MATCH(M93+1,'[1]Normy VP'!$G$25:$J$25,-1),MATCH(M93+1,'[1]Normy VP'!$G$26:$J$26,-1),MATCH(M93+1,'[1]Normy VP'!$G$27:$J$27,-1),MATCH(M93+1,'[1]Normy VP'!$G$28:$J$28,-1),MATCH(M93+1,'[1]Normy VP'!$G$29:$J$29,-1),"muž"),(CHOOSE(_xlfn.ARABIC($H93),MATCH(M93+1,'[1]Normy VP'!$K$10:$N$10,-1),MATCH(M93+1,'[1]Normy VP'!$K$11:$N$11,-1),MATCH(M93+1,'[1]Normy VP'!$K$12:$N$12,-1),MATCH(M93+1,'[1]Normy VP'!$K$13:$N$13,-1),MATCH(M93+1,'[1]Normy VP'!$K$14:$N$14,-1),"")))),"O")</f>
        <v>N</v>
      </c>
      <c r="T93" s="34" t="str">
        <f t="shared" si="6"/>
        <v>N</v>
      </c>
      <c r="U93" s="24" t="str">
        <f>IF(OR($J93="",$J93="odešel"),IF(N93="","N",IF($F93="žena",CHOOSE(_xlfn.ARABIC($H93),MATCH(N93+1,'[1]Normy VP'!$K$25:$N$25,-1),MATCH(N93+1,'[1]Normy VP'!$K$26:$N$26,-1),MATCH(N93+1,'[1]Normy VP'!$K$27:$N$27,-1),MATCH(N93+1,'[1]Normy VP'!$K$28:$N$28,-1),MATCH(N93+1,'[1]Normy VP'!$K$29:$N$29,-1),MATCH(N93+1,'[1]Normy VP'!$K$30:$N$30,-1)),CHOOSE(_xlfn.ARABIC($H93),MATCH(N93+1,'[1]Normy VP'!$O$10:$R$10,-1),MATCH(N93+1,'[1]Normy VP'!$O$11:$R$11,-1),MATCH(N93+1,'[1]Normy VP'!$O$12:$R$12,-1),MATCH(N93+1,'[1]Normy VP'!$O$13:$R$13,-1),MATCH(N93+1,'[1]Normy VP'!$O$14:$R$14,-1),MATCH(N93+1,'[1]Normy VP'!$O$15:$R$15,-1)))),"O")</f>
        <v>N</v>
      </c>
      <c r="V93" s="26" t="str">
        <f>IF(OR($J93="",$J93="odešel"),IF(O93="","N",IF($F93="žena",CHOOSE(_xlfn.ARABIC($H93),MATCH(O93-1,'[1]Normy VP'!$O$25:$R$25),MATCH(O93-1,'[1]Normy VP'!$O$26:$R$26),MATCH(O93-1,'[1]Normy VP'!$O$27:$R$27),MATCH(O93-1,'[1]Normy VP'!$O$28:$R$28),MATCH(O93-1,'[1]Normy VP'!$O$29:$R$29),MATCH(O93-1,'[1]Normy VP'!$O$30:$R$30)),CHOOSE(_xlfn.ARABIC($H93),MATCH(O93-1,'[1]Normy VP'!$S$10:$V$10),MATCH(O93-1,'[1]Normy VP'!$S$11:$V$11),MATCH(O93-1,'[1]Normy VP'!$S$12:$V$12),MATCH(O93-1,'[1]Normy VP'!$S$13:$V$13),MATCH(O93-1,'[1]Normy VP'!$S$14:$V$14),MATCH(O93-1,'[1]Normy VP'!$S$15:$V$15)))),"O")</f>
        <v>N</v>
      </c>
      <c r="W93" s="34" t="str">
        <f t="shared" si="7"/>
        <v>N</v>
      </c>
      <c r="X93" s="27" t="str">
        <f>IF(COUNTIF(B93:G93,"")&gt;0,"",IF(COUNTIF([1]PP!$A:$A,A93)=0,"neni v PP",IF(OR(Y93="odešel",VLOOKUP(A93,[1]PP!$A:$W,22,FALSE)="odešel"),"odešel",IF(OR(Y93="N",VLOOKUP(A93,[1]PP!$A:$W,22,FALSE)="N"),"N",IF(OR(Y93="C",VLOOKUP(A93,[1]PP!$A:$W,22,FALSE)="C"),"C",IF(OR(Y93="DZO",VLOOKUP(A93,[1]PP!$A:$W,22,FALSE)="DZO"),"DZO",IF(OR(Y93="mise",Y93="disp.",Y93="končí",Y93="DSC",VLOOKUP(A93,[1]PP!$A:$W,22,FALSE)="mise",VLOOKUP(A93,[1]PP!$A:$W,22,FALSE)="disp.",VLOOKUP(A93,[1]PP!$A:$W,22,FALSE)="končí",VLOOKUP(A93,[1]PP!$A:$W,22,FALSE)="DSC"),"jiné",IF(OR(Y93=4,VLOOKUP(A93,[1]PP!$A:$W,22,FALSE)=4),4,IF(OR(Y93=3,VLOOKUP(A93,[1]PP!$A:$W,22,FALSE)=3),3,IF(OR(Y93=2,VLOOKUP(A93,[1]PP!$A:$W,22,FALSE)=2),2,IF(AND(Y93=1,VLOOKUP(A93,[1]PP!$A:$W,22,FALSE)=1),1)))))))))))</f>
        <v/>
      </c>
      <c r="Y93" s="28" t="str">
        <f>IF(COUNTIF(B93:G93,"")&gt;0,"",IF(COUNTIF([1]PP!$A:$A,A93)=0,"neni v PP",IF(VLOOKUP(A93,[1]PP!$A:$W,8,FALSE)="odešel","odešel",IF(F93="","",IF(J93="",IF(OR(T93=4,W93=4),4,IF(AND(T93="N",W93="N"),"N",IF(OR(T93="N",W93="N"),4,ROUND(AVERAGE(T93,W93),0)))),J93)))))</f>
        <v/>
      </c>
      <c r="Z93" s="29" t="str">
        <f>IF(COUNTIF(B93:G93,"")=0,IF(X93="neni v PP",CONCATENATE("ID: &lt;",A93,"&gt; se neshoduje s žádným IDem v kartě PP"),IF(COUNTIF($A:$A,A93)&gt;1,CONCATENATE("ID: &lt;",A93,"&gt; se v kartě VP opakuje. Je nutné tyto IDy od sebe odlišit, např. mezerou za příjmením."),IF(COUNTIF([1]PP!A:A,A93)&gt;1,CONCATENATE("ID: &lt;",A93,"&gt; se v kartě PP opakuje. Je nutné tyto IDy od sebe odlišit, např. mezerou za příjmením."),IF(VLOOKUP(A93,[1]PP!$A:$W,5,FALSE)&lt;&gt;E93,CONCATENATE($E$4," &lt;",E93,"&gt; se neshoduje s jednotkou v kartě PP"," &lt;",VLOOKUP(A93,[1]PP!$A:$W,5,FALSE),"&gt;"),IF(AND(COUNTIF(K93:O93,"")&lt;5,J93="",I93=""),CONCATENATE("Doplň: ",$I$4),IF(AND(YEAR(I93)&lt;&gt;$E$2,COUNTIF(I93,"")=0),CONCATENATE("špatně uveden &lt;",$D$2,"&gt; nebo &lt;",$I$4,"&gt;"),IF(OR(AND(OR(COUNTIF(C93,"*a"),COUNTIF(C93,"*ie"),COUNTIF(C93,"*ine"),COUNTIF(D93,"*Á")),F93="muž"),AND(AND(COUNTIF(C93,"&lt;&gt;"&amp;"*a"),COUNTIF(C93,"&lt;&gt;"&amp;"*ie"),COUNTIF(C93,"&lt;&gt;"&amp;"*ine"),COUNTIF(D93,"&lt;&gt;"&amp;"*Á")),F93="žena")),CONCATENATE(C93," ",D93," je ",F93,"?"),""))))))),IF(COUNTIF(B93:O93,"")=14,"",CONCATENATE("Doplň: ",IF(B93="",CONCATENATE($B$4,IF(COUNTIF(C93:G93,"")=0,"",", ")),""),IF(C93="",CONCATENATE($C$4,IF(COUNTIF(D93:G93,"")=0,"",", ")),""),IF(D93="",CONCATENATE($D$4,IF(COUNTIF(E93:G93,"")=0,"",", ")),""),IF(E93="",CONCATENATE($E$4,IF(COUNTIF(F93:G93,"")=0,"",", ")),""),IF(F93="",CONCATENATE($F$4,IF(G93="",", ","")),""),IF(G93="",$G$4,""))))</f>
        <v/>
      </c>
      <c r="AA93" s="30"/>
    </row>
    <row r="94" spans="1:27" ht="16" x14ac:dyDescent="0.35">
      <c r="A94" s="14" t="str">
        <f t="shared" si="4"/>
        <v xml:space="preserve">  </v>
      </c>
      <c r="B94" s="15"/>
      <c r="C94" s="31"/>
      <c r="D94" s="31"/>
      <c r="E94" s="17"/>
      <c r="F94" s="18"/>
      <c r="G94" s="32"/>
      <c r="H94" s="33" t="str">
        <f>IF(G94="","",IF(F94="žena",ROMAN(MATCH(G94+1,'[1]Normy VP'!$Y$27:$Y$33,-1)),ROMAN(MATCH(G94+1,'[1]Normy VP'!$Y$19:$Y$25,-1))))</f>
        <v/>
      </c>
      <c r="I94" s="21"/>
      <c r="J94" s="22"/>
      <c r="K94" s="23"/>
      <c r="L94" s="23"/>
      <c r="M94" s="23"/>
      <c r="N94" s="22"/>
      <c r="O94" s="22"/>
      <c r="P94" s="24" t="str">
        <f>IF(OR($J94="",$J94="odešel"),IF(K94="","",IF($F94="žena",CHOOSE(_xlfn.ARABIC($H94),MATCH(K94+1,'[1]Normy VP'!$C$25:$F$25,-1),MATCH(K94+1,'[1]Normy VP'!$C$26:$F$26,-1),MATCH(K94+1,'[1]Normy VP'!$C$27:$F$27,-1),MATCH(K94+1,'[1]Normy VP'!$C$28:$F$28,-1),MATCH(K94+1,'[1]Normy VP'!$C$29:$F$29,-1),"muž"),CHOOSE(_xlfn.ARABIC($H94),MATCH(K94+1,'[1]Normy VP'!$C$10:$F$10,-1),MATCH(K94+1,'[1]Normy VP'!$C$11:$F$11,-1),MATCH(K94+1,'[1]Normy VP'!$C$12:$F$12,-1),MATCH(K94+1,'[1]Normy VP'!$C$13:$F$13,-1),MATCH(K94+1,'[1]Normy VP'!$C$14:$F$14,-1),""))),"O")</f>
        <v/>
      </c>
      <c r="Q94" s="24" t="str">
        <f>IF(OR($J94="",$J94="odešel"),IF($F94="žena","",IF(L94="","",(CHOOSE(_xlfn.ARABIC($H94),MATCH(L94+1,'[1]Normy VP'!$G$10:$J$10,-1),MATCH(L94+1,'[1]Normy VP'!$G$11:$J$11,-1),MATCH(L94+1,'[1]Normy VP'!$G$12:$J$12,-1),MATCH(L94+1,'[1]Normy VP'!$G$13:$J$13,-1),MATCH(L94+1,'[1]Normy VP'!$G$14:$J$14,-1),"")))),"O")</f>
        <v/>
      </c>
      <c r="R94" s="34" t="str">
        <f t="shared" si="5"/>
        <v>N</v>
      </c>
      <c r="S94" s="24" t="str">
        <f>IF(OR($J94="",$J94="odešel"),IF(M94="","N",IF($F94="žena",CHOOSE(_xlfn.ARABIC($H94),MATCH(M94+1,'[1]Normy VP'!$G$25:$J$25,-1),MATCH(M94+1,'[1]Normy VP'!$G$26:$J$26,-1),MATCH(M94+1,'[1]Normy VP'!$G$27:$J$27,-1),MATCH(M94+1,'[1]Normy VP'!$G$28:$J$28,-1),MATCH(M94+1,'[1]Normy VP'!$G$29:$J$29,-1),"muž"),(CHOOSE(_xlfn.ARABIC($H94),MATCH(M94+1,'[1]Normy VP'!$K$10:$N$10,-1),MATCH(M94+1,'[1]Normy VP'!$K$11:$N$11,-1),MATCH(M94+1,'[1]Normy VP'!$K$12:$N$12,-1),MATCH(M94+1,'[1]Normy VP'!$K$13:$N$13,-1),MATCH(M94+1,'[1]Normy VP'!$K$14:$N$14,-1),"")))),"O")</f>
        <v>N</v>
      </c>
      <c r="T94" s="34" t="str">
        <f t="shared" si="6"/>
        <v>N</v>
      </c>
      <c r="U94" s="24" t="str">
        <f>IF(OR($J94="",$J94="odešel"),IF(N94="","N",IF($F94="žena",CHOOSE(_xlfn.ARABIC($H94),MATCH(N94+1,'[1]Normy VP'!$K$25:$N$25,-1),MATCH(N94+1,'[1]Normy VP'!$K$26:$N$26,-1),MATCH(N94+1,'[1]Normy VP'!$K$27:$N$27,-1),MATCH(N94+1,'[1]Normy VP'!$K$28:$N$28,-1),MATCH(N94+1,'[1]Normy VP'!$K$29:$N$29,-1),MATCH(N94+1,'[1]Normy VP'!$K$30:$N$30,-1)),CHOOSE(_xlfn.ARABIC($H94),MATCH(N94+1,'[1]Normy VP'!$O$10:$R$10,-1),MATCH(N94+1,'[1]Normy VP'!$O$11:$R$11,-1),MATCH(N94+1,'[1]Normy VP'!$O$12:$R$12,-1),MATCH(N94+1,'[1]Normy VP'!$O$13:$R$13,-1),MATCH(N94+1,'[1]Normy VP'!$O$14:$R$14,-1),MATCH(N94+1,'[1]Normy VP'!$O$15:$R$15,-1)))),"O")</f>
        <v>N</v>
      </c>
      <c r="V94" s="26" t="str">
        <f>IF(OR($J94="",$J94="odešel"),IF(O94="","N",IF($F94="žena",CHOOSE(_xlfn.ARABIC($H94),MATCH(O94-1,'[1]Normy VP'!$O$25:$R$25),MATCH(O94-1,'[1]Normy VP'!$O$26:$R$26),MATCH(O94-1,'[1]Normy VP'!$O$27:$R$27),MATCH(O94-1,'[1]Normy VP'!$O$28:$R$28),MATCH(O94-1,'[1]Normy VP'!$O$29:$R$29),MATCH(O94-1,'[1]Normy VP'!$O$30:$R$30)),CHOOSE(_xlfn.ARABIC($H94),MATCH(O94-1,'[1]Normy VP'!$S$10:$V$10),MATCH(O94-1,'[1]Normy VP'!$S$11:$V$11),MATCH(O94-1,'[1]Normy VP'!$S$12:$V$12),MATCH(O94-1,'[1]Normy VP'!$S$13:$V$13),MATCH(O94-1,'[1]Normy VP'!$S$14:$V$14),MATCH(O94-1,'[1]Normy VP'!$S$15:$V$15)))),"O")</f>
        <v>N</v>
      </c>
      <c r="W94" s="34" t="str">
        <f t="shared" si="7"/>
        <v>N</v>
      </c>
      <c r="X94" s="27" t="str">
        <f>IF(COUNTIF(B94:G94,"")&gt;0,"",IF(COUNTIF([1]PP!$A:$A,A94)=0,"neni v PP",IF(OR(Y94="odešel",VLOOKUP(A94,[1]PP!$A:$W,22,FALSE)="odešel"),"odešel",IF(OR(Y94="N",VLOOKUP(A94,[1]PP!$A:$W,22,FALSE)="N"),"N",IF(OR(Y94="C",VLOOKUP(A94,[1]PP!$A:$W,22,FALSE)="C"),"C",IF(OR(Y94="DZO",VLOOKUP(A94,[1]PP!$A:$W,22,FALSE)="DZO"),"DZO",IF(OR(Y94="mise",Y94="disp.",Y94="končí",Y94="DSC",VLOOKUP(A94,[1]PP!$A:$W,22,FALSE)="mise",VLOOKUP(A94,[1]PP!$A:$W,22,FALSE)="disp.",VLOOKUP(A94,[1]PP!$A:$W,22,FALSE)="končí",VLOOKUP(A94,[1]PP!$A:$W,22,FALSE)="DSC"),"jiné",IF(OR(Y94=4,VLOOKUP(A94,[1]PP!$A:$W,22,FALSE)=4),4,IF(OR(Y94=3,VLOOKUP(A94,[1]PP!$A:$W,22,FALSE)=3),3,IF(OR(Y94=2,VLOOKUP(A94,[1]PP!$A:$W,22,FALSE)=2),2,IF(AND(Y94=1,VLOOKUP(A94,[1]PP!$A:$W,22,FALSE)=1),1)))))))))))</f>
        <v/>
      </c>
      <c r="Y94" s="28" t="str">
        <f>IF(COUNTIF(B94:G94,"")&gt;0,"",IF(COUNTIF([1]PP!$A:$A,A94)=0,"neni v PP",IF(VLOOKUP(A94,[1]PP!$A:$W,8,FALSE)="odešel","odešel",IF(F94="","",IF(J94="",IF(OR(T94=4,W94=4),4,IF(AND(T94="N",W94="N"),"N",IF(OR(T94="N",W94="N"),4,ROUND(AVERAGE(T94,W94),0)))),J94)))))</f>
        <v/>
      </c>
      <c r="Z94" s="29" t="str">
        <f>IF(COUNTIF(B94:G94,"")=0,IF(X94="neni v PP",CONCATENATE("ID: &lt;",A94,"&gt; se neshoduje s žádným IDem v kartě PP"),IF(COUNTIF($A:$A,A94)&gt;1,CONCATENATE("ID: &lt;",A94,"&gt; se v kartě VP opakuje. Je nutné tyto IDy od sebe odlišit, např. mezerou za příjmením."),IF(COUNTIF([1]PP!A:A,A94)&gt;1,CONCATENATE("ID: &lt;",A94,"&gt; se v kartě PP opakuje. Je nutné tyto IDy od sebe odlišit, např. mezerou za příjmením."),IF(VLOOKUP(A94,[1]PP!$A:$W,5,FALSE)&lt;&gt;E94,CONCATENATE($E$4," &lt;",E94,"&gt; se neshoduje s jednotkou v kartě PP"," &lt;",VLOOKUP(A94,[1]PP!$A:$W,5,FALSE),"&gt;"),IF(AND(COUNTIF(K94:O94,"")&lt;5,J94="",I94=""),CONCATENATE("Doplň: ",$I$4),IF(AND(YEAR(I94)&lt;&gt;$E$2,COUNTIF(I94,"")=0),CONCATENATE("špatně uveden &lt;",$D$2,"&gt; nebo &lt;",$I$4,"&gt;"),IF(OR(AND(OR(COUNTIF(C94,"*a"),COUNTIF(C94,"*ie"),COUNTIF(C94,"*ine"),COUNTIF(D94,"*Á")),F94="muž"),AND(AND(COUNTIF(C94,"&lt;&gt;"&amp;"*a"),COUNTIF(C94,"&lt;&gt;"&amp;"*ie"),COUNTIF(C94,"&lt;&gt;"&amp;"*ine"),COUNTIF(D94,"&lt;&gt;"&amp;"*Á")),F94="žena")),CONCATENATE(C94," ",D94," je ",F94,"?"),""))))))),IF(COUNTIF(B94:O94,"")=14,"",CONCATENATE("Doplň: ",IF(B94="",CONCATENATE($B$4,IF(COUNTIF(C94:G94,"")=0,"",", ")),""),IF(C94="",CONCATENATE($C$4,IF(COUNTIF(D94:G94,"")=0,"",", ")),""),IF(D94="",CONCATENATE($D$4,IF(COUNTIF(E94:G94,"")=0,"",", ")),""),IF(E94="",CONCATENATE($E$4,IF(COUNTIF(F94:G94,"")=0,"",", ")),""),IF(F94="",CONCATENATE($F$4,IF(G94="",", ","")),""),IF(G94="",$G$4,""))))</f>
        <v/>
      </c>
      <c r="AA94" s="30"/>
    </row>
    <row r="95" spans="1:27" ht="16" x14ac:dyDescent="0.35">
      <c r="A95" s="14" t="str">
        <f t="shared" si="4"/>
        <v xml:space="preserve">  </v>
      </c>
      <c r="B95" s="36"/>
      <c r="C95" s="31"/>
      <c r="D95" s="31"/>
      <c r="E95" s="37"/>
      <c r="F95" s="38"/>
      <c r="G95" s="39"/>
      <c r="H95" s="33" t="str">
        <f>IF(G95="","",IF(F95="žena",ROMAN(MATCH(G95+1,'[1]Normy VP'!$Y$27:$Y$33,-1)),ROMAN(MATCH(G95+1,'[1]Normy VP'!$Y$19:$Y$25,-1))))</f>
        <v/>
      </c>
      <c r="I95" s="21"/>
      <c r="J95" s="22"/>
      <c r="K95" s="23"/>
      <c r="L95" s="23"/>
      <c r="M95" s="23"/>
      <c r="N95" s="22"/>
      <c r="O95" s="22"/>
      <c r="P95" s="24" t="str">
        <f>IF(OR($J95="",$J95="odešel"),IF(K95="","",IF($F95="žena",CHOOSE(_xlfn.ARABIC($H95),MATCH(K95+1,'[1]Normy VP'!$C$25:$F$25,-1),MATCH(K95+1,'[1]Normy VP'!$C$26:$F$26,-1),MATCH(K95+1,'[1]Normy VP'!$C$27:$F$27,-1),MATCH(K95+1,'[1]Normy VP'!$C$28:$F$28,-1),MATCH(K95+1,'[1]Normy VP'!$C$29:$F$29,-1),"muž"),CHOOSE(_xlfn.ARABIC($H95),MATCH(K95+1,'[1]Normy VP'!$C$10:$F$10,-1),MATCH(K95+1,'[1]Normy VP'!$C$11:$F$11,-1),MATCH(K95+1,'[1]Normy VP'!$C$12:$F$12,-1),MATCH(K95+1,'[1]Normy VP'!$C$13:$F$13,-1),MATCH(K95+1,'[1]Normy VP'!$C$14:$F$14,-1),""))),"O")</f>
        <v/>
      </c>
      <c r="Q95" s="24" t="str">
        <f>IF(OR($J95="",$J95="odešel"),IF($F95="žena","",IF(L95="","",(CHOOSE(_xlfn.ARABIC($H95),MATCH(L95+1,'[1]Normy VP'!$G$10:$J$10,-1),MATCH(L95+1,'[1]Normy VP'!$G$11:$J$11,-1),MATCH(L95+1,'[1]Normy VP'!$G$12:$J$12,-1),MATCH(L95+1,'[1]Normy VP'!$G$13:$J$13,-1),MATCH(L95+1,'[1]Normy VP'!$G$14:$J$14,-1),"")))),"O")</f>
        <v/>
      </c>
      <c r="R95" s="34" t="str">
        <f t="shared" si="5"/>
        <v>N</v>
      </c>
      <c r="S95" s="24" t="str">
        <f>IF(OR($J95="",$J95="odešel"),IF(M95="","N",IF($F95="žena",CHOOSE(_xlfn.ARABIC($H95),MATCH(M95+1,'[1]Normy VP'!$G$25:$J$25,-1),MATCH(M95+1,'[1]Normy VP'!$G$26:$J$26,-1),MATCH(M95+1,'[1]Normy VP'!$G$27:$J$27,-1),MATCH(M95+1,'[1]Normy VP'!$G$28:$J$28,-1),MATCH(M95+1,'[1]Normy VP'!$G$29:$J$29,-1),"muž"),(CHOOSE(_xlfn.ARABIC($H95),MATCH(M95+1,'[1]Normy VP'!$K$10:$N$10,-1),MATCH(M95+1,'[1]Normy VP'!$K$11:$N$11,-1),MATCH(M95+1,'[1]Normy VP'!$K$12:$N$12,-1),MATCH(M95+1,'[1]Normy VP'!$K$13:$N$13,-1),MATCH(M95+1,'[1]Normy VP'!$K$14:$N$14,-1),"")))),"O")</f>
        <v>N</v>
      </c>
      <c r="T95" s="34" t="str">
        <f t="shared" si="6"/>
        <v>N</v>
      </c>
      <c r="U95" s="24" t="str">
        <f>IF(OR($J95="",$J95="odešel"),IF(N95="","N",IF($F95="žena",CHOOSE(_xlfn.ARABIC($H95),MATCH(N95+1,'[1]Normy VP'!$K$25:$N$25,-1),MATCH(N95+1,'[1]Normy VP'!$K$26:$N$26,-1),MATCH(N95+1,'[1]Normy VP'!$K$27:$N$27,-1),MATCH(N95+1,'[1]Normy VP'!$K$28:$N$28,-1),MATCH(N95+1,'[1]Normy VP'!$K$29:$N$29,-1),MATCH(N95+1,'[1]Normy VP'!$K$30:$N$30,-1)),CHOOSE(_xlfn.ARABIC($H95),MATCH(N95+1,'[1]Normy VP'!$O$10:$R$10,-1),MATCH(N95+1,'[1]Normy VP'!$O$11:$R$11,-1),MATCH(N95+1,'[1]Normy VP'!$O$12:$R$12,-1),MATCH(N95+1,'[1]Normy VP'!$O$13:$R$13,-1),MATCH(N95+1,'[1]Normy VP'!$O$14:$R$14,-1),MATCH(N95+1,'[1]Normy VP'!$O$15:$R$15,-1)))),"O")</f>
        <v>N</v>
      </c>
      <c r="V95" s="26" t="str">
        <f>IF(OR($J95="",$J95="odešel"),IF(O95="","N",IF($F95="žena",CHOOSE(_xlfn.ARABIC($H95),MATCH(O95-1,'[1]Normy VP'!$O$25:$R$25),MATCH(O95-1,'[1]Normy VP'!$O$26:$R$26),MATCH(O95-1,'[1]Normy VP'!$O$27:$R$27),MATCH(O95-1,'[1]Normy VP'!$O$28:$R$28),MATCH(O95-1,'[1]Normy VP'!$O$29:$R$29),MATCH(O95-1,'[1]Normy VP'!$O$30:$R$30)),CHOOSE(_xlfn.ARABIC($H95),MATCH(O95-1,'[1]Normy VP'!$S$10:$V$10),MATCH(O95-1,'[1]Normy VP'!$S$11:$V$11),MATCH(O95-1,'[1]Normy VP'!$S$12:$V$12),MATCH(O95-1,'[1]Normy VP'!$S$13:$V$13),MATCH(O95-1,'[1]Normy VP'!$S$14:$V$14),MATCH(O95-1,'[1]Normy VP'!$S$15:$V$15)))),"O")</f>
        <v>N</v>
      </c>
      <c r="W95" s="34" t="str">
        <f t="shared" si="7"/>
        <v>N</v>
      </c>
      <c r="X95" s="27" t="str">
        <f>IF(COUNTIF(B95:G95,"")&gt;0,"",IF(COUNTIF([1]PP!$A:$A,A95)=0,"neni v PP",IF(OR(Y95="odešel",VLOOKUP(A95,[1]PP!$A:$W,22,FALSE)="odešel"),"odešel",IF(OR(Y95="N",VLOOKUP(A95,[1]PP!$A:$W,22,FALSE)="N"),"N",IF(OR(Y95="C",VLOOKUP(A95,[1]PP!$A:$W,22,FALSE)="C"),"C",IF(OR(Y95="DZO",VLOOKUP(A95,[1]PP!$A:$W,22,FALSE)="DZO"),"DZO",IF(OR(Y95="mise",Y95="disp.",Y95="končí",Y95="DSC",VLOOKUP(A95,[1]PP!$A:$W,22,FALSE)="mise",VLOOKUP(A95,[1]PP!$A:$W,22,FALSE)="disp.",VLOOKUP(A95,[1]PP!$A:$W,22,FALSE)="končí",VLOOKUP(A95,[1]PP!$A:$W,22,FALSE)="DSC"),"jiné",IF(OR(Y95=4,VLOOKUP(A95,[1]PP!$A:$W,22,FALSE)=4),4,IF(OR(Y95=3,VLOOKUP(A95,[1]PP!$A:$W,22,FALSE)=3),3,IF(OR(Y95=2,VLOOKUP(A95,[1]PP!$A:$W,22,FALSE)=2),2,IF(AND(Y95=1,VLOOKUP(A95,[1]PP!$A:$W,22,FALSE)=1),1)))))))))))</f>
        <v/>
      </c>
      <c r="Y95" s="28" t="str">
        <f>IF(COUNTIF(B95:G95,"")&gt;0,"",IF(COUNTIF([1]PP!$A:$A,A95)=0,"neni v PP",IF(VLOOKUP(A95,[1]PP!$A:$W,8,FALSE)="odešel","odešel",IF(F95="","",IF(J95="",IF(OR(T95=4,W95=4),4,IF(AND(T95="N",W95="N"),"N",IF(OR(T95="N",W95="N"),4,ROUND(AVERAGE(T95,W95),0)))),J95)))))</f>
        <v/>
      </c>
      <c r="Z95" s="29" t="str">
        <f>IF(COUNTIF(B95:G95,"")=0,IF(X95="neni v PP",CONCATENATE("ID: &lt;",A95,"&gt; se neshoduje s žádným IDem v kartě PP"),IF(COUNTIF($A:$A,A95)&gt;1,CONCATENATE("ID: &lt;",A95,"&gt; se v kartě VP opakuje. Je nutné tyto IDy od sebe odlišit, např. mezerou za příjmením."),IF(COUNTIF([1]PP!A:A,A95)&gt;1,CONCATENATE("ID: &lt;",A95,"&gt; se v kartě PP opakuje. Je nutné tyto IDy od sebe odlišit, např. mezerou za příjmením."),IF(VLOOKUP(A95,[1]PP!$A:$W,5,FALSE)&lt;&gt;E95,CONCATENATE($E$4," &lt;",E95,"&gt; se neshoduje s jednotkou v kartě PP"," &lt;",VLOOKUP(A95,[1]PP!$A:$W,5,FALSE),"&gt;"),IF(AND(COUNTIF(K95:O95,"")&lt;5,J95="",I95=""),CONCATENATE("Doplň: ",$I$4),IF(AND(YEAR(I95)&lt;&gt;$E$2,COUNTIF(I95,"")=0),CONCATENATE("špatně uveden &lt;",$D$2,"&gt; nebo &lt;",$I$4,"&gt;"),IF(OR(AND(OR(COUNTIF(C95,"*a"),COUNTIF(C95,"*ie"),COUNTIF(C95,"*ine"),COUNTIF(D95,"*Á")),F95="muž"),AND(AND(COUNTIF(C95,"&lt;&gt;"&amp;"*a"),COUNTIF(C95,"&lt;&gt;"&amp;"*ie"),COUNTIF(C95,"&lt;&gt;"&amp;"*ine"),COUNTIF(D95,"&lt;&gt;"&amp;"*Á")),F95="žena")),CONCATENATE(C95," ",D95," je ",F95,"?"),""))))))),IF(COUNTIF(B95:O95,"")=14,"",CONCATENATE("Doplň: ",IF(B95="",CONCATENATE($B$4,IF(COUNTIF(C95:G95,"")=0,"",", ")),""),IF(C95="",CONCATENATE($C$4,IF(COUNTIF(D95:G95,"")=0,"",", ")),""),IF(D95="",CONCATENATE($D$4,IF(COUNTIF(E95:G95,"")=0,"",", ")),""),IF(E95="",CONCATENATE($E$4,IF(COUNTIF(F95:G95,"")=0,"",", ")),""),IF(F95="",CONCATENATE($F$4,IF(G95="",", ","")),""),IF(G95="",$G$4,""))))</f>
        <v/>
      </c>
      <c r="AA95" s="30"/>
    </row>
    <row r="96" spans="1:27" ht="16" x14ac:dyDescent="0.35">
      <c r="A96" s="14" t="str">
        <f t="shared" si="4"/>
        <v xml:space="preserve">  </v>
      </c>
      <c r="B96" s="15"/>
      <c r="C96" s="31"/>
      <c r="D96" s="31"/>
      <c r="E96" s="17"/>
      <c r="F96" s="18"/>
      <c r="G96" s="32"/>
      <c r="H96" s="33" t="str">
        <f>IF(G96="","",IF(F96="žena",ROMAN(MATCH(G96+1,'[1]Normy VP'!$Y$27:$Y$33,-1)),ROMAN(MATCH(G96+1,'[1]Normy VP'!$Y$19:$Y$25,-1))))</f>
        <v/>
      </c>
      <c r="I96" s="21"/>
      <c r="J96" s="22"/>
      <c r="K96" s="23"/>
      <c r="L96" s="23"/>
      <c r="M96" s="23"/>
      <c r="N96" s="22"/>
      <c r="O96" s="22"/>
      <c r="P96" s="24" t="str">
        <f>IF(OR($J96="",$J96="odešel"),IF(K96="","",IF($F96="žena",CHOOSE(_xlfn.ARABIC($H96),MATCH(K96+1,'[1]Normy VP'!$C$25:$F$25,-1),MATCH(K96+1,'[1]Normy VP'!$C$26:$F$26,-1),MATCH(K96+1,'[1]Normy VP'!$C$27:$F$27,-1),MATCH(K96+1,'[1]Normy VP'!$C$28:$F$28,-1),MATCH(K96+1,'[1]Normy VP'!$C$29:$F$29,-1),"muž"),CHOOSE(_xlfn.ARABIC($H96),MATCH(K96+1,'[1]Normy VP'!$C$10:$F$10,-1),MATCH(K96+1,'[1]Normy VP'!$C$11:$F$11,-1),MATCH(K96+1,'[1]Normy VP'!$C$12:$F$12,-1),MATCH(K96+1,'[1]Normy VP'!$C$13:$F$13,-1),MATCH(K96+1,'[1]Normy VP'!$C$14:$F$14,-1),""))),"O")</f>
        <v/>
      </c>
      <c r="Q96" s="24" t="str">
        <f>IF(OR($J96="",$J96="odešel"),IF($F96="žena","",IF(L96="","",(CHOOSE(_xlfn.ARABIC($H96),MATCH(L96+1,'[1]Normy VP'!$G$10:$J$10,-1),MATCH(L96+1,'[1]Normy VP'!$G$11:$J$11,-1),MATCH(L96+1,'[1]Normy VP'!$G$12:$J$12,-1),MATCH(L96+1,'[1]Normy VP'!$G$13:$J$13,-1),MATCH(L96+1,'[1]Normy VP'!$G$14:$J$14,-1),"")))),"O")</f>
        <v/>
      </c>
      <c r="R96" s="34" t="str">
        <f t="shared" si="5"/>
        <v>N</v>
      </c>
      <c r="S96" s="24" t="str">
        <f>IF(OR($J96="",$J96="odešel"),IF(M96="","N",IF($F96="žena",CHOOSE(_xlfn.ARABIC($H96),MATCH(M96+1,'[1]Normy VP'!$G$25:$J$25,-1),MATCH(M96+1,'[1]Normy VP'!$G$26:$J$26,-1),MATCH(M96+1,'[1]Normy VP'!$G$27:$J$27,-1),MATCH(M96+1,'[1]Normy VP'!$G$28:$J$28,-1),MATCH(M96+1,'[1]Normy VP'!$G$29:$J$29,-1),"muž"),(CHOOSE(_xlfn.ARABIC($H96),MATCH(M96+1,'[1]Normy VP'!$K$10:$N$10,-1),MATCH(M96+1,'[1]Normy VP'!$K$11:$N$11,-1),MATCH(M96+1,'[1]Normy VP'!$K$12:$N$12,-1),MATCH(M96+1,'[1]Normy VP'!$K$13:$N$13,-1),MATCH(M96+1,'[1]Normy VP'!$K$14:$N$14,-1),"")))),"O")</f>
        <v>N</v>
      </c>
      <c r="T96" s="34" t="str">
        <f t="shared" si="6"/>
        <v>N</v>
      </c>
      <c r="U96" s="24" t="str">
        <f>IF(OR($J96="",$J96="odešel"),IF(N96="","N",IF($F96="žena",CHOOSE(_xlfn.ARABIC($H96),MATCH(N96+1,'[1]Normy VP'!$K$25:$N$25,-1),MATCH(N96+1,'[1]Normy VP'!$K$26:$N$26,-1),MATCH(N96+1,'[1]Normy VP'!$K$27:$N$27,-1),MATCH(N96+1,'[1]Normy VP'!$K$28:$N$28,-1),MATCH(N96+1,'[1]Normy VP'!$K$29:$N$29,-1),MATCH(N96+1,'[1]Normy VP'!$K$30:$N$30,-1)),CHOOSE(_xlfn.ARABIC($H96),MATCH(N96+1,'[1]Normy VP'!$O$10:$R$10,-1),MATCH(N96+1,'[1]Normy VP'!$O$11:$R$11,-1),MATCH(N96+1,'[1]Normy VP'!$O$12:$R$12,-1),MATCH(N96+1,'[1]Normy VP'!$O$13:$R$13,-1),MATCH(N96+1,'[1]Normy VP'!$O$14:$R$14,-1),MATCH(N96+1,'[1]Normy VP'!$O$15:$R$15,-1)))),"O")</f>
        <v>N</v>
      </c>
      <c r="V96" s="26" t="str">
        <f>IF(OR($J96="",$J96="odešel"),IF(O96="","N",IF($F96="žena",CHOOSE(_xlfn.ARABIC($H96),MATCH(O96-1,'[1]Normy VP'!$O$25:$R$25),MATCH(O96-1,'[1]Normy VP'!$O$26:$R$26),MATCH(O96-1,'[1]Normy VP'!$O$27:$R$27),MATCH(O96-1,'[1]Normy VP'!$O$28:$R$28),MATCH(O96-1,'[1]Normy VP'!$O$29:$R$29),MATCH(O96-1,'[1]Normy VP'!$O$30:$R$30)),CHOOSE(_xlfn.ARABIC($H96),MATCH(O96-1,'[1]Normy VP'!$S$10:$V$10),MATCH(O96-1,'[1]Normy VP'!$S$11:$V$11),MATCH(O96-1,'[1]Normy VP'!$S$12:$V$12),MATCH(O96-1,'[1]Normy VP'!$S$13:$V$13),MATCH(O96-1,'[1]Normy VP'!$S$14:$V$14),MATCH(O96-1,'[1]Normy VP'!$S$15:$V$15)))),"O")</f>
        <v>N</v>
      </c>
      <c r="W96" s="34" t="str">
        <f t="shared" si="7"/>
        <v>N</v>
      </c>
      <c r="X96" s="27" t="str">
        <f>IF(COUNTIF(B96:G96,"")&gt;0,"",IF(COUNTIF([1]PP!$A:$A,A96)=0,"neni v PP",IF(OR(Y96="odešel",VLOOKUP(A96,[1]PP!$A:$W,22,FALSE)="odešel"),"odešel",IF(OR(Y96="N",VLOOKUP(A96,[1]PP!$A:$W,22,FALSE)="N"),"N",IF(OR(Y96="C",VLOOKUP(A96,[1]PP!$A:$W,22,FALSE)="C"),"C",IF(OR(Y96="DZO",VLOOKUP(A96,[1]PP!$A:$W,22,FALSE)="DZO"),"DZO",IF(OR(Y96="mise",Y96="disp.",Y96="končí",Y96="DSC",VLOOKUP(A96,[1]PP!$A:$W,22,FALSE)="mise",VLOOKUP(A96,[1]PP!$A:$W,22,FALSE)="disp.",VLOOKUP(A96,[1]PP!$A:$W,22,FALSE)="končí",VLOOKUP(A96,[1]PP!$A:$W,22,FALSE)="DSC"),"jiné",IF(OR(Y96=4,VLOOKUP(A96,[1]PP!$A:$W,22,FALSE)=4),4,IF(OR(Y96=3,VLOOKUP(A96,[1]PP!$A:$W,22,FALSE)=3),3,IF(OR(Y96=2,VLOOKUP(A96,[1]PP!$A:$W,22,FALSE)=2),2,IF(AND(Y96=1,VLOOKUP(A96,[1]PP!$A:$W,22,FALSE)=1),1)))))))))))</f>
        <v/>
      </c>
      <c r="Y96" s="28" t="str">
        <f>IF(COUNTIF(B96:G96,"")&gt;0,"",IF(COUNTIF([1]PP!$A:$A,A96)=0,"neni v PP",IF(VLOOKUP(A96,[1]PP!$A:$W,8,FALSE)="odešel","odešel",IF(F96="","",IF(J96="",IF(OR(T96=4,W96=4),4,IF(AND(T96="N",W96="N"),"N",IF(OR(T96="N",W96="N"),4,ROUND(AVERAGE(T96,W96),0)))),J96)))))</f>
        <v/>
      </c>
      <c r="Z96" s="29" t="str">
        <f>IF(COUNTIF(B96:G96,"")=0,IF(X96="neni v PP",CONCATENATE("ID: &lt;",A96,"&gt; se neshoduje s žádným IDem v kartě PP"),IF(COUNTIF($A:$A,A96)&gt;1,CONCATENATE("ID: &lt;",A96,"&gt; se v kartě VP opakuje. Je nutné tyto IDy od sebe odlišit, např. mezerou za příjmením."),IF(COUNTIF([1]PP!A:A,A96)&gt;1,CONCATENATE("ID: &lt;",A96,"&gt; se v kartě PP opakuje. Je nutné tyto IDy od sebe odlišit, např. mezerou za příjmením."),IF(VLOOKUP(A96,[1]PP!$A:$W,5,FALSE)&lt;&gt;E96,CONCATENATE($E$4," &lt;",E96,"&gt; se neshoduje s jednotkou v kartě PP"," &lt;",VLOOKUP(A96,[1]PP!$A:$W,5,FALSE),"&gt;"),IF(AND(COUNTIF(K96:O96,"")&lt;5,J96="",I96=""),CONCATENATE("Doplň: ",$I$4),IF(AND(YEAR(I96)&lt;&gt;$E$2,COUNTIF(I96,"")=0),CONCATENATE("špatně uveden &lt;",$D$2,"&gt; nebo &lt;",$I$4,"&gt;"),IF(OR(AND(OR(COUNTIF(C96,"*a"),COUNTIF(C96,"*ie"),COUNTIF(C96,"*ine"),COUNTIF(D96,"*Á")),F96="muž"),AND(AND(COUNTIF(C96,"&lt;&gt;"&amp;"*a"),COUNTIF(C96,"&lt;&gt;"&amp;"*ie"),COUNTIF(C96,"&lt;&gt;"&amp;"*ine"),COUNTIF(D96,"&lt;&gt;"&amp;"*Á")),F96="žena")),CONCATENATE(C96," ",D96," je ",F96,"?"),""))))))),IF(COUNTIF(B96:O96,"")=14,"",CONCATENATE("Doplň: ",IF(B96="",CONCATENATE($B$4,IF(COUNTIF(C96:G96,"")=0,"",", ")),""),IF(C96="",CONCATENATE($C$4,IF(COUNTIF(D96:G96,"")=0,"",", ")),""),IF(D96="",CONCATENATE($D$4,IF(COUNTIF(E96:G96,"")=0,"",", ")),""),IF(E96="",CONCATENATE($E$4,IF(COUNTIF(F96:G96,"")=0,"",", ")),""),IF(F96="",CONCATENATE($F$4,IF(G96="",", ","")),""),IF(G96="",$G$4,""))))</f>
        <v/>
      </c>
      <c r="AA96" s="30"/>
    </row>
    <row r="97" spans="1:27" ht="16" x14ac:dyDescent="0.35">
      <c r="A97" s="14" t="str">
        <f t="shared" si="4"/>
        <v xml:space="preserve">  </v>
      </c>
      <c r="B97" s="15"/>
      <c r="C97" s="31"/>
      <c r="D97" s="31"/>
      <c r="E97" s="17"/>
      <c r="F97" s="18"/>
      <c r="G97" s="32"/>
      <c r="H97" s="33" t="str">
        <f>IF(G97="","",IF(F97="žena",ROMAN(MATCH(G97+1,'[1]Normy VP'!$Y$27:$Y$33,-1)),ROMAN(MATCH(G97+1,'[1]Normy VP'!$Y$19:$Y$25,-1))))</f>
        <v/>
      </c>
      <c r="I97" s="21"/>
      <c r="J97" s="22"/>
      <c r="K97" s="23"/>
      <c r="L97" s="23"/>
      <c r="M97" s="23"/>
      <c r="N97" s="22"/>
      <c r="O97" s="22"/>
      <c r="P97" s="24" t="str">
        <f>IF(OR($J97="",$J97="odešel"),IF(K97="","",IF($F97="žena",CHOOSE(_xlfn.ARABIC($H97),MATCH(K97+1,'[1]Normy VP'!$C$25:$F$25,-1),MATCH(K97+1,'[1]Normy VP'!$C$26:$F$26,-1),MATCH(K97+1,'[1]Normy VP'!$C$27:$F$27,-1),MATCH(K97+1,'[1]Normy VP'!$C$28:$F$28,-1),MATCH(K97+1,'[1]Normy VP'!$C$29:$F$29,-1),"muž"),CHOOSE(_xlfn.ARABIC($H97),MATCH(K97+1,'[1]Normy VP'!$C$10:$F$10,-1),MATCH(K97+1,'[1]Normy VP'!$C$11:$F$11,-1),MATCH(K97+1,'[1]Normy VP'!$C$12:$F$12,-1),MATCH(K97+1,'[1]Normy VP'!$C$13:$F$13,-1),MATCH(K97+1,'[1]Normy VP'!$C$14:$F$14,-1),""))),"O")</f>
        <v/>
      </c>
      <c r="Q97" s="24" t="str">
        <f>IF(OR($J97="",$J97="odešel"),IF($F97="žena","",IF(L97="","",(CHOOSE(_xlfn.ARABIC($H97),MATCH(L97+1,'[1]Normy VP'!$G$10:$J$10,-1),MATCH(L97+1,'[1]Normy VP'!$G$11:$J$11,-1),MATCH(L97+1,'[1]Normy VP'!$G$12:$J$12,-1),MATCH(L97+1,'[1]Normy VP'!$G$13:$J$13,-1),MATCH(L97+1,'[1]Normy VP'!$G$14:$J$14,-1),"")))),"O")</f>
        <v/>
      </c>
      <c r="R97" s="34" t="str">
        <f t="shared" si="5"/>
        <v>N</v>
      </c>
      <c r="S97" s="24" t="str">
        <f>IF(OR($J97="",$J97="odešel"),IF(M97="","N",IF($F97="žena",CHOOSE(_xlfn.ARABIC($H97),MATCH(M97+1,'[1]Normy VP'!$G$25:$J$25,-1),MATCH(M97+1,'[1]Normy VP'!$G$26:$J$26,-1),MATCH(M97+1,'[1]Normy VP'!$G$27:$J$27,-1),MATCH(M97+1,'[1]Normy VP'!$G$28:$J$28,-1),MATCH(M97+1,'[1]Normy VP'!$G$29:$J$29,-1),"muž"),(CHOOSE(_xlfn.ARABIC($H97),MATCH(M97+1,'[1]Normy VP'!$K$10:$N$10,-1),MATCH(M97+1,'[1]Normy VP'!$K$11:$N$11,-1),MATCH(M97+1,'[1]Normy VP'!$K$12:$N$12,-1),MATCH(M97+1,'[1]Normy VP'!$K$13:$N$13,-1),MATCH(M97+1,'[1]Normy VP'!$K$14:$N$14,-1),"")))),"O")</f>
        <v>N</v>
      </c>
      <c r="T97" s="34" t="str">
        <f t="shared" si="6"/>
        <v>N</v>
      </c>
      <c r="U97" s="24" t="str">
        <f>IF(OR($J97="",$J97="odešel"),IF(N97="","N",IF($F97="žena",CHOOSE(_xlfn.ARABIC($H97),MATCH(N97+1,'[1]Normy VP'!$K$25:$N$25,-1),MATCH(N97+1,'[1]Normy VP'!$K$26:$N$26,-1),MATCH(N97+1,'[1]Normy VP'!$K$27:$N$27,-1),MATCH(N97+1,'[1]Normy VP'!$K$28:$N$28,-1),MATCH(N97+1,'[1]Normy VP'!$K$29:$N$29,-1),MATCH(N97+1,'[1]Normy VP'!$K$30:$N$30,-1)),CHOOSE(_xlfn.ARABIC($H97),MATCH(N97+1,'[1]Normy VP'!$O$10:$R$10,-1),MATCH(N97+1,'[1]Normy VP'!$O$11:$R$11,-1),MATCH(N97+1,'[1]Normy VP'!$O$12:$R$12,-1),MATCH(N97+1,'[1]Normy VP'!$O$13:$R$13,-1),MATCH(N97+1,'[1]Normy VP'!$O$14:$R$14,-1),MATCH(N97+1,'[1]Normy VP'!$O$15:$R$15,-1)))),"O")</f>
        <v>N</v>
      </c>
      <c r="V97" s="26" t="str">
        <f>IF(OR($J97="",$J97="odešel"),IF(O97="","N",IF($F97="žena",CHOOSE(_xlfn.ARABIC($H97),MATCH(O97-1,'[1]Normy VP'!$O$25:$R$25),MATCH(O97-1,'[1]Normy VP'!$O$26:$R$26),MATCH(O97-1,'[1]Normy VP'!$O$27:$R$27),MATCH(O97-1,'[1]Normy VP'!$O$28:$R$28),MATCH(O97-1,'[1]Normy VP'!$O$29:$R$29),MATCH(O97-1,'[1]Normy VP'!$O$30:$R$30)),CHOOSE(_xlfn.ARABIC($H97),MATCH(O97-1,'[1]Normy VP'!$S$10:$V$10),MATCH(O97-1,'[1]Normy VP'!$S$11:$V$11),MATCH(O97-1,'[1]Normy VP'!$S$12:$V$12),MATCH(O97-1,'[1]Normy VP'!$S$13:$V$13),MATCH(O97-1,'[1]Normy VP'!$S$14:$V$14),MATCH(O97-1,'[1]Normy VP'!$S$15:$V$15)))),"O")</f>
        <v>N</v>
      </c>
      <c r="W97" s="34" t="str">
        <f t="shared" si="7"/>
        <v>N</v>
      </c>
      <c r="X97" s="27" t="str">
        <f>IF(COUNTIF(B97:G97,"")&gt;0,"",IF(COUNTIF([1]PP!$A:$A,A97)=0,"neni v PP",IF(OR(Y97="odešel",VLOOKUP(A97,[1]PP!$A:$W,22,FALSE)="odešel"),"odešel",IF(OR(Y97="N",VLOOKUP(A97,[1]PP!$A:$W,22,FALSE)="N"),"N",IF(OR(Y97="C",VLOOKUP(A97,[1]PP!$A:$W,22,FALSE)="C"),"C",IF(OR(Y97="DZO",VLOOKUP(A97,[1]PP!$A:$W,22,FALSE)="DZO"),"DZO",IF(OR(Y97="mise",Y97="disp.",Y97="končí",Y97="DSC",VLOOKUP(A97,[1]PP!$A:$W,22,FALSE)="mise",VLOOKUP(A97,[1]PP!$A:$W,22,FALSE)="disp.",VLOOKUP(A97,[1]PP!$A:$W,22,FALSE)="končí",VLOOKUP(A97,[1]PP!$A:$W,22,FALSE)="DSC"),"jiné",IF(OR(Y97=4,VLOOKUP(A97,[1]PP!$A:$W,22,FALSE)=4),4,IF(OR(Y97=3,VLOOKUP(A97,[1]PP!$A:$W,22,FALSE)=3),3,IF(OR(Y97=2,VLOOKUP(A97,[1]PP!$A:$W,22,FALSE)=2),2,IF(AND(Y97=1,VLOOKUP(A97,[1]PP!$A:$W,22,FALSE)=1),1)))))))))))</f>
        <v/>
      </c>
      <c r="Y97" s="28" t="str">
        <f>IF(COUNTIF(B97:G97,"")&gt;0,"",IF(COUNTIF([1]PP!$A:$A,A97)=0,"neni v PP",IF(VLOOKUP(A97,[1]PP!$A:$W,8,FALSE)="odešel","odešel",IF(F97="","",IF(J97="",IF(OR(T97=4,W97=4),4,IF(AND(T97="N",W97="N"),"N",IF(OR(T97="N",W97="N"),4,ROUND(AVERAGE(T97,W97),0)))),J97)))))</f>
        <v/>
      </c>
      <c r="Z97" s="29" t="str">
        <f>IF(COUNTIF(B97:G97,"")=0,IF(X97="neni v PP",CONCATENATE("ID: &lt;",A97,"&gt; se neshoduje s žádným IDem v kartě PP"),IF(COUNTIF($A:$A,A97)&gt;1,CONCATENATE("ID: &lt;",A97,"&gt; se v kartě VP opakuje. Je nutné tyto IDy od sebe odlišit, např. mezerou za příjmením."),IF(COUNTIF([1]PP!A:A,A97)&gt;1,CONCATENATE("ID: &lt;",A97,"&gt; se v kartě PP opakuje. Je nutné tyto IDy od sebe odlišit, např. mezerou za příjmením."),IF(VLOOKUP(A97,[1]PP!$A:$W,5,FALSE)&lt;&gt;E97,CONCATENATE($E$4," &lt;",E97,"&gt; se neshoduje s jednotkou v kartě PP"," &lt;",VLOOKUP(A97,[1]PP!$A:$W,5,FALSE),"&gt;"),IF(AND(COUNTIF(K97:O97,"")&lt;5,J97="",I97=""),CONCATENATE("Doplň: ",$I$4),IF(AND(YEAR(I97)&lt;&gt;$E$2,COUNTIF(I97,"")=0),CONCATENATE("špatně uveden &lt;",$D$2,"&gt; nebo &lt;",$I$4,"&gt;"),IF(OR(AND(OR(COUNTIF(C97,"*a"),COUNTIF(C97,"*ie"),COUNTIF(C97,"*ine"),COUNTIF(D97,"*Á")),F97="muž"),AND(AND(COUNTIF(C97,"&lt;&gt;"&amp;"*a"),COUNTIF(C97,"&lt;&gt;"&amp;"*ie"),COUNTIF(C97,"&lt;&gt;"&amp;"*ine"),COUNTIF(D97,"&lt;&gt;"&amp;"*Á")),F97="žena")),CONCATENATE(C97," ",D97," je ",F97,"?"),""))))))),IF(COUNTIF(B97:O97,"")=14,"",CONCATENATE("Doplň: ",IF(B97="",CONCATENATE($B$4,IF(COUNTIF(C97:G97,"")=0,"",", ")),""),IF(C97="",CONCATENATE($C$4,IF(COUNTIF(D97:G97,"")=0,"",", ")),""),IF(D97="",CONCATENATE($D$4,IF(COUNTIF(E97:G97,"")=0,"",", ")),""),IF(E97="",CONCATENATE($E$4,IF(COUNTIF(F97:G97,"")=0,"",", ")),""),IF(F97="",CONCATENATE($F$4,IF(G97="",", ","")),""),IF(G97="",$G$4,""))))</f>
        <v/>
      </c>
      <c r="AA97" s="30"/>
    </row>
    <row r="98" spans="1:27" ht="16" x14ac:dyDescent="0.35">
      <c r="A98" s="14" t="str">
        <f t="shared" si="4"/>
        <v xml:space="preserve">  </v>
      </c>
      <c r="B98" s="15"/>
      <c r="C98" s="31"/>
      <c r="D98" s="31"/>
      <c r="E98" s="17"/>
      <c r="F98" s="18"/>
      <c r="G98" s="32"/>
      <c r="H98" s="33" t="str">
        <f>IF(G98="","",IF(F98="žena",ROMAN(MATCH(G98+1,'[1]Normy VP'!$Y$27:$Y$33,-1)),ROMAN(MATCH(G98+1,'[1]Normy VP'!$Y$19:$Y$25,-1))))</f>
        <v/>
      </c>
      <c r="I98" s="21"/>
      <c r="J98" s="22"/>
      <c r="K98" s="23"/>
      <c r="L98" s="23"/>
      <c r="M98" s="23"/>
      <c r="N98" s="22"/>
      <c r="O98" s="22"/>
      <c r="P98" s="24" t="str">
        <f>IF(OR($J98="",$J98="odešel"),IF(K98="","",IF($F98="žena",CHOOSE(_xlfn.ARABIC($H98),MATCH(K98+1,'[1]Normy VP'!$C$25:$F$25,-1),MATCH(K98+1,'[1]Normy VP'!$C$26:$F$26,-1),MATCH(K98+1,'[1]Normy VP'!$C$27:$F$27,-1),MATCH(K98+1,'[1]Normy VP'!$C$28:$F$28,-1),MATCH(K98+1,'[1]Normy VP'!$C$29:$F$29,-1),"muž"),CHOOSE(_xlfn.ARABIC($H98),MATCH(K98+1,'[1]Normy VP'!$C$10:$F$10,-1),MATCH(K98+1,'[1]Normy VP'!$C$11:$F$11,-1),MATCH(K98+1,'[1]Normy VP'!$C$12:$F$12,-1),MATCH(K98+1,'[1]Normy VP'!$C$13:$F$13,-1),MATCH(K98+1,'[1]Normy VP'!$C$14:$F$14,-1),""))),"O")</f>
        <v/>
      </c>
      <c r="Q98" s="24" t="str">
        <f>IF(OR($J98="",$J98="odešel"),IF($F98="žena","",IF(L98="","",(CHOOSE(_xlfn.ARABIC($H98),MATCH(L98+1,'[1]Normy VP'!$G$10:$J$10,-1),MATCH(L98+1,'[1]Normy VP'!$G$11:$J$11,-1),MATCH(L98+1,'[1]Normy VP'!$G$12:$J$12,-1),MATCH(L98+1,'[1]Normy VP'!$G$13:$J$13,-1),MATCH(L98+1,'[1]Normy VP'!$G$14:$J$14,-1),"")))),"O")</f>
        <v/>
      </c>
      <c r="R98" s="34" t="str">
        <f t="shared" si="5"/>
        <v>N</v>
      </c>
      <c r="S98" s="24" t="str">
        <f>IF(OR($J98="",$J98="odešel"),IF(M98="","N",IF($F98="žena",CHOOSE(_xlfn.ARABIC($H98),MATCH(M98+1,'[1]Normy VP'!$G$25:$J$25,-1),MATCH(M98+1,'[1]Normy VP'!$G$26:$J$26,-1),MATCH(M98+1,'[1]Normy VP'!$G$27:$J$27,-1),MATCH(M98+1,'[1]Normy VP'!$G$28:$J$28,-1),MATCH(M98+1,'[1]Normy VP'!$G$29:$J$29,-1),"muž"),(CHOOSE(_xlfn.ARABIC($H98),MATCH(M98+1,'[1]Normy VP'!$K$10:$N$10,-1),MATCH(M98+1,'[1]Normy VP'!$K$11:$N$11,-1),MATCH(M98+1,'[1]Normy VP'!$K$12:$N$12,-1),MATCH(M98+1,'[1]Normy VP'!$K$13:$N$13,-1),MATCH(M98+1,'[1]Normy VP'!$K$14:$N$14,-1),"")))),"O")</f>
        <v>N</v>
      </c>
      <c r="T98" s="34" t="str">
        <f t="shared" si="6"/>
        <v>N</v>
      </c>
      <c r="U98" s="24" t="str">
        <f>IF(OR($J98="",$J98="odešel"),IF(N98="","N",IF($F98="žena",CHOOSE(_xlfn.ARABIC($H98),MATCH(N98+1,'[1]Normy VP'!$K$25:$N$25,-1),MATCH(N98+1,'[1]Normy VP'!$K$26:$N$26,-1),MATCH(N98+1,'[1]Normy VP'!$K$27:$N$27,-1),MATCH(N98+1,'[1]Normy VP'!$K$28:$N$28,-1),MATCH(N98+1,'[1]Normy VP'!$K$29:$N$29,-1),MATCH(N98+1,'[1]Normy VP'!$K$30:$N$30,-1)),CHOOSE(_xlfn.ARABIC($H98),MATCH(N98+1,'[1]Normy VP'!$O$10:$R$10,-1),MATCH(N98+1,'[1]Normy VP'!$O$11:$R$11,-1),MATCH(N98+1,'[1]Normy VP'!$O$12:$R$12,-1),MATCH(N98+1,'[1]Normy VP'!$O$13:$R$13,-1),MATCH(N98+1,'[1]Normy VP'!$O$14:$R$14,-1),MATCH(N98+1,'[1]Normy VP'!$O$15:$R$15,-1)))),"O")</f>
        <v>N</v>
      </c>
      <c r="V98" s="26" t="str">
        <f>IF(OR($J98="",$J98="odešel"),IF(O98="","N",IF($F98="žena",CHOOSE(_xlfn.ARABIC($H98),MATCH(O98-1,'[1]Normy VP'!$O$25:$R$25),MATCH(O98-1,'[1]Normy VP'!$O$26:$R$26),MATCH(O98-1,'[1]Normy VP'!$O$27:$R$27),MATCH(O98-1,'[1]Normy VP'!$O$28:$R$28),MATCH(O98-1,'[1]Normy VP'!$O$29:$R$29),MATCH(O98-1,'[1]Normy VP'!$O$30:$R$30)),CHOOSE(_xlfn.ARABIC($H98),MATCH(O98-1,'[1]Normy VP'!$S$10:$V$10),MATCH(O98-1,'[1]Normy VP'!$S$11:$V$11),MATCH(O98-1,'[1]Normy VP'!$S$12:$V$12),MATCH(O98-1,'[1]Normy VP'!$S$13:$V$13),MATCH(O98-1,'[1]Normy VP'!$S$14:$V$14),MATCH(O98-1,'[1]Normy VP'!$S$15:$V$15)))),"O")</f>
        <v>N</v>
      </c>
      <c r="W98" s="34" t="str">
        <f t="shared" si="7"/>
        <v>N</v>
      </c>
      <c r="X98" s="27" t="str">
        <f>IF(COUNTIF(B98:G98,"")&gt;0,"",IF(COUNTIF([1]PP!$A:$A,A98)=0,"neni v PP",IF(OR(Y98="odešel",VLOOKUP(A98,[1]PP!$A:$W,22,FALSE)="odešel"),"odešel",IF(OR(Y98="N",VLOOKUP(A98,[1]PP!$A:$W,22,FALSE)="N"),"N",IF(OR(Y98="C",VLOOKUP(A98,[1]PP!$A:$W,22,FALSE)="C"),"C",IF(OR(Y98="DZO",VLOOKUP(A98,[1]PP!$A:$W,22,FALSE)="DZO"),"DZO",IF(OR(Y98="mise",Y98="disp.",Y98="končí",Y98="DSC",VLOOKUP(A98,[1]PP!$A:$W,22,FALSE)="mise",VLOOKUP(A98,[1]PP!$A:$W,22,FALSE)="disp.",VLOOKUP(A98,[1]PP!$A:$W,22,FALSE)="končí",VLOOKUP(A98,[1]PP!$A:$W,22,FALSE)="DSC"),"jiné",IF(OR(Y98=4,VLOOKUP(A98,[1]PP!$A:$W,22,FALSE)=4),4,IF(OR(Y98=3,VLOOKUP(A98,[1]PP!$A:$W,22,FALSE)=3),3,IF(OR(Y98=2,VLOOKUP(A98,[1]PP!$A:$W,22,FALSE)=2),2,IF(AND(Y98=1,VLOOKUP(A98,[1]PP!$A:$W,22,FALSE)=1),1)))))))))))</f>
        <v/>
      </c>
      <c r="Y98" s="28" t="str">
        <f>IF(COUNTIF(B98:G98,"")&gt;0,"",IF(COUNTIF([1]PP!$A:$A,A98)=0,"neni v PP",IF(VLOOKUP(A98,[1]PP!$A:$W,8,FALSE)="odešel","odešel",IF(F98="","",IF(J98="",IF(OR(T98=4,W98=4),4,IF(AND(T98="N",W98="N"),"N",IF(OR(T98="N",W98="N"),4,ROUND(AVERAGE(T98,W98),0)))),J98)))))</f>
        <v/>
      </c>
      <c r="Z98" s="29" t="str">
        <f>IF(COUNTIF(B98:G98,"")=0,IF(X98="neni v PP",CONCATENATE("ID: &lt;",A98,"&gt; se neshoduje s žádným IDem v kartě PP"),IF(COUNTIF($A:$A,A98)&gt;1,CONCATENATE("ID: &lt;",A98,"&gt; se v kartě VP opakuje. Je nutné tyto IDy od sebe odlišit, např. mezerou za příjmením."),IF(COUNTIF([1]PP!A:A,A98)&gt;1,CONCATENATE("ID: &lt;",A98,"&gt; se v kartě PP opakuje. Je nutné tyto IDy od sebe odlišit, např. mezerou za příjmením."),IF(VLOOKUP(A98,[1]PP!$A:$W,5,FALSE)&lt;&gt;E98,CONCATENATE($E$4," &lt;",E98,"&gt; se neshoduje s jednotkou v kartě PP"," &lt;",VLOOKUP(A98,[1]PP!$A:$W,5,FALSE),"&gt;"),IF(AND(COUNTIF(K98:O98,"")&lt;5,J98="",I98=""),CONCATENATE("Doplň: ",$I$4),IF(AND(YEAR(I98)&lt;&gt;$E$2,COUNTIF(I98,"")=0),CONCATENATE("špatně uveden &lt;",$D$2,"&gt; nebo &lt;",$I$4,"&gt;"),IF(OR(AND(OR(COUNTIF(C98,"*a"),COUNTIF(C98,"*ie"),COUNTIF(C98,"*ine"),COUNTIF(D98,"*Á")),F98="muž"),AND(AND(COUNTIF(C98,"&lt;&gt;"&amp;"*a"),COUNTIF(C98,"&lt;&gt;"&amp;"*ie"),COUNTIF(C98,"&lt;&gt;"&amp;"*ine"),COUNTIF(D98,"&lt;&gt;"&amp;"*Á")),F98="žena")),CONCATENATE(C98," ",D98," je ",F98,"?"),""))))))),IF(COUNTIF(B98:O98,"")=14,"",CONCATENATE("Doplň: ",IF(B98="",CONCATENATE($B$4,IF(COUNTIF(C98:G98,"")=0,"",", ")),""),IF(C98="",CONCATENATE($C$4,IF(COUNTIF(D98:G98,"")=0,"",", ")),""),IF(D98="",CONCATENATE($D$4,IF(COUNTIF(E98:G98,"")=0,"",", ")),""),IF(E98="",CONCATENATE($E$4,IF(COUNTIF(F98:G98,"")=0,"",", ")),""),IF(F98="",CONCATENATE($F$4,IF(G98="",", ","")),""),IF(G98="",$G$4,""))))</f>
        <v/>
      </c>
      <c r="AA98" s="30"/>
    </row>
    <row r="99" spans="1:27" ht="16" x14ac:dyDescent="0.35">
      <c r="A99" s="14" t="str">
        <f t="shared" si="4"/>
        <v xml:space="preserve">  </v>
      </c>
      <c r="B99" s="15"/>
      <c r="C99" s="31"/>
      <c r="D99" s="31"/>
      <c r="E99" s="17"/>
      <c r="F99" s="18"/>
      <c r="G99" s="32"/>
      <c r="H99" s="33" t="str">
        <f>IF(G99="","",IF(F99="žena",ROMAN(MATCH(G99+1,'[1]Normy VP'!$Y$27:$Y$33,-1)),ROMAN(MATCH(G99+1,'[1]Normy VP'!$Y$19:$Y$25,-1))))</f>
        <v/>
      </c>
      <c r="I99" s="21"/>
      <c r="J99" s="22"/>
      <c r="K99" s="23"/>
      <c r="L99" s="23"/>
      <c r="M99" s="23"/>
      <c r="N99" s="22"/>
      <c r="O99" s="22"/>
      <c r="P99" s="24" t="str">
        <f>IF(OR($J99="",$J99="odešel"),IF(K99="","",IF($F99="žena",CHOOSE(_xlfn.ARABIC($H99),MATCH(K99+1,'[1]Normy VP'!$C$25:$F$25,-1),MATCH(K99+1,'[1]Normy VP'!$C$26:$F$26,-1),MATCH(K99+1,'[1]Normy VP'!$C$27:$F$27,-1),MATCH(K99+1,'[1]Normy VP'!$C$28:$F$28,-1),MATCH(K99+1,'[1]Normy VP'!$C$29:$F$29,-1),"muž"),CHOOSE(_xlfn.ARABIC($H99),MATCH(K99+1,'[1]Normy VP'!$C$10:$F$10,-1),MATCH(K99+1,'[1]Normy VP'!$C$11:$F$11,-1),MATCH(K99+1,'[1]Normy VP'!$C$12:$F$12,-1),MATCH(K99+1,'[1]Normy VP'!$C$13:$F$13,-1),MATCH(K99+1,'[1]Normy VP'!$C$14:$F$14,-1),""))),"O")</f>
        <v/>
      </c>
      <c r="Q99" s="24" t="str">
        <f>IF(OR($J99="",$J99="odešel"),IF($F99="žena","",IF(L99="","",(CHOOSE(_xlfn.ARABIC($H99),MATCH(L99+1,'[1]Normy VP'!$G$10:$J$10,-1),MATCH(L99+1,'[1]Normy VP'!$G$11:$J$11,-1),MATCH(L99+1,'[1]Normy VP'!$G$12:$J$12,-1),MATCH(L99+1,'[1]Normy VP'!$G$13:$J$13,-1),MATCH(L99+1,'[1]Normy VP'!$G$14:$J$14,-1),"")))),"O")</f>
        <v/>
      </c>
      <c r="R99" s="34" t="str">
        <f t="shared" si="5"/>
        <v>N</v>
      </c>
      <c r="S99" s="24" t="str">
        <f>IF(OR($J99="",$J99="odešel"),IF(M99="","N",IF($F99="žena",CHOOSE(_xlfn.ARABIC($H99),MATCH(M99+1,'[1]Normy VP'!$G$25:$J$25,-1),MATCH(M99+1,'[1]Normy VP'!$G$26:$J$26,-1),MATCH(M99+1,'[1]Normy VP'!$G$27:$J$27,-1),MATCH(M99+1,'[1]Normy VP'!$G$28:$J$28,-1),MATCH(M99+1,'[1]Normy VP'!$G$29:$J$29,-1),"muž"),(CHOOSE(_xlfn.ARABIC($H99),MATCH(M99+1,'[1]Normy VP'!$K$10:$N$10,-1),MATCH(M99+1,'[1]Normy VP'!$K$11:$N$11,-1),MATCH(M99+1,'[1]Normy VP'!$K$12:$N$12,-1),MATCH(M99+1,'[1]Normy VP'!$K$13:$N$13,-1),MATCH(M99+1,'[1]Normy VP'!$K$14:$N$14,-1),"")))),"O")</f>
        <v>N</v>
      </c>
      <c r="T99" s="34" t="str">
        <f t="shared" si="6"/>
        <v>N</v>
      </c>
      <c r="U99" s="24" t="str">
        <f>IF(OR($J99="",$J99="odešel"),IF(N99="","N",IF($F99="žena",CHOOSE(_xlfn.ARABIC($H99),MATCH(N99+1,'[1]Normy VP'!$K$25:$N$25,-1),MATCH(N99+1,'[1]Normy VP'!$K$26:$N$26,-1),MATCH(N99+1,'[1]Normy VP'!$K$27:$N$27,-1),MATCH(N99+1,'[1]Normy VP'!$K$28:$N$28,-1),MATCH(N99+1,'[1]Normy VP'!$K$29:$N$29,-1),MATCH(N99+1,'[1]Normy VP'!$K$30:$N$30,-1)),CHOOSE(_xlfn.ARABIC($H99),MATCH(N99+1,'[1]Normy VP'!$O$10:$R$10,-1),MATCH(N99+1,'[1]Normy VP'!$O$11:$R$11,-1),MATCH(N99+1,'[1]Normy VP'!$O$12:$R$12,-1),MATCH(N99+1,'[1]Normy VP'!$O$13:$R$13,-1),MATCH(N99+1,'[1]Normy VP'!$O$14:$R$14,-1),MATCH(N99+1,'[1]Normy VP'!$O$15:$R$15,-1)))),"O")</f>
        <v>N</v>
      </c>
      <c r="V99" s="26" t="str">
        <f>IF(OR($J99="",$J99="odešel"),IF(O99="","N",IF($F99="žena",CHOOSE(_xlfn.ARABIC($H99),MATCH(O99-1,'[1]Normy VP'!$O$25:$R$25),MATCH(O99-1,'[1]Normy VP'!$O$26:$R$26),MATCH(O99-1,'[1]Normy VP'!$O$27:$R$27),MATCH(O99-1,'[1]Normy VP'!$O$28:$R$28),MATCH(O99-1,'[1]Normy VP'!$O$29:$R$29),MATCH(O99-1,'[1]Normy VP'!$O$30:$R$30)),CHOOSE(_xlfn.ARABIC($H99),MATCH(O99-1,'[1]Normy VP'!$S$10:$V$10),MATCH(O99-1,'[1]Normy VP'!$S$11:$V$11),MATCH(O99-1,'[1]Normy VP'!$S$12:$V$12),MATCH(O99-1,'[1]Normy VP'!$S$13:$V$13),MATCH(O99-1,'[1]Normy VP'!$S$14:$V$14),MATCH(O99-1,'[1]Normy VP'!$S$15:$V$15)))),"O")</f>
        <v>N</v>
      </c>
      <c r="W99" s="34" t="str">
        <f t="shared" si="7"/>
        <v>N</v>
      </c>
      <c r="X99" s="27" t="str">
        <f>IF(COUNTIF(B99:G99,"")&gt;0,"",IF(COUNTIF([1]PP!$A:$A,A99)=0,"neni v PP",IF(OR(Y99="odešel",VLOOKUP(A99,[1]PP!$A:$W,22,FALSE)="odešel"),"odešel",IF(OR(Y99="N",VLOOKUP(A99,[1]PP!$A:$W,22,FALSE)="N"),"N",IF(OR(Y99="C",VLOOKUP(A99,[1]PP!$A:$W,22,FALSE)="C"),"C",IF(OR(Y99="DZO",VLOOKUP(A99,[1]PP!$A:$W,22,FALSE)="DZO"),"DZO",IF(OR(Y99="mise",Y99="disp.",Y99="končí",Y99="DSC",VLOOKUP(A99,[1]PP!$A:$W,22,FALSE)="mise",VLOOKUP(A99,[1]PP!$A:$W,22,FALSE)="disp.",VLOOKUP(A99,[1]PP!$A:$W,22,FALSE)="končí",VLOOKUP(A99,[1]PP!$A:$W,22,FALSE)="DSC"),"jiné",IF(OR(Y99=4,VLOOKUP(A99,[1]PP!$A:$W,22,FALSE)=4),4,IF(OR(Y99=3,VLOOKUP(A99,[1]PP!$A:$W,22,FALSE)=3),3,IF(OR(Y99=2,VLOOKUP(A99,[1]PP!$A:$W,22,FALSE)=2),2,IF(AND(Y99=1,VLOOKUP(A99,[1]PP!$A:$W,22,FALSE)=1),1)))))))))))</f>
        <v/>
      </c>
      <c r="Y99" s="28" t="str">
        <f>IF(COUNTIF(B99:G99,"")&gt;0,"",IF(COUNTIF([1]PP!$A:$A,A99)=0,"neni v PP",IF(VLOOKUP(A99,[1]PP!$A:$W,8,FALSE)="odešel","odešel",IF(F99="","",IF(J99="",IF(OR(T99=4,W99=4),4,IF(AND(T99="N",W99="N"),"N",IF(OR(T99="N",W99="N"),4,ROUND(AVERAGE(T99,W99),0)))),J99)))))</f>
        <v/>
      </c>
      <c r="Z99" s="29" t="str">
        <f>IF(COUNTIF(B99:G99,"")=0,IF(X99="neni v PP",CONCATENATE("ID: &lt;",A99,"&gt; se neshoduje s žádným IDem v kartě PP"),IF(COUNTIF($A:$A,A99)&gt;1,CONCATENATE("ID: &lt;",A99,"&gt; se v kartě VP opakuje. Je nutné tyto IDy od sebe odlišit, např. mezerou za příjmením."),IF(COUNTIF([1]PP!A:A,A99)&gt;1,CONCATENATE("ID: &lt;",A99,"&gt; se v kartě PP opakuje. Je nutné tyto IDy od sebe odlišit, např. mezerou za příjmením."),IF(VLOOKUP(A99,[1]PP!$A:$W,5,FALSE)&lt;&gt;E99,CONCATENATE($E$4," &lt;",E99,"&gt; se neshoduje s jednotkou v kartě PP"," &lt;",VLOOKUP(A99,[1]PP!$A:$W,5,FALSE),"&gt;"),IF(AND(COUNTIF(K99:O99,"")&lt;5,J99="",I99=""),CONCATENATE("Doplň: ",$I$4),IF(AND(YEAR(I99)&lt;&gt;$E$2,COUNTIF(I99,"")=0),CONCATENATE("špatně uveden &lt;",$D$2,"&gt; nebo &lt;",$I$4,"&gt;"),IF(OR(AND(OR(COUNTIF(C99,"*a"),COUNTIF(C99,"*ie"),COUNTIF(C99,"*ine"),COUNTIF(D99,"*Á")),F99="muž"),AND(AND(COUNTIF(C99,"&lt;&gt;"&amp;"*a"),COUNTIF(C99,"&lt;&gt;"&amp;"*ie"),COUNTIF(C99,"&lt;&gt;"&amp;"*ine"),COUNTIF(D99,"&lt;&gt;"&amp;"*Á")),F99="žena")),CONCATENATE(C99," ",D99," je ",F99,"?"),""))))))),IF(COUNTIF(B99:O99,"")=14,"",CONCATENATE("Doplň: ",IF(B99="",CONCATENATE($B$4,IF(COUNTIF(C99:G99,"")=0,"",", ")),""),IF(C99="",CONCATENATE($C$4,IF(COUNTIF(D99:G99,"")=0,"",", ")),""),IF(D99="",CONCATENATE($D$4,IF(COUNTIF(E99:G99,"")=0,"",", ")),""),IF(E99="",CONCATENATE($E$4,IF(COUNTIF(F99:G99,"")=0,"",", ")),""),IF(F99="",CONCATENATE($F$4,IF(G99="",", ","")),""),IF(G99="",$G$4,""))))</f>
        <v/>
      </c>
      <c r="AA99" s="30"/>
    </row>
    <row r="100" spans="1:27" ht="16" x14ac:dyDescent="0.35">
      <c r="A100" s="14" t="str">
        <f t="shared" si="4"/>
        <v xml:space="preserve">  </v>
      </c>
      <c r="B100" s="15"/>
      <c r="C100" s="31"/>
      <c r="D100" s="31"/>
      <c r="E100" s="17"/>
      <c r="F100" s="18"/>
      <c r="G100" s="32"/>
      <c r="H100" s="33" t="str">
        <f>IF(G100="","",IF(F100="žena",ROMAN(MATCH(G100+1,'[1]Normy VP'!$Y$27:$Y$33,-1)),ROMAN(MATCH(G100+1,'[1]Normy VP'!$Y$19:$Y$25,-1))))</f>
        <v/>
      </c>
      <c r="I100" s="21"/>
      <c r="J100" s="22"/>
      <c r="K100" s="23"/>
      <c r="L100" s="23"/>
      <c r="M100" s="23"/>
      <c r="N100" s="22"/>
      <c r="O100" s="22"/>
      <c r="P100" s="24" t="str">
        <f>IF(OR($J100="",$J100="odešel"),IF(K100="","",IF($F100="žena",CHOOSE(_xlfn.ARABIC($H100),MATCH(K100+1,'[1]Normy VP'!$C$25:$F$25,-1),MATCH(K100+1,'[1]Normy VP'!$C$26:$F$26,-1),MATCH(K100+1,'[1]Normy VP'!$C$27:$F$27,-1),MATCH(K100+1,'[1]Normy VP'!$C$28:$F$28,-1),MATCH(K100+1,'[1]Normy VP'!$C$29:$F$29,-1),"muž"),CHOOSE(_xlfn.ARABIC($H100),MATCH(K100+1,'[1]Normy VP'!$C$10:$F$10,-1),MATCH(K100+1,'[1]Normy VP'!$C$11:$F$11,-1),MATCH(K100+1,'[1]Normy VP'!$C$12:$F$12,-1),MATCH(K100+1,'[1]Normy VP'!$C$13:$F$13,-1),MATCH(K100+1,'[1]Normy VP'!$C$14:$F$14,-1),""))),"O")</f>
        <v/>
      </c>
      <c r="Q100" s="24" t="str">
        <f>IF(OR($J100="",$J100="odešel"),IF($F100="žena","",IF(L100="","",(CHOOSE(_xlfn.ARABIC($H100),MATCH(L100+1,'[1]Normy VP'!$G$10:$J$10,-1),MATCH(L100+1,'[1]Normy VP'!$G$11:$J$11,-1),MATCH(L100+1,'[1]Normy VP'!$G$12:$J$12,-1),MATCH(L100+1,'[1]Normy VP'!$G$13:$J$13,-1),MATCH(L100+1,'[1]Normy VP'!$G$14:$J$14,-1),"")))),"O")</f>
        <v/>
      </c>
      <c r="R100" s="34" t="str">
        <f t="shared" si="5"/>
        <v>N</v>
      </c>
      <c r="S100" s="24" t="str">
        <f>IF(OR($J100="",$J100="odešel"),IF(M100="","N",IF($F100="žena",CHOOSE(_xlfn.ARABIC($H100),MATCH(M100+1,'[1]Normy VP'!$G$25:$J$25,-1),MATCH(M100+1,'[1]Normy VP'!$G$26:$J$26,-1),MATCH(M100+1,'[1]Normy VP'!$G$27:$J$27,-1),MATCH(M100+1,'[1]Normy VP'!$G$28:$J$28,-1),MATCH(M100+1,'[1]Normy VP'!$G$29:$J$29,-1),"muž"),(CHOOSE(_xlfn.ARABIC($H100),MATCH(M100+1,'[1]Normy VP'!$K$10:$N$10,-1),MATCH(M100+1,'[1]Normy VP'!$K$11:$N$11,-1),MATCH(M100+1,'[1]Normy VP'!$K$12:$N$12,-1),MATCH(M100+1,'[1]Normy VP'!$K$13:$N$13,-1),MATCH(M100+1,'[1]Normy VP'!$K$14:$N$14,-1),"")))),"O")</f>
        <v>N</v>
      </c>
      <c r="T100" s="34" t="str">
        <f t="shared" si="6"/>
        <v>N</v>
      </c>
      <c r="U100" s="24" t="str">
        <f>IF(OR($J100="",$J100="odešel"),IF(N100="","N",IF($F100="žena",CHOOSE(_xlfn.ARABIC($H100),MATCH(N100+1,'[1]Normy VP'!$K$25:$N$25,-1),MATCH(N100+1,'[1]Normy VP'!$K$26:$N$26,-1),MATCH(N100+1,'[1]Normy VP'!$K$27:$N$27,-1),MATCH(N100+1,'[1]Normy VP'!$K$28:$N$28,-1),MATCH(N100+1,'[1]Normy VP'!$K$29:$N$29,-1),MATCH(N100+1,'[1]Normy VP'!$K$30:$N$30,-1)),CHOOSE(_xlfn.ARABIC($H100),MATCH(N100+1,'[1]Normy VP'!$O$10:$R$10,-1),MATCH(N100+1,'[1]Normy VP'!$O$11:$R$11,-1),MATCH(N100+1,'[1]Normy VP'!$O$12:$R$12,-1),MATCH(N100+1,'[1]Normy VP'!$O$13:$R$13,-1),MATCH(N100+1,'[1]Normy VP'!$O$14:$R$14,-1),MATCH(N100+1,'[1]Normy VP'!$O$15:$R$15,-1)))),"O")</f>
        <v>N</v>
      </c>
      <c r="V100" s="26" t="str">
        <f>IF(OR($J100="",$J100="odešel"),IF(O100="","N",IF($F100="žena",CHOOSE(_xlfn.ARABIC($H100),MATCH(O100-1,'[1]Normy VP'!$O$25:$R$25),MATCH(O100-1,'[1]Normy VP'!$O$26:$R$26),MATCH(O100-1,'[1]Normy VP'!$O$27:$R$27),MATCH(O100-1,'[1]Normy VP'!$O$28:$R$28),MATCH(O100-1,'[1]Normy VP'!$O$29:$R$29),MATCH(O100-1,'[1]Normy VP'!$O$30:$R$30)),CHOOSE(_xlfn.ARABIC($H100),MATCH(O100-1,'[1]Normy VP'!$S$10:$V$10),MATCH(O100-1,'[1]Normy VP'!$S$11:$V$11),MATCH(O100-1,'[1]Normy VP'!$S$12:$V$12),MATCH(O100-1,'[1]Normy VP'!$S$13:$V$13),MATCH(O100-1,'[1]Normy VP'!$S$14:$V$14),MATCH(O100-1,'[1]Normy VP'!$S$15:$V$15)))),"O")</f>
        <v>N</v>
      </c>
      <c r="W100" s="34" t="str">
        <f t="shared" si="7"/>
        <v>N</v>
      </c>
      <c r="X100" s="27" t="str">
        <f>IF(COUNTIF(B100:G100,"")&gt;0,"",IF(COUNTIF([1]PP!$A:$A,A100)=0,"neni v PP",IF(OR(Y100="odešel",VLOOKUP(A100,[1]PP!$A:$W,22,FALSE)="odešel"),"odešel",IF(OR(Y100="N",VLOOKUP(A100,[1]PP!$A:$W,22,FALSE)="N"),"N",IF(OR(Y100="C",VLOOKUP(A100,[1]PP!$A:$W,22,FALSE)="C"),"C",IF(OR(Y100="DZO",VLOOKUP(A100,[1]PP!$A:$W,22,FALSE)="DZO"),"DZO",IF(OR(Y100="mise",Y100="disp.",Y100="končí",Y100="DSC",VLOOKUP(A100,[1]PP!$A:$W,22,FALSE)="mise",VLOOKUP(A100,[1]PP!$A:$W,22,FALSE)="disp.",VLOOKUP(A100,[1]PP!$A:$W,22,FALSE)="končí",VLOOKUP(A100,[1]PP!$A:$W,22,FALSE)="DSC"),"jiné",IF(OR(Y100=4,VLOOKUP(A100,[1]PP!$A:$W,22,FALSE)=4),4,IF(OR(Y100=3,VLOOKUP(A100,[1]PP!$A:$W,22,FALSE)=3),3,IF(OR(Y100=2,VLOOKUP(A100,[1]PP!$A:$W,22,FALSE)=2),2,IF(AND(Y100=1,VLOOKUP(A100,[1]PP!$A:$W,22,FALSE)=1),1)))))))))))</f>
        <v/>
      </c>
      <c r="Y100" s="28" t="str">
        <f>IF(COUNTIF(B100:G100,"")&gt;0,"",IF(COUNTIF([1]PP!$A:$A,A100)=0,"neni v PP",IF(VLOOKUP(A100,[1]PP!$A:$W,8,FALSE)="odešel","odešel",IF(F100="","",IF(J100="",IF(OR(T100=4,W100=4),4,IF(AND(T100="N",W100="N"),"N",IF(OR(T100="N",W100="N"),4,ROUND(AVERAGE(T100,W100),0)))),J100)))))</f>
        <v/>
      </c>
      <c r="Z100" s="29" t="str">
        <f>IF(COUNTIF(B100:G100,"")=0,IF(X100="neni v PP",CONCATENATE("ID: &lt;",A100,"&gt; se neshoduje s žádným IDem v kartě PP"),IF(COUNTIF($A:$A,A100)&gt;1,CONCATENATE("ID: &lt;",A100,"&gt; se v kartě VP opakuje. Je nutné tyto IDy od sebe odlišit, např. mezerou za příjmením."),IF(COUNTIF([1]PP!A:A,A100)&gt;1,CONCATENATE("ID: &lt;",A100,"&gt; se v kartě PP opakuje. Je nutné tyto IDy od sebe odlišit, např. mezerou za příjmením."),IF(VLOOKUP(A100,[1]PP!$A:$W,5,FALSE)&lt;&gt;E100,CONCATENATE($E$4," &lt;",E100,"&gt; se neshoduje s jednotkou v kartě PP"," &lt;",VLOOKUP(A100,[1]PP!$A:$W,5,FALSE),"&gt;"),IF(AND(COUNTIF(K100:O100,"")&lt;5,J100="",I100=""),CONCATENATE("Doplň: ",$I$4),IF(AND(YEAR(I100)&lt;&gt;$E$2,COUNTIF(I100,"")=0),CONCATENATE("špatně uveden &lt;",$D$2,"&gt; nebo &lt;",$I$4,"&gt;"),IF(OR(AND(OR(COUNTIF(C100,"*a"),COUNTIF(C100,"*ie"),COUNTIF(C100,"*ine"),COUNTIF(D100,"*Á")),F100="muž"),AND(AND(COUNTIF(C100,"&lt;&gt;"&amp;"*a"),COUNTIF(C100,"&lt;&gt;"&amp;"*ie"),COUNTIF(C100,"&lt;&gt;"&amp;"*ine"),COUNTIF(D100,"&lt;&gt;"&amp;"*Á")),F100="žena")),CONCATENATE(C100," ",D100," je ",F100,"?"),""))))))),IF(COUNTIF(B100:O100,"")=14,"",CONCATENATE("Doplň: ",IF(B100="",CONCATENATE($B$4,IF(COUNTIF(C100:G100,"")=0,"",", ")),""),IF(C100="",CONCATENATE($C$4,IF(COUNTIF(D100:G100,"")=0,"",", ")),""),IF(D100="",CONCATENATE($D$4,IF(COUNTIF(E100:G100,"")=0,"",", ")),""),IF(E100="",CONCATENATE($E$4,IF(COUNTIF(F100:G100,"")=0,"",", ")),""),IF(F100="",CONCATENATE($F$4,IF(G100="",", ","")),""),IF(G100="",$G$4,""))))</f>
        <v/>
      </c>
      <c r="AA100" s="30"/>
    </row>
    <row r="101" spans="1:27" ht="16" x14ac:dyDescent="0.35">
      <c r="A101" s="14" t="str">
        <f t="shared" si="4"/>
        <v xml:space="preserve">  </v>
      </c>
      <c r="B101" s="15"/>
      <c r="C101" s="31"/>
      <c r="D101" s="31"/>
      <c r="E101" s="17"/>
      <c r="F101" s="18"/>
      <c r="G101" s="32"/>
      <c r="H101" s="33" t="str">
        <f>IF(G101="","",IF(F101="žena",ROMAN(MATCH(G101+1,'[1]Normy VP'!$Y$27:$Y$33,-1)),ROMAN(MATCH(G101+1,'[1]Normy VP'!$Y$19:$Y$25,-1))))</f>
        <v/>
      </c>
      <c r="I101" s="21"/>
      <c r="J101" s="22"/>
      <c r="K101" s="23"/>
      <c r="L101" s="23"/>
      <c r="M101" s="23"/>
      <c r="N101" s="22"/>
      <c r="O101" s="22"/>
      <c r="P101" s="24" t="str">
        <f>IF(OR($J101="",$J101="odešel"),IF(K101="","",IF($F101="žena",CHOOSE(_xlfn.ARABIC($H101),MATCH(K101+1,'[1]Normy VP'!$C$25:$F$25,-1),MATCH(K101+1,'[1]Normy VP'!$C$26:$F$26,-1),MATCH(K101+1,'[1]Normy VP'!$C$27:$F$27,-1),MATCH(K101+1,'[1]Normy VP'!$C$28:$F$28,-1),MATCH(K101+1,'[1]Normy VP'!$C$29:$F$29,-1),"muž"),CHOOSE(_xlfn.ARABIC($H101),MATCH(K101+1,'[1]Normy VP'!$C$10:$F$10,-1),MATCH(K101+1,'[1]Normy VP'!$C$11:$F$11,-1),MATCH(K101+1,'[1]Normy VP'!$C$12:$F$12,-1),MATCH(K101+1,'[1]Normy VP'!$C$13:$F$13,-1),MATCH(K101+1,'[1]Normy VP'!$C$14:$F$14,-1),""))),"O")</f>
        <v/>
      </c>
      <c r="Q101" s="24" t="str">
        <f>IF(OR($J101="",$J101="odešel"),IF($F101="žena","",IF(L101="","",(CHOOSE(_xlfn.ARABIC($H101),MATCH(L101+1,'[1]Normy VP'!$G$10:$J$10,-1),MATCH(L101+1,'[1]Normy VP'!$G$11:$J$11,-1),MATCH(L101+1,'[1]Normy VP'!$G$12:$J$12,-1),MATCH(L101+1,'[1]Normy VP'!$G$13:$J$13,-1),MATCH(L101+1,'[1]Normy VP'!$G$14:$J$14,-1),"")))),"O")</f>
        <v/>
      </c>
      <c r="R101" s="34" t="str">
        <f t="shared" si="5"/>
        <v>N</v>
      </c>
      <c r="S101" s="24" t="str">
        <f>IF(OR($J101="",$J101="odešel"),IF(M101="","N",IF($F101="žena",CHOOSE(_xlfn.ARABIC($H101),MATCH(M101+1,'[1]Normy VP'!$G$25:$J$25,-1),MATCH(M101+1,'[1]Normy VP'!$G$26:$J$26,-1),MATCH(M101+1,'[1]Normy VP'!$G$27:$J$27,-1),MATCH(M101+1,'[1]Normy VP'!$G$28:$J$28,-1),MATCH(M101+1,'[1]Normy VP'!$G$29:$J$29,-1),"muž"),(CHOOSE(_xlfn.ARABIC($H101),MATCH(M101+1,'[1]Normy VP'!$K$10:$N$10,-1),MATCH(M101+1,'[1]Normy VP'!$K$11:$N$11,-1),MATCH(M101+1,'[1]Normy VP'!$K$12:$N$12,-1),MATCH(M101+1,'[1]Normy VP'!$K$13:$N$13,-1),MATCH(M101+1,'[1]Normy VP'!$K$14:$N$14,-1),"")))),"O")</f>
        <v>N</v>
      </c>
      <c r="T101" s="34" t="str">
        <f t="shared" si="6"/>
        <v>N</v>
      </c>
      <c r="U101" s="24" t="str">
        <f>IF(OR($J101="",$J101="odešel"),IF(N101="","N",IF($F101="žena",CHOOSE(_xlfn.ARABIC($H101),MATCH(N101+1,'[1]Normy VP'!$K$25:$N$25,-1),MATCH(N101+1,'[1]Normy VP'!$K$26:$N$26,-1),MATCH(N101+1,'[1]Normy VP'!$K$27:$N$27,-1),MATCH(N101+1,'[1]Normy VP'!$K$28:$N$28,-1),MATCH(N101+1,'[1]Normy VP'!$K$29:$N$29,-1),MATCH(N101+1,'[1]Normy VP'!$K$30:$N$30,-1)),CHOOSE(_xlfn.ARABIC($H101),MATCH(N101+1,'[1]Normy VP'!$O$10:$R$10,-1),MATCH(N101+1,'[1]Normy VP'!$O$11:$R$11,-1),MATCH(N101+1,'[1]Normy VP'!$O$12:$R$12,-1),MATCH(N101+1,'[1]Normy VP'!$O$13:$R$13,-1),MATCH(N101+1,'[1]Normy VP'!$O$14:$R$14,-1),MATCH(N101+1,'[1]Normy VP'!$O$15:$R$15,-1)))),"O")</f>
        <v>N</v>
      </c>
      <c r="V101" s="26" t="str">
        <f>IF(OR($J101="",$J101="odešel"),IF(O101="","N",IF($F101="žena",CHOOSE(_xlfn.ARABIC($H101),MATCH(O101-1,'[1]Normy VP'!$O$25:$R$25),MATCH(O101-1,'[1]Normy VP'!$O$26:$R$26),MATCH(O101-1,'[1]Normy VP'!$O$27:$R$27),MATCH(O101-1,'[1]Normy VP'!$O$28:$R$28),MATCH(O101-1,'[1]Normy VP'!$O$29:$R$29),MATCH(O101-1,'[1]Normy VP'!$O$30:$R$30)),CHOOSE(_xlfn.ARABIC($H101),MATCH(O101-1,'[1]Normy VP'!$S$10:$V$10),MATCH(O101-1,'[1]Normy VP'!$S$11:$V$11),MATCH(O101-1,'[1]Normy VP'!$S$12:$V$12),MATCH(O101-1,'[1]Normy VP'!$S$13:$V$13),MATCH(O101-1,'[1]Normy VP'!$S$14:$V$14),MATCH(O101-1,'[1]Normy VP'!$S$15:$V$15)))),"O")</f>
        <v>N</v>
      </c>
      <c r="W101" s="34" t="str">
        <f t="shared" si="7"/>
        <v>N</v>
      </c>
      <c r="X101" s="27" t="str">
        <f>IF(COUNTIF(B101:G101,"")&gt;0,"",IF(COUNTIF([1]PP!$A:$A,A101)=0,"neni v PP",IF(OR(Y101="odešel",VLOOKUP(A101,[1]PP!$A:$W,22,FALSE)="odešel"),"odešel",IF(OR(Y101="N",VLOOKUP(A101,[1]PP!$A:$W,22,FALSE)="N"),"N",IF(OR(Y101="C",VLOOKUP(A101,[1]PP!$A:$W,22,FALSE)="C"),"C",IF(OR(Y101="DZO",VLOOKUP(A101,[1]PP!$A:$W,22,FALSE)="DZO"),"DZO",IF(OR(Y101="mise",Y101="disp.",Y101="končí",Y101="DSC",VLOOKUP(A101,[1]PP!$A:$W,22,FALSE)="mise",VLOOKUP(A101,[1]PP!$A:$W,22,FALSE)="disp.",VLOOKUP(A101,[1]PP!$A:$W,22,FALSE)="končí",VLOOKUP(A101,[1]PP!$A:$W,22,FALSE)="DSC"),"jiné",IF(OR(Y101=4,VLOOKUP(A101,[1]PP!$A:$W,22,FALSE)=4),4,IF(OR(Y101=3,VLOOKUP(A101,[1]PP!$A:$W,22,FALSE)=3),3,IF(OR(Y101=2,VLOOKUP(A101,[1]PP!$A:$W,22,FALSE)=2),2,IF(AND(Y101=1,VLOOKUP(A101,[1]PP!$A:$W,22,FALSE)=1),1)))))))))))</f>
        <v/>
      </c>
      <c r="Y101" s="28" t="str">
        <f>IF(COUNTIF(B101:G101,"")&gt;0,"",IF(COUNTIF([1]PP!$A:$A,A101)=0,"neni v PP",IF(VLOOKUP(A101,[1]PP!$A:$W,8,FALSE)="odešel","odešel",IF(F101="","",IF(J101="",IF(OR(T101=4,W101=4),4,IF(AND(T101="N",W101="N"),"N",IF(OR(T101="N",W101="N"),4,ROUND(AVERAGE(T101,W101),0)))),J101)))))</f>
        <v/>
      </c>
      <c r="Z101" s="29" t="str">
        <f>IF(COUNTIF(B101:G101,"")=0,IF(X101="neni v PP",CONCATENATE("ID: &lt;",A101,"&gt; se neshoduje s žádným IDem v kartě PP"),IF(COUNTIF($A:$A,A101)&gt;1,CONCATENATE("ID: &lt;",A101,"&gt; se v kartě VP opakuje. Je nutné tyto IDy od sebe odlišit, např. mezerou za příjmením."),IF(COUNTIF([1]PP!A:A,A101)&gt;1,CONCATENATE("ID: &lt;",A101,"&gt; se v kartě PP opakuje. Je nutné tyto IDy od sebe odlišit, např. mezerou za příjmením."),IF(VLOOKUP(A101,[1]PP!$A:$W,5,FALSE)&lt;&gt;E101,CONCATENATE($E$4," &lt;",E101,"&gt; se neshoduje s jednotkou v kartě PP"," &lt;",VLOOKUP(A101,[1]PP!$A:$W,5,FALSE),"&gt;"),IF(AND(COUNTIF(K101:O101,"")&lt;5,J101="",I101=""),CONCATENATE("Doplň: ",$I$4),IF(AND(YEAR(I101)&lt;&gt;$E$2,COUNTIF(I101,"")=0),CONCATENATE("špatně uveden &lt;",$D$2,"&gt; nebo &lt;",$I$4,"&gt;"),IF(OR(AND(OR(COUNTIF(C101,"*a"),COUNTIF(C101,"*ie"),COUNTIF(C101,"*ine"),COUNTIF(D101,"*Á")),F101="muž"),AND(AND(COUNTIF(C101,"&lt;&gt;"&amp;"*a"),COUNTIF(C101,"&lt;&gt;"&amp;"*ie"),COUNTIF(C101,"&lt;&gt;"&amp;"*ine"),COUNTIF(D101,"&lt;&gt;"&amp;"*Á")),F101="žena")),CONCATENATE(C101," ",D101," je ",F101,"?"),""))))))),IF(COUNTIF(B101:O101,"")=14,"",CONCATENATE("Doplň: ",IF(B101="",CONCATENATE($B$4,IF(COUNTIF(C101:G101,"")=0,"",", ")),""),IF(C101="",CONCATENATE($C$4,IF(COUNTIF(D101:G101,"")=0,"",", ")),""),IF(D101="",CONCATENATE($D$4,IF(COUNTIF(E101:G101,"")=0,"",", ")),""),IF(E101="",CONCATENATE($E$4,IF(COUNTIF(F101:G101,"")=0,"",", ")),""),IF(F101="",CONCATENATE($F$4,IF(G101="",", ","")),""),IF(G101="",$G$4,""))))</f>
        <v/>
      </c>
      <c r="AA101" s="30"/>
    </row>
    <row r="102" spans="1:27" ht="16" x14ac:dyDescent="0.35">
      <c r="A102" s="14" t="str">
        <f t="shared" si="4"/>
        <v xml:space="preserve">  </v>
      </c>
      <c r="B102" s="15"/>
      <c r="C102" s="31"/>
      <c r="D102" s="31"/>
      <c r="E102" s="17"/>
      <c r="F102" s="18"/>
      <c r="G102" s="32"/>
      <c r="H102" s="33" t="str">
        <f>IF(G102="","",IF(F102="žena",ROMAN(MATCH(G102+1,'[1]Normy VP'!$Y$27:$Y$33,-1)),ROMAN(MATCH(G102+1,'[1]Normy VP'!$Y$19:$Y$25,-1))))</f>
        <v/>
      </c>
      <c r="I102" s="21"/>
      <c r="J102" s="22"/>
      <c r="K102" s="23"/>
      <c r="L102" s="23"/>
      <c r="M102" s="23"/>
      <c r="N102" s="22"/>
      <c r="O102" s="22"/>
      <c r="P102" s="24" t="str">
        <f>IF(OR($J102="",$J102="odešel"),IF(K102="","",IF($F102="žena",CHOOSE(_xlfn.ARABIC($H102),MATCH(K102+1,'[1]Normy VP'!$C$25:$F$25,-1),MATCH(K102+1,'[1]Normy VP'!$C$26:$F$26,-1),MATCH(K102+1,'[1]Normy VP'!$C$27:$F$27,-1),MATCH(K102+1,'[1]Normy VP'!$C$28:$F$28,-1),MATCH(K102+1,'[1]Normy VP'!$C$29:$F$29,-1),"muž"),CHOOSE(_xlfn.ARABIC($H102),MATCH(K102+1,'[1]Normy VP'!$C$10:$F$10,-1),MATCH(K102+1,'[1]Normy VP'!$C$11:$F$11,-1),MATCH(K102+1,'[1]Normy VP'!$C$12:$F$12,-1),MATCH(K102+1,'[1]Normy VP'!$C$13:$F$13,-1),MATCH(K102+1,'[1]Normy VP'!$C$14:$F$14,-1),""))),"O")</f>
        <v/>
      </c>
      <c r="Q102" s="24" t="str">
        <f>IF(OR($J102="",$J102="odešel"),IF($F102="žena","",IF(L102="","",(CHOOSE(_xlfn.ARABIC($H102),MATCH(L102+1,'[1]Normy VP'!$G$10:$J$10,-1),MATCH(L102+1,'[1]Normy VP'!$G$11:$J$11,-1),MATCH(L102+1,'[1]Normy VP'!$G$12:$J$12,-1),MATCH(L102+1,'[1]Normy VP'!$G$13:$J$13,-1),MATCH(L102+1,'[1]Normy VP'!$G$14:$J$14,-1),"")))),"O")</f>
        <v/>
      </c>
      <c r="R102" s="34" t="str">
        <f t="shared" si="5"/>
        <v>N</v>
      </c>
      <c r="S102" s="24" t="str">
        <f>IF(OR($J102="",$J102="odešel"),IF(M102="","N",IF($F102="žena",CHOOSE(_xlfn.ARABIC($H102),MATCH(M102+1,'[1]Normy VP'!$G$25:$J$25,-1),MATCH(M102+1,'[1]Normy VP'!$G$26:$J$26,-1),MATCH(M102+1,'[1]Normy VP'!$G$27:$J$27,-1),MATCH(M102+1,'[1]Normy VP'!$G$28:$J$28,-1),MATCH(M102+1,'[1]Normy VP'!$G$29:$J$29,-1),"muž"),(CHOOSE(_xlfn.ARABIC($H102),MATCH(M102+1,'[1]Normy VP'!$K$10:$N$10,-1),MATCH(M102+1,'[1]Normy VP'!$K$11:$N$11,-1),MATCH(M102+1,'[1]Normy VP'!$K$12:$N$12,-1),MATCH(M102+1,'[1]Normy VP'!$K$13:$N$13,-1),MATCH(M102+1,'[1]Normy VP'!$K$14:$N$14,-1),"")))),"O")</f>
        <v>N</v>
      </c>
      <c r="T102" s="34" t="str">
        <f t="shared" si="6"/>
        <v>N</v>
      </c>
      <c r="U102" s="24" t="str">
        <f>IF(OR($J102="",$J102="odešel"),IF(N102="","N",IF($F102="žena",CHOOSE(_xlfn.ARABIC($H102),MATCH(N102+1,'[1]Normy VP'!$K$25:$N$25,-1),MATCH(N102+1,'[1]Normy VP'!$K$26:$N$26,-1),MATCH(N102+1,'[1]Normy VP'!$K$27:$N$27,-1),MATCH(N102+1,'[1]Normy VP'!$K$28:$N$28,-1),MATCH(N102+1,'[1]Normy VP'!$K$29:$N$29,-1),MATCH(N102+1,'[1]Normy VP'!$K$30:$N$30,-1)),CHOOSE(_xlfn.ARABIC($H102),MATCH(N102+1,'[1]Normy VP'!$O$10:$R$10,-1),MATCH(N102+1,'[1]Normy VP'!$O$11:$R$11,-1),MATCH(N102+1,'[1]Normy VP'!$O$12:$R$12,-1),MATCH(N102+1,'[1]Normy VP'!$O$13:$R$13,-1),MATCH(N102+1,'[1]Normy VP'!$O$14:$R$14,-1),MATCH(N102+1,'[1]Normy VP'!$O$15:$R$15,-1)))),"O")</f>
        <v>N</v>
      </c>
      <c r="V102" s="26" t="str">
        <f>IF(OR($J102="",$J102="odešel"),IF(O102="","N",IF($F102="žena",CHOOSE(_xlfn.ARABIC($H102),MATCH(O102-1,'[1]Normy VP'!$O$25:$R$25),MATCH(O102-1,'[1]Normy VP'!$O$26:$R$26),MATCH(O102-1,'[1]Normy VP'!$O$27:$R$27),MATCH(O102-1,'[1]Normy VP'!$O$28:$R$28),MATCH(O102-1,'[1]Normy VP'!$O$29:$R$29),MATCH(O102-1,'[1]Normy VP'!$O$30:$R$30)),CHOOSE(_xlfn.ARABIC($H102),MATCH(O102-1,'[1]Normy VP'!$S$10:$V$10),MATCH(O102-1,'[1]Normy VP'!$S$11:$V$11),MATCH(O102-1,'[1]Normy VP'!$S$12:$V$12),MATCH(O102-1,'[1]Normy VP'!$S$13:$V$13),MATCH(O102-1,'[1]Normy VP'!$S$14:$V$14),MATCH(O102-1,'[1]Normy VP'!$S$15:$V$15)))),"O")</f>
        <v>N</v>
      </c>
      <c r="W102" s="34" t="str">
        <f t="shared" si="7"/>
        <v>N</v>
      </c>
      <c r="X102" s="27" t="str">
        <f>IF(COUNTIF(B102:G102,"")&gt;0,"",IF(COUNTIF([1]PP!$A:$A,A102)=0,"neni v PP",IF(OR(Y102="odešel",VLOOKUP(A102,[1]PP!$A:$W,22,FALSE)="odešel"),"odešel",IF(OR(Y102="N",VLOOKUP(A102,[1]PP!$A:$W,22,FALSE)="N"),"N",IF(OR(Y102="C",VLOOKUP(A102,[1]PP!$A:$W,22,FALSE)="C"),"C",IF(OR(Y102="DZO",VLOOKUP(A102,[1]PP!$A:$W,22,FALSE)="DZO"),"DZO",IF(OR(Y102="mise",Y102="disp.",Y102="končí",Y102="DSC",VLOOKUP(A102,[1]PP!$A:$W,22,FALSE)="mise",VLOOKUP(A102,[1]PP!$A:$W,22,FALSE)="disp.",VLOOKUP(A102,[1]PP!$A:$W,22,FALSE)="končí",VLOOKUP(A102,[1]PP!$A:$W,22,FALSE)="DSC"),"jiné",IF(OR(Y102=4,VLOOKUP(A102,[1]PP!$A:$W,22,FALSE)=4),4,IF(OR(Y102=3,VLOOKUP(A102,[1]PP!$A:$W,22,FALSE)=3),3,IF(OR(Y102=2,VLOOKUP(A102,[1]PP!$A:$W,22,FALSE)=2),2,IF(AND(Y102=1,VLOOKUP(A102,[1]PP!$A:$W,22,FALSE)=1),1)))))))))))</f>
        <v/>
      </c>
      <c r="Y102" s="28" t="str">
        <f>IF(COUNTIF(B102:G102,"")&gt;0,"",IF(COUNTIF([1]PP!$A:$A,A102)=0,"neni v PP",IF(VLOOKUP(A102,[1]PP!$A:$W,8,FALSE)="odešel","odešel",IF(F102="","",IF(J102="",IF(OR(T102=4,W102=4),4,IF(AND(T102="N",W102="N"),"N",IF(OR(T102="N",W102="N"),4,ROUND(AVERAGE(T102,W102),0)))),J102)))))</f>
        <v/>
      </c>
      <c r="Z102" s="29" t="str">
        <f>IF(COUNTIF(B102:G102,"")=0,IF(X102="neni v PP",CONCATENATE("ID: &lt;",A102,"&gt; se neshoduje s žádným IDem v kartě PP"),IF(COUNTIF($A:$A,A102)&gt;1,CONCATENATE("ID: &lt;",A102,"&gt; se v kartě VP opakuje. Je nutné tyto IDy od sebe odlišit, např. mezerou za příjmením."),IF(COUNTIF([1]PP!A:A,A102)&gt;1,CONCATENATE("ID: &lt;",A102,"&gt; se v kartě PP opakuje. Je nutné tyto IDy od sebe odlišit, např. mezerou za příjmením."),IF(VLOOKUP(A102,[1]PP!$A:$W,5,FALSE)&lt;&gt;E102,CONCATENATE($E$4," &lt;",E102,"&gt; se neshoduje s jednotkou v kartě PP"," &lt;",VLOOKUP(A102,[1]PP!$A:$W,5,FALSE),"&gt;"),IF(AND(COUNTIF(K102:O102,"")&lt;5,J102="",I102=""),CONCATENATE("Doplň: ",$I$4),IF(AND(YEAR(I102)&lt;&gt;$E$2,COUNTIF(I102,"")=0),CONCATENATE("špatně uveden &lt;",$D$2,"&gt; nebo &lt;",$I$4,"&gt;"),IF(OR(AND(OR(COUNTIF(C102,"*a"),COUNTIF(C102,"*ie"),COUNTIF(C102,"*ine"),COUNTIF(D102,"*Á")),F102="muž"),AND(AND(COUNTIF(C102,"&lt;&gt;"&amp;"*a"),COUNTIF(C102,"&lt;&gt;"&amp;"*ie"),COUNTIF(C102,"&lt;&gt;"&amp;"*ine"),COUNTIF(D102,"&lt;&gt;"&amp;"*Á")),F102="žena")),CONCATENATE(C102," ",D102," je ",F102,"?"),""))))))),IF(COUNTIF(B102:O102,"")=14,"",CONCATENATE("Doplň: ",IF(B102="",CONCATENATE($B$4,IF(COUNTIF(C102:G102,"")=0,"",", ")),""),IF(C102="",CONCATENATE($C$4,IF(COUNTIF(D102:G102,"")=0,"",", ")),""),IF(D102="",CONCATENATE($D$4,IF(COUNTIF(E102:G102,"")=0,"",", ")),""),IF(E102="",CONCATENATE($E$4,IF(COUNTIF(F102:G102,"")=0,"",", ")),""),IF(F102="",CONCATENATE($F$4,IF(G102="",", ","")),""),IF(G102="",$G$4,""))))</f>
        <v/>
      </c>
      <c r="AA102" s="30"/>
    </row>
    <row r="103" spans="1:27" ht="16" x14ac:dyDescent="0.35">
      <c r="A103" s="14" t="str">
        <f t="shared" si="4"/>
        <v xml:space="preserve">  </v>
      </c>
      <c r="B103" s="15"/>
      <c r="C103" s="31"/>
      <c r="D103" s="31"/>
      <c r="E103" s="17"/>
      <c r="F103" s="18"/>
      <c r="G103" s="32"/>
      <c r="H103" s="33" t="str">
        <f>IF(G103="","",IF(F103="žena",ROMAN(MATCH(G103+1,'[1]Normy VP'!$Y$27:$Y$33,-1)),ROMAN(MATCH(G103+1,'[1]Normy VP'!$Y$19:$Y$25,-1))))</f>
        <v/>
      </c>
      <c r="I103" s="21"/>
      <c r="J103" s="22"/>
      <c r="K103" s="23"/>
      <c r="L103" s="23"/>
      <c r="M103" s="23"/>
      <c r="N103" s="22"/>
      <c r="O103" s="22"/>
      <c r="P103" s="24" t="str">
        <f>IF(OR($J103="",$J103="odešel"),IF(K103="","",IF($F103="žena",CHOOSE(_xlfn.ARABIC($H103),MATCH(K103+1,'[1]Normy VP'!$C$25:$F$25,-1),MATCH(K103+1,'[1]Normy VP'!$C$26:$F$26,-1),MATCH(K103+1,'[1]Normy VP'!$C$27:$F$27,-1),MATCH(K103+1,'[1]Normy VP'!$C$28:$F$28,-1),MATCH(K103+1,'[1]Normy VP'!$C$29:$F$29,-1),"muž"),CHOOSE(_xlfn.ARABIC($H103),MATCH(K103+1,'[1]Normy VP'!$C$10:$F$10,-1),MATCH(K103+1,'[1]Normy VP'!$C$11:$F$11,-1),MATCH(K103+1,'[1]Normy VP'!$C$12:$F$12,-1),MATCH(K103+1,'[1]Normy VP'!$C$13:$F$13,-1),MATCH(K103+1,'[1]Normy VP'!$C$14:$F$14,-1),""))),"O")</f>
        <v/>
      </c>
      <c r="Q103" s="24" t="str">
        <f>IF(OR($J103="",$J103="odešel"),IF($F103="žena","",IF(L103="","",(CHOOSE(_xlfn.ARABIC($H103),MATCH(L103+1,'[1]Normy VP'!$G$10:$J$10,-1),MATCH(L103+1,'[1]Normy VP'!$G$11:$J$11,-1),MATCH(L103+1,'[1]Normy VP'!$G$12:$J$12,-1),MATCH(L103+1,'[1]Normy VP'!$G$13:$J$13,-1),MATCH(L103+1,'[1]Normy VP'!$G$14:$J$14,-1),"")))),"O")</f>
        <v/>
      </c>
      <c r="R103" s="34" t="str">
        <f t="shared" si="5"/>
        <v>N</v>
      </c>
      <c r="S103" s="24" t="str">
        <f>IF(OR($J103="",$J103="odešel"),IF(M103="","N",IF($F103="žena",CHOOSE(_xlfn.ARABIC($H103),MATCH(M103+1,'[1]Normy VP'!$G$25:$J$25,-1),MATCH(M103+1,'[1]Normy VP'!$G$26:$J$26,-1),MATCH(M103+1,'[1]Normy VP'!$G$27:$J$27,-1),MATCH(M103+1,'[1]Normy VP'!$G$28:$J$28,-1),MATCH(M103+1,'[1]Normy VP'!$G$29:$J$29,-1),"muž"),(CHOOSE(_xlfn.ARABIC($H103),MATCH(M103+1,'[1]Normy VP'!$K$10:$N$10,-1),MATCH(M103+1,'[1]Normy VP'!$K$11:$N$11,-1),MATCH(M103+1,'[1]Normy VP'!$K$12:$N$12,-1),MATCH(M103+1,'[1]Normy VP'!$K$13:$N$13,-1),MATCH(M103+1,'[1]Normy VP'!$K$14:$N$14,-1),"")))),"O")</f>
        <v>N</v>
      </c>
      <c r="T103" s="34" t="str">
        <f t="shared" si="6"/>
        <v>N</v>
      </c>
      <c r="U103" s="24" t="str">
        <f>IF(OR($J103="",$J103="odešel"),IF(N103="","N",IF($F103="žena",CHOOSE(_xlfn.ARABIC($H103),MATCH(N103+1,'[1]Normy VP'!$K$25:$N$25,-1),MATCH(N103+1,'[1]Normy VP'!$K$26:$N$26,-1),MATCH(N103+1,'[1]Normy VP'!$K$27:$N$27,-1),MATCH(N103+1,'[1]Normy VP'!$K$28:$N$28,-1),MATCH(N103+1,'[1]Normy VP'!$K$29:$N$29,-1),MATCH(N103+1,'[1]Normy VP'!$K$30:$N$30,-1)),CHOOSE(_xlfn.ARABIC($H103),MATCH(N103+1,'[1]Normy VP'!$O$10:$R$10,-1),MATCH(N103+1,'[1]Normy VP'!$O$11:$R$11,-1),MATCH(N103+1,'[1]Normy VP'!$O$12:$R$12,-1),MATCH(N103+1,'[1]Normy VP'!$O$13:$R$13,-1),MATCH(N103+1,'[1]Normy VP'!$O$14:$R$14,-1),MATCH(N103+1,'[1]Normy VP'!$O$15:$R$15,-1)))),"O")</f>
        <v>N</v>
      </c>
      <c r="V103" s="26" t="str">
        <f>IF(OR($J103="",$J103="odešel"),IF(O103="","N",IF($F103="žena",CHOOSE(_xlfn.ARABIC($H103),MATCH(O103-1,'[1]Normy VP'!$O$25:$R$25),MATCH(O103-1,'[1]Normy VP'!$O$26:$R$26),MATCH(O103-1,'[1]Normy VP'!$O$27:$R$27),MATCH(O103-1,'[1]Normy VP'!$O$28:$R$28),MATCH(O103-1,'[1]Normy VP'!$O$29:$R$29),MATCH(O103-1,'[1]Normy VP'!$O$30:$R$30)),CHOOSE(_xlfn.ARABIC($H103),MATCH(O103-1,'[1]Normy VP'!$S$10:$V$10),MATCH(O103-1,'[1]Normy VP'!$S$11:$V$11),MATCH(O103-1,'[1]Normy VP'!$S$12:$V$12),MATCH(O103-1,'[1]Normy VP'!$S$13:$V$13),MATCH(O103-1,'[1]Normy VP'!$S$14:$V$14),MATCH(O103-1,'[1]Normy VP'!$S$15:$V$15)))),"O")</f>
        <v>N</v>
      </c>
      <c r="W103" s="34" t="str">
        <f t="shared" si="7"/>
        <v>N</v>
      </c>
      <c r="X103" s="27" t="str">
        <f>IF(COUNTIF(B103:G103,"")&gt;0,"",IF(COUNTIF([1]PP!$A:$A,A103)=0,"neni v PP",IF(OR(Y103="odešel",VLOOKUP(A103,[1]PP!$A:$W,22,FALSE)="odešel"),"odešel",IF(OR(Y103="N",VLOOKUP(A103,[1]PP!$A:$W,22,FALSE)="N"),"N",IF(OR(Y103="C",VLOOKUP(A103,[1]PP!$A:$W,22,FALSE)="C"),"C",IF(OR(Y103="DZO",VLOOKUP(A103,[1]PP!$A:$W,22,FALSE)="DZO"),"DZO",IF(OR(Y103="mise",Y103="disp.",Y103="končí",Y103="DSC",VLOOKUP(A103,[1]PP!$A:$W,22,FALSE)="mise",VLOOKUP(A103,[1]PP!$A:$W,22,FALSE)="disp.",VLOOKUP(A103,[1]PP!$A:$W,22,FALSE)="končí",VLOOKUP(A103,[1]PP!$A:$W,22,FALSE)="DSC"),"jiné",IF(OR(Y103=4,VLOOKUP(A103,[1]PP!$A:$W,22,FALSE)=4),4,IF(OR(Y103=3,VLOOKUP(A103,[1]PP!$A:$W,22,FALSE)=3),3,IF(OR(Y103=2,VLOOKUP(A103,[1]PP!$A:$W,22,FALSE)=2),2,IF(AND(Y103=1,VLOOKUP(A103,[1]PP!$A:$W,22,FALSE)=1),1)))))))))))</f>
        <v/>
      </c>
      <c r="Y103" s="28" t="str">
        <f>IF(COUNTIF(B103:G103,"")&gt;0,"",IF(COUNTIF([1]PP!$A:$A,A103)=0,"neni v PP",IF(VLOOKUP(A103,[1]PP!$A:$W,8,FALSE)="odešel","odešel",IF(F103="","",IF(J103="",IF(OR(T103=4,W103=4),4,IF(AND(T103="N",W103="N"),"N",IF(OR(T103="N",W103="N"),4,ROUND(AVERAGE(T103,W103),0)))),J103)))))</f>
        <v/>
      </c>
      <c r="Z103" s="29" t="str">
        <f>IF(COUNTIF(B103:G103,"")=0,IF(X103="neni v PP",CONCATENATE("ID: &lt;",A103,"&gt; se neshoduje s žádným IDem v kartě PP"),IF(COUNTIF($A:$A,A103)&gt;1,CONCATENATE("ID: &lt;",A103,"&gt; se v kartě VP opakuje. Je nutné tyto IDy od sebe odlišit, např. mezerou za příjmením."),IF(COUNTIF([1]PP!A:A,A103)&gt;1,CONCATENATE("ID: &lt;",A103,"&gt; se v kartě PP opakuje. Je nutné tyto IDy od sebe odlišit, např. mezerou za příjmením."),IF(VLOOKUP(A103,[1]PP!$A:$W,5,FALSE)&lt;&gt;E103,CONCATENATE($E$4," &lt;",E103,"&gt; se neshoduje s jednotkou v kartě PP"," &lt;",VLOOKUP(A103,[1]PP!$A:$W,5,FALSE),"&gt;"),IF(AND(COUNTIF(K103:O103,"")&lt;5,J103="",I103=""),CONCATENATE("Doplň: ",$I$4),IF(AND(YEAR(I103)&lt;&gt;$E$2,COUNTIF(I103,"")=0),CONCATENATE("špatně uveden &lt;",$D$2,"&gt; nebo &lt;",$I$4,"&gt;"),IF(OR(AND(OR(COUNTIF(C103,"*a"),COUNTIF(C103,"*ie"),COUNTIF(C103,"*ine"),COUNTIF(D103,"*Á")),F103="muž"),AND(AND(COUNTIF(C103,"&lt;&gt;"&amp;"*a"),COUNTIF(C103,"&lt;&gt;"&amp;"*ie"),COUNTIF(C103,"&lt;&gt;"&amp;"*ine"),COUNTIF(D103,"&lt;&gt;"&amp;"*Á")),F103="žena")),CONCATENATE(C103," ",D103," je ",F103,"?"),""))))))),IF(COUNTIF(B103:O103,"")=14,"",CONCATENATE("Doplň: ",IF(B103="",CONCATENATE($B$4,IF(COUNTIF(C103:G103,"")=0,"",", ")),""),IF(C103="",CONCATENATE($C$4,IF(COUNTIF(D103:G103,"")=0,"",", ")),""),IF(D103="",CONCATENATE($D$4,IF(COUNTIF(E103:G103,"")=0,"",", ")),""),IF(E103="",CONCATENATE($E$4,IF(COUNTIF(F103:G103,"")=0,"",", ")),""),IF(F103="",CONCATENATE($F$4,IF(G103="",", ","")),""),IF(G103="",$G$4,""))))</f>
        <v/>
      </c>
      <c r="AA103" s="30"/>
    </row>
    <row r="104" spans="1:27" ht="16" x14ac:dyDescent="0.35">
      <c r="A104" s="14" t="str">
        <f t="shared" si="4"/>
        <v xml:space="preserve">  </v>
      </c>
      <c r="B104" s="15"/>
      <c r="C104" s="31"/>
      <c r="D104" s="31"/>
      <c r="E104" s="17"/>
      <c r="F104" s="18"/>
      <c r="G104" s="32"/>
      <c r="H104" s="33" t="str">
        <f>IF(G104="","",IF(F104="žena",ROMAN(MATCH(G104+1,'[1]Normy VP'!$Y$27:$Y$33,-1)),ROMAN(MATCH(G104+1,'[1]Normy VP'!$Y$19:$Y$25,-1))))</f>
        <v/>
      </c>
      <c r="I104" s="21"/>
      <c r="J104" s="22"/>
      <c r="K104" s="23"/>
      <c r="L104" s="23"/>
      <c r="M104" s="23"/>
      <c r="N104" s="22"/>
      <c r="O104" s="22"/>
      <c r="P104" s="24" t="str">
        <f>IF(OR($J104="",$J104="odešel"),IF(K104="","",IF($F104="žena",CHOOSE(_xlfn.ARABIC($H104),MATCH(K104+1,'[1]Normy VP'!$C$25:$F$25,-1),MATCH(K104+1,'[1]Normy VP'!$C$26:$F$26,-1),MATCH(K104+1,'[1]Normy VP'!$C$27:$F$27,-1),MATCH(K104+1,'[1]Normy VP'!$C$28:$F$28,-1),MATCH(K104+1,'[1]Normy VP'!$C$29:$F$29,-1),"muž"),CHOOSE(_xlfn.ARABIC($H104),MATCH(K104+1,'[1]Normy VP'!$C$10:$F$10,-1),MATCH(K104+1,'[1]Normy VP'!$C$11:$F$11,-1),MATCH(K104+1,'[1]Normy VP'!$C$12:$F$12,-1),MATCH(K104+1,'[1]Normy VP'!$C$13:$F$13,-1),MATCH(K104+1,'[1]Normy VP'!$C$14:$F$14,-1),""))),"O")</f>
        <v/>
      </c>
      <c r="Q104" s="24" t="str">
        <f>IF(OR($J104="",$J104="odešel"),IF($F104="žena","",IF(L104="","",(CHOOSE(_xlfn.ARABIC($H104),MATCH(L104+1,'[1]Normy VP'!$G$10:$J$10,-1),MATCH(L104+1,'[1]Normy VP'!$G$11:$J$11,-1),MATCH(L104+1,'[1]Normy VP'!$G$12:$J$12,-1),MATCH(L104+1,'[1]Normy VP'!$G$13:$J$13,-1),MATCH(L104+1,'[1]Normy VP'!$G$14:$J$14,-1),"")))),"O")</f>
        <v/>
      </c>
      <c r="R104" s="34" t="str">
        <f t="shared" si="5"/>
        <v>N</v>
      </c>
      <c r="S104" s="24" t="str">
        <f>IF(OR($J104="",$J104="odešel"),IF(M104="","N",IF($F104="žena",CHOOSE(_xlfn.ARABIC($H104),MATCH(M104+1,'[1]Normy VP'!$G$25:$J$25,-1),MATCH(M104+1,'[1]Normy VP'!$G$26:$J$26,-1),MATCH(M104+1,'[1]Normy VP'!$G$27:$J$27,-1),MATCH(M104+1,'[1]Normy VP'!$G$28:$J$28,-1),MATCH(M104+1,'[1]Normy VP'!$G$29:$J$29,-1),"muž"),(CHOOSE(_xlfn.ARABIC($H104),MATCH(M104+1,'[1]Normy VP'!$K$10:$N$10,-1),MATCH(M104+1,'[1]Normy VP'!$K$11:$N$11,-1),MATCH(M104+1,'[1]Normy VP'!$K$12:$N$12,-1),MATCH(M104+1,'[1]Normy VP'!$K$13:$N$13,-1),MATCH(M104+1,'[1]Normy VP'!$K$14:$N$14,-1),"")))),"O")</f>
        <v>N</v>
      </c>
      <c r="T104" s="34" t="str">
        <f t="shared" si="6"/>
        <v>N</v>
      </c>
      <c r="U104" s="24" t="str">
        <f>IF(OR($J104="",$J104="odešel"),IF(N104="","N",IF($F104="žena",CHOOSE(_xlfn.ARABIC($H104),MATCH(N104+1,'[1]Normy VP'!$K$25:$N$25,-1),MATCH(N104+1,'[1]Normy VP'!$K$26:$N$26,-1),MATCH(N104+1,'[1]Normy VP'!$K$27:$N$27,-1),MATCH(N104+1,'[1]Normy VP'!$K$28:$N$28,-1),MATCH(N104+1,'[1]Normy VP'!$K$29:$N$29,-1),MATCH(N104+1,'[1]Normy VP'!$K$30:$N$30,-1)),CHOOSE(_xlfn.ARABIC($H104),MATCH(N104+1,'[1]Normy VP'!$O$10:$R$10,-1),MATCH(N104+1,'[1]Normy VP'!$O$11:$R$11,-1),MATCH(N104+1,'[1]Normy VP'!$O$12:$R$12,-1),MATCH(N104+1,'[1]Normy VP'!$O$13:$R$13,-1),MATCH(N104+1,'[1]Normy VP'!$O$14:$R$14,-1),MATCH(N104+1,'[1]Normy VP'!$O$15:$R$15,-1)))),"O")</f>
        <v>N</v>
      </c>
      <c r="V104" s="26" t="str">
        <f>IF(OR($J104="",$J104="odešel"),IF(O104="","N",IF($F104="žena",CHOOSE(_xlfn.ARABIC($H104),MATCH(O104-1,'[1]Normy VP'!$O$25:$R$25),MATCH(O104-1,'[1]Normy VP'!$O$26:$R$26),MATCH(O104-1,'[1]Normy VP'!$O$27:$R$27),MATCH(O104-1,'[1]Normy VP'!$O$28:$R$28),MATCH(O104-1,'[1]Normy VP'!$O$29:$R$29),MATCH(O104-1,'[1]Normy VP'!$O$30:$R$30)),CHOOSE(_xlfn.ARABIC($H104),MATCH(O104-1,'[1]Normy VP'!$S$10:$V$10),MATCH(O104-1,'[1]Normy VP'!$S$11:$V$11),MATCH(O104-1,'[1]Normy VP'!$S$12:$V$12),MATCH(O104-1,'[1]Normy VP'!$S$13:$V$13),MATCH(O104-1,'[1]Normy VP'!$S$14:$V$14),MATCH(O104-1,'[1]Normy VP'!$S$15:$V$15)))),"O")</f>
        <v>N</v>
      </c>
      <c r="W104" s="34" t="str">
        <f t="shared" si="7"/>
        <v>N</v>
      </c>
      <c r="X104" s="27" t="str">
        <f>IF(COUNTIF(B104:G104,"")&gt;0,"",IF(COUNTIF([1]PP!$A:$A,A104)=0,"neni v PP",IF(OR(Y104="odešel",VLOOKUP(A104,[1]PP!$A:$W,22,FALSE)="odešel"),"odešel",IF(OR(Y104="N",VLOOKUP(A104,[1]PP!$A:$W,22,FALSE)="N"),"N",IF(OR(Y104="C",VLOOKUP(A104,[1]PP!$A:$W,22,FALSE)="C"),"C",IF(OR(Y104="DZO",VLOOKUP(A104,[1]PP!$A:$W,22,FALSE)="DZO"),"DZO",IF(OR(Y104="mise",Y104="disp.",Y104="končí",Y104="DSC",VLOOKUP(A104,[1]PP!$A:$W,22,FALSE)="mise",VLOOKUP(A104,[1]PP!$A:$W,22,FALSE)="disp.",VLOOKUP(A104,[1]PP!$A:$W,22,FALSE)="končí",VLOOKUP(A104,[1]PP!$A:$W,22,FALSE)="DSC"),"jiné",IF(OR(Y104=4,VLOOKUP(A104,[1]PP!$A:$W,22,FALSE)=4),4,IF(OR(Y104=3,VLOOKUP(A104,[1]PP!$A:$W,22,FALSE)=3),3,IF(OR(Y104=2,VLOOKUP(A104,[1]PP!$A:$W,22,FALSE)=2),2,IF(AND(Y104=1,VLOOKUP(A104,[1]PP!$A:$W,22,FALSE)=1),1)))))))))))</f>
        <v/>
      </c>
      <c r="Y104" s="28" t="str">
        <f>IF(COUNTIF(B104:G104,"")&gt;0,"",IF(COUNTIF([1]PP!$A:$A,A104)=0,"neni v PP",IF(VLOOKUP(A104,[1]PP!$A:$W,8,FALSE)="odešel","odešel",IF(F104="","",IF(J104="",IF(OR(T104=4,W104=4),4,IF(AND(T104="N",W104="N"),"N",IF(OR(T104="N",W104="N"),4,ROUND(AVERAGE(T104,W104),0)))),J104)))))</f>
        <v/>
      </c>
      <c r="Z104" s="29" t="str">
        <f>IF(COUNTIF(B104:G104,"")=0,IF(X104="neni v PP",CONCATENATE("ID: &lt;",A104,"&gt; se neshoduje s žádným IDem v kartě PP"),IF(COUNTIF($A:$A,A104)&gt;1,CONCATENATE("ID: &lt;",A104,"&gt; se v kartě VP opakuje. Je nutné tyto IDy od sebe odlišit, např. mezerou za příjmením."),IF(COUNTIF([1]PP!A:A,A104)&gt;1,CONCATENATE("ID: &lt;",A104,"&gt; se v kartě PP opakuje. Je nutné tyto IDy od sebe odlišit, např. mezerou za příjmením."),IF(VLOOKUP(A104,[1]PP!$A:$W,5,FALSE)&lt;&gt;E104,CONCATENATE($E$4," &lt;",E104,"&gt; se neshoduje s jednotkou v kartě PP"," &lt;",VLOOKUP(A104,[1]PP!$A:$W,5,FALSE),"&gt;"),IF(AND(COUNTIF(K104:O104,"")&lt;5,J104="",I104=""),CONCATENATE("Doplň: ",$I$4),IF(AND(YEAR(I104)&lt;&gt;$E$2,COUNTIF(I104,"")=0),CONCATENATE("špatně uveden &lt;",$D$2,"&gt; nebo &lt;",$I$4,"&gt;"),IF(OR(AND(OR(COUNTIF(C104,"*a"),COUNTIF(C104,"*ie"),COUNTIF(C104,"*ine"),COUNTIF(D104,"*Á")),F104="muž"),AND(AND(COUNTIF(C104,"&lt;&gt;"&amp;"*a"),COUNTIF(C104,"&lt;&gt;"&amp;"*ie"),COUNTIF(C104,"&lt;&gt;"&amp;"*ine"),COUNTIF(D104,"&lt;&gt;"&amp;"*Á")),F104="žena")),CONCATENATE(C104," ",D104," je ",F104,"?"),""))))))),IF(COUNTIF(B104:O104,"")=14,"",CONCATENATE("Doplň: ",IF(B104="",CONCATENATE($B$4,IF(COUNTIF(C104:G104,"")=0,"",", ")),""),IF(C104="",CONCATENATE($C$4,IF(COUNTIF(D104:G104,"")=0,"",", ")),""),IF(D104="",CONCATENATE($D$4,IF(COUNTIF(E104:G104,"")=0,"",", ")),""),IF(E104="",CONCATENATE($E$4,IF(COUNTIF(F104:G104,"")=0,"",", ")),""),IF(F104="",CONCATENATE($F$4,IF(G104="",", ","")),""),IF(G104="",$G$4,""))))</f>
        <v/>
      </c>
      <c r="AA104" s="30"/>
    </row>
    <row r="105" spans="1:27" ht="16" x14ac:dyDescent="0.35">
      <c r="A105" s="14" t="str">
        <f t="shared" si="4"/>
        <v xml:space="preserve">  </v>
      </c>
      <c r="B105" s="15"/>
      <c r="C105" s="31"/>
      <c r="D105" s="31"/>
      <c r="E105" s="17"/>
      <c r="F105" s="18"/>
      <c r="G105" s="32"/>
      <c r="H105" s="33" t="str">
        <f>IF(G105="","",IF(F105="žena",ROMAN(MATCH(G105+1,'[1]Normy VP'!$Y$27:$Y$33,-1)),ROMAN(MATCH(G105+1,'[1]Normy VP'!$Y$19:$Y$25,-1))))</f>
        <v/>
      </c>
      <c r="I105" s="21"/>
      <c r="J105" s="22"/>
      <c r="K105" s="23"/>
      <c r="L105" s="23"/>
      <c r="M105" s="23"/>
      <c r="N105" s="22"/>
      <c r="O105" s="22"/>
      <c r="P105" s="24" t="str">
        <f>IF(OR($J105="",$J105="odešel"),IF(K105="","",IF($F105="žena",CHOOSE(_xlfn.ARABIC($H105),MATCH(K105+1,'[1]Normy VP'!$C$25:$F$25,-1),MATCH(K105+1,'[1]Normy VP'!$C$26:$F$26,-1),MATCH(K105+1,'[1]Normy VP'!$C$27:$F$27,-1),MATCH(K105+1,'[1]Normy VP'!$C$28:$F$28,-1),MATCH(K105+1,'[1]Normy VP'!$C$29:$F$29,-1),"muž"),CHOOSE(_xlfn.ARABIC($H105),MATCH(K105+1,'[1]Normy VP'!$C$10:$F$10,-1),MATCH(K105+1,'[1]Normy VP'!$C$11:$F$11,-1),MATCH(K105+1,'[1]Normy VP'!$C$12:$F$12,-1),MATCH(K105+1,'[1]Normy VP'!$C$13:$F$13,-1),MATCH(K105+1,'[1]Normy VP'!$C$14:$F$14,-1),""))),"O")</f>
        <v/>
      </c>
      <c r="Q105" s="24" t="str">
        <f>IF(OR($J105="",$J105="odešel"),IF($F105="žena","",IF(L105="","",(CHOOSE(_xlfn.ARABIC($H105),MATCH(L105+1,'[1]Normy VP'!$G$10:$J$10,-1),MATCH(L105+1,'[1]Normy VP'!$G$11:$J$11,-1),MATCH(L105+1,'[1]Normy VP'!$G$12:$J$12,-1),MATCH(L105+1,'[1]Normy VP'!$G$13:$J$13,-1),MATCH(L105+1,'[1]Normy VP'!$G$14:$J$14,-1),"")))),"O")</f>
        <v/>
      </c>
      <c r="R105" s="34" t="str">
        <f t="shared" si="5"/>
        <v>N</v>
      </c>
      <c r="S105" s="24" t="str">
        <f>IF(OR($J105="",$J105="odešel"),IF(M105="","N",IF($F105="žena",CHOOSE(_xlfn.ARABIC($H105),MATCH(M105+1,'[1]Normy VP'!$G$25:$J$25,-1),MATCH(M105+1,'[1]Normy VP'!$G$26:$J$26,-1),MATCH(M105+1,'[1]Normy VP'!$G$27:$J$27,-1),MATCH(M105+1,'[1]Normy VP'!$G$28:$J$28,-1),MATCH(M105+1,'[1]Normy VP'!$G$29:$J$29,-1),"muž"),(CHOOSE(_xlfn.ARABIC($H105),MATCH(M105+1,'[1]Normy VP'!$K$10:$N$10,-1),MATCH(M105+1,'[1]Normy VP'!$K$11:$N$11,-1),MATCH(M105+1,'[1]Normy VP'!$K$12:$N$12,-1),MATCH(M105+1,'[1]Normy VP'!$K$13:$N$13,-1),MATCH(M105+1,'[1]Normy VP'!$K$14:$N$14,-1),"")))),"O")</f>
        <v>N</v>
      </c>
      <c r="T105" s="34" t="str">
        <f t="shared" si="6"/>
        <v>N</v>
      </c>
      <c r="U105" s="24" t="str">
        <f>IF(OR($J105="",$J105="odešel"),IF(N105="","N",IF($F105="žena",CHOOSE(_xlfn.ARABIC($H105),MATCH(N105+1,'[1]Normy VP'!$K$25:$N$25,-1),MATCH(N105+1,'[1]Normy VP'!$K$26:$N$26,-1),MATCH(N105+1,'[1]Normy VP'!$K$27:$N$27,-1),MATCH(N105+1,'[1]Normy VP'!$K$28:$N$28,-1),MATCH(N105+1,'[1]Normy VP'!$K$29:$N$29,-1),MATCH(N105+1,'[1]Normy VP'!$K$30:$N$30,-1)),CHOOSE(_xlfn.ARABIC($H105),MATCH(N105+1,'[1]Normy VP'!$O$10:$R$10,-1),MATCH(N105+1,'[1]Normy VP'!$O$11:$R$11,-1),MATCH(N105+1,'[1]Normy VP'!$O$12:$R$12,-1),MATCH(N105+1,'[1]Normy VP'!$O$13:$R$13,-1),MATCH(N105+1,'[1]Normy VP'!$O$14:$R$14,-1),MATCH(N105+1,'[1]Normy VP'!$O$15:$R$15,-1)))),"O")</f>
        <v>N</v>
      </c>
      <c r="V105" s="26" t="str">
        <f>IF(OR($J105="",$J105="odešel"),IF(O105="","N",IF($F105="žena",CHOOSE(_xlfn.ARABIC($H105),MATCH(O105-1,'[1]Normy VP'!$O$25:$R$25),MATCH(O105-1,'[1]Normy VP'!$O$26:$R$26),MATCH(O105-1,'[1]Normy VP'!$O$27:$R$27),MATCH(O105-1,'[1]Normy VP'!$O$28:$R$28),MATCH(O105-1,'[1]Normy VP'!$O$29:$R$29),MATCH(O105-1,'[1]Normy VP'!$O$30:$R$30)),CHOOSE(_xlfn.ARABIC($H105),MATCH(O105-1,'[1]Normy VP'!$S$10:$V$10),MATCH(O105-1,'[1]Normy VP'!$S$11:$V$11),MATCH(O105-1,'[1]Normy VP'!$S$12:$V$12),MATCH(O105-1,'[1]Normy VP'!$S$13:$V$13),MATCH(O105-1,'[1]Normy VP'!$S$14:$V$14),MATCH(O105-1,'[1]Normy VP'!$S$15:$V$15)))),"O")</f>
        <v>N</v>
      </c>
      <c r="W105" s="34" t="str">
        <f t="shared" si="7"/>
        <v>N</v>
      </c>
      <c r="X105" s="27" t="str">
        <f>IF(COUNTIF(B105:G105,"")&gt;0,"",IF(COUNTIF([1]PP!$A:$A,A105)=0,"neni v PP",IF(OR(Y105="odešel",VLOOKUP(A105,[1]PP!$A:$W,22,FALSE)="odešel"),"odešel",IF(OR(Y105="N",VLOOKUP(A105,[1]PP!$A:$W,22,FALSE)="N"),"N",IF(OR(Y105="C",VLOOKUP(A105,[1]PP!$A:$W,22,FALSE)="C"),"C",IF(OR(Y105="DZO",VLOOKUP(A105,[1]PP!$A:$W,22,FALSE)="DZO"),"DZO",IF(OR(Y105="mise",Y105="disp.",Y105="končí",Y105="DSC",VLOOKUP(A105,[1]PP!$A:$W,22,FALSE)="mise",VLOOKUP(A105,[1]PP!$A:$W,22,FALSE)="disp.",VLOOKUP(A105,[1]PP!$A:$W,22,FALSE)="končí",VLOOKUP(A105,[1]PP!$A:$W,22,FALSE)="DSC"),"jiné",IF(OR(Y105=4,VLOOKUP(A105,[1]PP!$A:$W,22,FALSE)=4),4,IF(OR(Y105=3,VLOOKUP(A105,[1]PP!$A:$W,22,FALSE)=3),3,IF(OR(Y105=2,VLOOKUP(A105,[1]PP!$A:$W,22,FALSE)=2),2,IF(AND(Y105=1,VLOOKUP(A105,[1]PP!$A:$W,22,FALSE)=1),1)))))))))))</f>
        <v/>
      </c>
      <c r="Y105" s="28" t="str">
        <f>IF(COUNTIF(B105:G105,"")&gt;0,"",IF(COUNTIF([1]PP!$A:$A,A105)=0,"neni v PP",IF(VLOOKUP(A105,[1]PP!$A:$W,8,FALSE)="odešel","odešel",IF(F105="","",IF(J105="",IF(OR(T105=4,W105=4),4,IF(AND(T105="N",W105="N"),"N",IF(OR(T105="N",W105="N"),4,ROUND(AVERAGE(T105,W105),0)))),J105)))))</f>
        <v/>
      </c>
      <c r="Z105" s="29" t="str">
        <f>IF(COUNTIF(B105:G105,"")=0,IF(X105="neni v PP",CONCATENATE("ID: &lt;",A105,"&gt; se neshoduje s žádným IDem v kartě PP"),IF(COUNTIF($A:$A,A105)&gt;1,CONCATENATE("ID: &lt;",A105,"&gt; se v kartě VP opakuje. Je nutné tyto IDy od sebe odlišit, např. mezerou za příjmením."),IF(COUNTIF([1]PP!A:A,A105)&gt;1,CONCATENATE("ID: &lt;",A105,"&gt; se v kartě PP opakuje. Je nutné tyto IDy od sebe odlišit, např. mezerou za příjmením."),IF(VLOOKUP(A105,[1]PP!$A:$W,5,FALSE)&lt;&gt;E105,CONCATENATE($E$4," &lt;",E105,"&gt; se neshoduje s jednotkou v kartě PP"," &lt;",VLOOKUP(A105,[1]PP!$A:$W,5,FALSE),"&gt;"),IF(AND(COUNTIF(K105:O105,"")&lt;5,J105="",I105=""),CONCATENATE("Doplň: ",$I$4),IF(AND(YEAR(I105)&lt;&gt;$E$2,COUNTIF(I105,"")=0),CONCATENATE("špatně uveden &lt;",$D$2,"&gt; nebo &lt;",$I$4,"&gt;"),IF(OR(AND(OR(COUNTIF(C105,"*a"),COUNTIF(C105,"*ie"),COUNTIF(C105,"*ine"),COUNTIF(D105,"*Á")),F105="muž"),AND(AND(COUNTIF(C105,"&lt;&gt;"&amp;"*a"),COUNTIF(C105,"&lt;&gt;"&amp;"*ie"),COUNTIF(C105,"&lt;&gt;"&amp;"*ine"),COUNTIF(D105,"&lt;&gt;"&amp;"*Á")),F105="žena")),CONCATENATE(C105," ",D105," je ",F105,"?"),""))))))),IF(COUNTIF(B105:O105,"")=14,"",CONCATENATE("Doplň: ",IF(B105="",CONCATENATE($B$4,IF(COUNTIF(C105:G105,"")=0,"",", ")),""),IF(C105="",CONCATENATE($C$4,IF(COUNTIF(D105:G105,"")=0,"",", ")),""),IF(D105="",CONCATENATE($D$4,IF(COUNTIF(E105:G105,"")=0,"",", ")),""),IF(E105="",CONCATENATE($E$4,IF(COUNTIF(F105:G105,"")=0,"",", ")),""),IF(F105="",CONCATENATE($F$4,IF(G105="",", ","")),""),IF(G105="",$G$4,""))))</f>
        <v/>
      </c>
      <c r="AA105" s="30"/>
    </row>
    <row r="106" spans="1:27" ht="16" x14ac:dyDescent="0.35">
      <c r="A106" s="14" t="str">
        <f t="shared" si="4"/>
        <v xml:space="preserve">  </v>
      </c>
      <c r="B106" s="15"/>
      <c r="C106" s="31"/>
      <c r="D106" s="31"/>
      <c r="E106" s="17"/>
      <c r="F106" s="18"/>
      <c r="G106" s="32"/>
      <c r="H106" s="33" t="str">
        <f>IF(G106="","",IF(F106="žena",ROMAN(MATCH(G106+1,'[1]Normy VP'!$Y$27:$Y$33,-1)),ROMAN(MATCH(G106+1,'[1]Normy VP'!$Y$19:$Y$25,-1))))</f>
        <v/>
      </c>
      <c r="I106" s="21"/>
      <c r="J106" s="22"/>
      <c r="K106" s="23"/>
      <c r="L106" s="23"/>
      <c r="M106" s="23"/>
      <c r="N106" s="22"/>
      <c r="O106" s="22"/>
      <c r="P106" s="24" t="str">
        <f>IF(OR($J106="",$J106="odešel"),IF(K106="","",IF($F106="žena",CHOOSE(_xlfn.ARABIC($H106),MATCH(K106+1,'[1]Normy VP'!$C$25:$F$25,-1),MATCH(K106+1,'[1]Normy VP'!$C$26:$F$26,-1),MATCH(K106+1,'[1]Normy VP'!$C$27:$F$27,-1),MATCH(K106+1,'[1]Normy VP'!$C$28:$F$28,-1),MATCH(K106+1,'[1]Normy VP'!$C$29:$F$29,-1),"muž"),CHOOSE(_xlfn.ARABIC($H106),MATCH(K106+1,'[1]Normy VP'!$C$10:$F$10,-1),MATCH(K106+1,'[1]Normy VP'!$C$11:$F$11,-1),MATCH(K106+1,'[1]Normy VP'!$C$12:$F$12,-1),MATCH(K106+1,'[1]Normy VP'!$C$13:$F$13,-1),MATCH(K106+1,'[1]Normy VP'!$C$14:$F$14,-1),""))),"O")</f>
        <v/>
      </c>
      <c r="Q106" s="24" t="str">
        <f>IF(OR($J106="",$J106="odešel"),IF($F106="žena","",IF(L106="","",(CHOOSE(_xlfn.ARABIC($H106),MATCH(L106+1,'[1]Normy VP'!$G$10:$J$10,-1),MATCH(L106+1,'[1]Normy VP'!$G$11:$J$11,-1),MATCH(L106+1,'[1]Normy VP'!$G$12:$J$12,-1),MATCH(L106+1,'[1]Normy VP'!$G$13:$J$13,-1),MATCH(L106+1,'[1]Normy VP'!$G$14:$J$14,-1),"")))),"O")</f>
        <v/>
      </c>
      <c r="R106" s="34" t="str">
        <f t="shared" si="5"/>
        <v>N</v>
      </c>
      <c r="S106" s="24" t="str">
        <f>IF(OR($J106="",$J106="odešel"),IF(M106="","N",IF($F106="žena",CHOOSE(_xlfn.ARABIC($H106),MATCH(M106+1,'[1]Normy VP'!$G$25:$J$25,-1),MATCH(M106+1,'[1]Normy VP'!$G$26:$J$26,-1),MATCH(M106+1,'[1]Normy VP'!$G$27:$J$27,-1),MATCH(M106+1,'[1]Normy VP'!$G$28:$J$28,-1),MATCH(M106+1,'[1]Normy VP'!$G$29:$J$29,-1),"muž"),(CHOOSE(_xlfn.ARABIC($H106),MATCH(M106+1,'[1]Normy VP'!$K$10:$N$10,-1),MATCH(M106+1,'[1]Normy VP'!$K$11:$N$11,-1),MATCH(M106+1,'[1]Normy VP'!$K$12:$N$12,-1),MATCH(M106+1,'[1]Normy VP'!$K$13:$N$13,-1),MATCH(M106+1,'[1]Normy VP'!$K$14:$N$14,-1),"")))),"O")</f>
        <v>N</v>
      </c>
      <c r="T106" s="34" t="str">
        <f t="shared" si="6"/>
        <v>N</v>
      </c>
      <c r="U106" s="24" t="str">
        <f>IF(OR($J106="",$J106="odešel"),IF(N106="","N",IF($F106="žena",CHOOSE(_xlfn.ARABIC($H106),MATCH(N106+1,'[1]Normy VP'!$K$25:$N$25,-1),MATCH(N106+1,'[1]Normy VP'!$K$26:$N$26,-1),MATCH(N106+1,'[1]Normy VP'!$K$27:$N$27,-1),MATCH(N106+1,'[1]Normy VP'!$K$28:$N$28,-1),MATCH(N106+1,'[1]Normy VP'!$K$29:$N$29,-1),MATCH(N106+1,'[1]Normy VP'!$K$30:$N$30,-1)),CHOOSE(_xlfn.ARABIC($H106),MATCH(N106+1,'[1]Normy VP'!$O$10:$R$10,-1),MATCH(N106+1,'[1]Normy VP'!$O$11:$R$11,-1),MATCH(N106+1,'[1]Normy VP'!$O$12:$R$12,-1),MATCH(N106+1,'[1]Normy VP'!$O$13:$R$13,-1),MATCH(N106+1,'[1]Normy VP'!$O$14:$R$14,-1),MATCH(N106+1,'[1]Normy VP'!$O$15:$R$15,-1)))),"O")</f>
        <v>N</v>
      </c>
      <c r="V106" s="26" t="str">
        <f>IF(OR($J106="",$J106="odešel"),IF(O106="","N",IF($F106="žena",CHOOSE(_xlfn.ARABIC($H106),MATCH(O106-1,'[1]Normy VP'!$O$25:$R$25),MATCH(O106-1,'[1]Normy VP'!$O$26:$R$26),MATCH(O106-1,'[1]Normy VP'!$O$27:$R$27),MATCH(O106-1,'[1]Normy VP'!$O$28:$R$28),MATCH(O106-1,'[1]Normy VP'!$O$29:$R$29),MATCH(O106-1,'[1]Normy VP'!$O$30:$R$30)),CHOOSE(_xlfn.ARABIC($H106),MATCH(O106-1,'[1]Normy VP'!$S$10:$V$10),MATCH(O106-1,'[1]Normy VP'!$S$11:$V$11),MATCH(O106-1,'[1]Normy VP'!$S$12:$V$12),MATCH(O106-1,'[1]Normy VP'!$S$13:$V$13),MATCH(O106-1,'[1]Normy VP'!$S$14:$V$14),MATCH(O106-1,'[1]Normy VP'!$S$15:$V$15)))),"O")</f>
        <v>N</v>
      </c>
      <c r="W106" s="34" t="str">
        <f t="shared" si="7"/>
        <v>N</v>
      </c>
      <c r="X106" s="27" t="str">
        <f>IF(COUNTIF(B106:G106,"")&gt;0,"",IF(COUNTIF([1]PP!$A:$A,A106)=0,"neni v PP",IF(OR(Y106="odešel",VLOOKUP(A106,[1]PP!$A:$W,22,FALSE)="odešel"),"odešel",IF(OR(Y106="N",VLOOKUP(A106,[1]PP!$A:$W,22,FALSE)="N"),"N",IF(OR(Y106="C",VLOOKUP(A106,[1]PP!$A:$W,22,FALSE)="C"),"C",IF(OR(Y106="DZO",VLOOKUP(A106,[1]PP!$A:$W,22,FALSE)="DZO"),"DZO",IF(OR(Y106="mise",Y106="disp.",Y106="končí",Y106="DSC",VLOOKUP(A106,[1]PP!$A:$W,22,FALSE)="mise",VLOOKUP(A106,[1]PP!$A:$W,22,FALSE)="disp.",VLOOKUP(A106,[1]PP!$A:$W,22,FALSE)="končí",VLOOKUP(A106,[1]PP!$A:$W,22,FALSE)="DSC"),"jiné",IF(OR(Y106=4,VLOOKUP(A106,[1]PP!$A:$W,22,FALSE)=4),4,IF(OR(Y106=3,VLOOKUP(A106,[1]PP!$A:$W,22,FALSE)=3),3,IF(OR(Y106=2,VLOOKUP(A106,[1]PP!$A:$W,22,FALSE)=2),2,IF(AND(Y106=1,VLOOKUP(A106,[1]PP!$A:$W,22,FALSE)=1),1)))))))))))</f>
        <v/>
      </c>
      <c r="Y106" s="28" t="str">
        <f>IF(COUNTIF(B106:G106,"")&gt;0,"",IF(COUNTIF([1]PP!$A:$A,A106)=0,"neni v PP",IF(VLOOKUP(A106,[1]PP!$A:$W,8,FALSE)="odešel","odešel",IF(F106="","",IF(J106="",IF(OR(T106=4,W106=4),4,IF(AND(T106="N",W106="N"),"N",IF(OR(T106="N",W106="N"),4,ROUND(AVERAGE(T106,W106),0)))),J106)))))</f>
        <v/>
      </c>
      <c r="Z106" s="29" t="str">
        <f>IF(COUNTIF(B106:G106,"")=0,IF(X106="neni v PP",CONCATENATE("ID: &lt;",A106,"&gt; se neshoduje s žádným IDem v kartě PP"),IF(COUNTIF($A:$A,A106)&gt;1,CONCATENATE("ID: &lt;",A106,"&gt; se v kartě VP opakuje. Je nutné tyto IDy od sebe odlišit, např. mezerou za příjmením."),IF(COUNTIF([1]PP!A:A,A106)&gt;1,CONCATENATE("ID: &lt;",A106,"&gt; se v kartě PP opakuje. Je nutné tyto IDy od sebe odlišit, např. mezerou za příjmením."),IF(VLOOKUP(A106,[1]PP!$A:$W,5,FALSE)&lt;&gt;E106,CONCATENATE($E$4," &lt;",E106,"&gt; se neshoduje s jednotkou v kartě PP"," &lt;",VLOOKUP(A106,[1]PP!$A:$W,5,FALSE),"&gt;"),IF(AND(COUNTIF(K106:O106,"")&lt;5,J106="",I106=""),CONCATENATE("Doplň: ",$I$4),IF(AND(YEAR(I106)&lt;&gt;$E$2,COUNTIF(I106,"")=0),CONCATENATE("špatně uveden &lt;",$D$2,"&gt; nebo &lt;",$I$4,"&gt;"),IF(OR(AND(OR(COUNTIF(C106,"*a"),COUNTIF(C106,"*ie"),COUNTIF(C106,"*ine"),COUNTIF(D106,"*Á")),F106="muž"),AND(AND(COUNTIF(C106,"&lt;&gt;"&amp;"*a"),COUNTIF(C106,"&lt;&gt;"&amp;"*ie"),COUNTIF(C106,"&lt;&gt;"&amp;"*ine"),COUNTIF(D106,"&lt;&gt;"&amp;"*Á")),F106="žena")),CONCATENATE(C106," ",D106," je ",F106,"?"),""))))))),IF(COUNTIF(B106:O106,"")=14,"",CONCATENATE("Doplň: ",IF(B106="",CONCATENATE($B$4,IF(COUNTIF(C106:G106,"")=0,"",", ")),""),IF(C106="",CONCATENATE($C$4,IF(COUNTIF(D106:G106,"")=0,"",", ")),""),IF(D106="",CONCATENATE($D$4,IF(COUNTIF(E106:G106,"")=0,"",", ")),""),IF(E106="",CONCATENATE($E$4,IF(COUNTIF(F106:G106,"")=0,"",", ")),""),IF(F106="",CONCATENATE($F$4,IF(G106="",", ","")),""),IF(G106="",$G$4,""))))</f>
        <v/>
      </c>
      <c r="AA106" s="30"/>
    </row>
    <row r="107" spans="1:27" ht="16" x14ac:dyDescent="0.35">
      <c r="A107" s="14" t="str">
        <f t="shared" si="4"/>
        <v xml:space="preserve">  </v>
      </c>
      <c r="B107" s="15"/>
      <c r="C107" s="31"/>
      <c r="D107" s="31"/>
      <c r="E107" s="17"/>
      <c r="F107" s="18"/>
      <c r="G107" s="32"/>
      <c r="H107" s="33" t="str">
        <f>IF(G107="","",IF(F107="žena",ROMAN(MATCH(G107+1,'[1]Normy VP'!$Y$27:$Y$33,-1)),ROMAN(MATCH(G107+1,'[1]Normy VP'!$Y$19:$Y$25,-1))))</f>
        <v/>
      </c>
      <c r="I107" s="21"/>
      <c r="J107" s="22"/>
      <c r="K107" s="23"/>
      <c r="L107" s="23"/>
      <c r="M107" s="23"/>
      <c r="N107" s="22"/>
      <c r="O107" s="22"/>
      <c r="P107" s="24" t="str">
        <f>IF(OR($J107="",$J107="odešel"),IF(K107="","",IF($F107="žena",CHOOSE(_xlfn.ARABIC($H107),MATCH(K107+1,'[1]Normy VP'!$C$25:$F$25,-1),MATCH(K107+1,'[1]Normy VP'!$C$26:$F$26,-1),MATCH(K107+1,'[1]Normy VP'!$C$27:$F$27,-1),MATCH(K107+1,'[1]Normy VP'!$C$28:$F$28,-1),MATCH(K107+1,'[1]Normy VP'!$C$29:$F$29,-1),"muž"),CHOOSE(_xlfn.ARABIC($H107),MATCH(K107+1,'[1]Normy VP'!$C$10:$F$10,-1),MATCH(K107+1,'[1]Normy VP'!$C$11:$F$11,-1),MATCH(K107+1,'[1]Normy VP'!$C$12:$F$12,-1),MATCH(K107+1,'[1]Normy VP'!$C$13:$F$13,-1),MATCH(K107+1,'[1]Normy VP'!$C$14:$F$14,-1),""))),"O")</f>
        <v/>
      </c>
      <c r="Q107" s="24" t="str">
        <f>IF(OR($J107="",$J107="odešel"),IF($F107="žena","",IF(L107="","",(CHOOSE(_xlfn.ARABIC($H107),MATCH(L107+1,'[1]Normy VP'!$G$10:$J$10,-1),MATCH(L107+1,'[1]Normy VP'!$G$11:$J$11,-1),MATCH(L107+1,'[1]Normy VP'!$G$12:$J$12,-1),MATCH(L107+1,'[1]Normy VP'!$G$13:$J$13,-1),MATCH(L107+1,'[1]Normy VP'!$G$14:$J$14,-1),"")))),"O")</f>
        <v/>
      </c>
      <c r="R107" s="34" t="str">
        <f t="shared" si="5"/>
        <v>N</v>
      </c>
      <c r="S107" s="24" t="str">
        <f>IF(OR($J107="",$J107="odešel"),IF(M107="","N",IF($F107="žena",CHOOSE(_xlfn.ARABIC($H107),MATCH(M107+1,'[1]Normy VP'!$G$25:$J$25,-1),MATCH(M107+1,'[1]Normy VP'!$G$26:$J$26,-1),MATCH(M107+1,'[1]Normy VP'!$G$27:$J$27,-1),MATCH(M107+1,'[1]Normy VP'!$G$28:$J$28,-1),MATCH(M107+1,'[1]Normy VP'!$G$29:$J$29,-1),"muž"),(CHOOSE(_xlfn.ARABIC($H107),MATCH(M107+1,'[1]Normy VP'!$K$10:$N$10,-1),MATCH(M107+1,'[1]Normy VP'!$K$11:$N$11,-1),MATCH(M107+1,'[1]Normy VP'!$K$12:$N$12,-1),MATCH(M107+1,'[1]Normy VP'!$K$13:$N$13,-1),MATCH(M107+1,'[1]Normy VP'!$K$14:$N$14,-1),"")))),"O")</f>
        <v>N</v>
      </c>
      <c r="T107" s="34" t="str">
        <f t="shared" si="6"/>
        <v>N</v>
      </c>
      <c r="U107" s="24" t="str">
        <f>IF(OR($J107="",$J107="odešel"),IF(N107="","N",IF($F107="žena",CHOOSE(_xlfn.ARABIC($H107),MATCH(N107+1,'[1]Normy VP'!$K$25:$N$25,-1),MATCH(N107+1,'[1]Normy VP'!$K$26:$N$26,-1),MATCH(N107+1,'[1]Normy VP'!$K$27:$N$27,-1),MATCH(N107+1,'[1]Normy VP'!$K$28:$N$28,-1),MATCH(N107+1,'[1]Normy VP'!$K$29:$N$29,-1),MATCH(N107+1,'[1]Normy VP'!$K$30:$N$30,-1)),CHOOSE(_xlfn.ARABIC($H107),MATCH(N107+1,'[1]Normy VP'!$O$10:$R$10,-1),MATCH(N107+1,'[1]Normy VP'!$O$11:$R$11,-1),MATCH(N107+1,'[1]Normy VP'!$O$12:$R$12,-1),MATCH(N107+1,'[1]Normy VP'!$O$13:$R$13,-1),MATCH(N107+1,'[1]Normy VP'!$O$14:$R$14,-1),MATCH(N107+1,'[1]Normy VP'!$O$15:$R$15,-1)))),"O")</f>
        <v>N</v>
      </c>
      <c r="V107" s="26" t="str">
        <f>IF(OR($J107="",$J107="odešel"),IF(O107="","N",IF($F107="žena",CHOOSE(_xlfn.ARABIC($H107),MATCH(O107-1,'[1]Normy VP'!$O$25:$R$25),MATCH(O107-1,'[1]Normy VP'!$O$26:$R$26),MATCH(O107-1,'[1]Normy VP'!$O$27:$R$27),MATCH(O107-1,'[1]Normy VP'!$O$28:$R$28),MATCH(O107-1,'[1]Normy VP'!$O$29:$R$29),MATCH(O107-1,'[1]Normy VP'!$O$30:$R$30)),CHOOSE(_xlfn.ARABIC($H107),MATCH(O107-1,'[1]Normy VP'!$S$10:$V$10),MATCH(O107-1,'[1]Normy VP'!$S$11:$V$11),MATCH(O107-1,'[1]Normy VP'!$S$12:$V$12),MATCH(O107-1,'[1]Normy VP'!$S$13:$V$13),MATCH(O107-1,'[1]Normy VP'!$S$14:$V$14),MATCH(O107-1,'[1]Normy VP'!$S$15:$V$15)))),"O")</f>
        <v>N</v>
      </c>
      <c r="W107" s="34" t="str">
        <f t="shared" si="7"/>
        <v>N</v>
      </c>
      <c r="X107" s="27" t="str">
        <f>IF(COUNTIF(B107:G107,"")&gt;0,"",IF(COUNTIF([1]PP!$A:$A,A107)=0,"neni v PP",IF(OR(Y107="odešel",VLOOKUP(A107,[1]PP!$A:$W,22,FALSE)="odešel"),"odešel",IF(OR(Y107="N",VLOOKUP(A107,[1]PP!$A:$W,22,FALSE)="N"),"N",IF(OR(Y107="C",VLOOKUP(A107,[1]PP!$A:$W,22,FALSE)="C"),"C",IF(OR(Y107="DZO",VLOOKUP(A107,[1]PP!$A:$W,22,FALSE)="DZO"),"DZO",IF(OR(Y107="mise",Y107="disp.",Y107="končí",Y107="DSC",VLOOKUP(A107,[1]PP!$A:$W,22,FALSE)="mise",VLOOKUP(A107,[1]PP!$A:$W,22,FALSE)="disp.",VLOOKUP(A107,[1]PP!$A:$W,22,FALSE)="končí",VLOOKUP(A107,[1]PP!$A:$W,22,FALSE)="DSC"),"jiné",IF(OR(Y107=4,VLOOKUP(A107,[1]PP!$A:$W,22,FALSE)=4),4,IF(OR(Y107=3,VLOOKUP(A107,[1]PP!$A:$W,22,FALSE)=3),3,IF(OR(Y107=2,VLOOKUP(A107,[1]PP!$A:$W,22,FALSE)=2),2,IF(AND(Y107=1,VLOOKUP(A107,[1]PP!$A:$W,22,FALSE)=1),1)))))))))))</f>
        <v/>
      </c>
      <c r="Y107" s="28" t="str">
        <f>IF(COUNTIF(B107:G107,"")&gt;0,"",IF(COUNTIF([1]PP!$A:$A,A107)=0,"neni v PP",IF(VLOOKUP(A107,[1]PP!$A:$W,8,FALSE)="odešel","odešel",IF(F107="","",IF(J107="",IF(OR(T107=4,W107=4),4,IF(AND(T107="N",W107="N"),"N",IF(OR(T107="N",W107="N"),4,ROUND(AVERAGE(T107,W107),0)))),J107)))))</f>
        <v/>
      </c>
      <c r="Z107" s="29" t="str">
        <f>IF(COUNTIF(B107:G107,"")=0,IF(X107="neni v PP",CONCATENATE("ID: &lt;",A107,"&gt; se neshoduje s žádným IDem v kartě PP"),IF(COUNTIF($A:$A,A107)&gt;1,CONCATENATE("ID: &lt;",A107,"&gt; se v kartě VP opakuje. Je nutné tyto IDy od sebe odlišit, např. mezerou za příjmením."),IF(COUNTIF([1]PP!A:A,A107)&gt;1,CONCATENATE("ID: &lt;",A107,"&gt; se v kartě PP opakuje. Je nutné tyto IDy od sebe odlišit, např. mezerou za příjmením."),IF(VLOOKUP(A107,[1]PP!$A:$W,5,FALSE)&lt;&gt;E107,CONCATENATE($E$4," &lt;",E107,"&gt; se neshoduje s jednotkou v kartě PP"," &lt;",VLOOKUP(A107,[1]PP!$A:$W,5,FALSE),"&gt;"),IF(AND(COUNTIF(K107:O107,"")&lt;5,J107="",I107=""),CONCATENATE("Doplň: ",$I$4),IF(AND(YEAR(I107)&lt;&gt;$E$2,COUNTIF(I107,"")=0),CONCATENATE("špatně uveden &lt;",$D$2,"&gt; nebo &lt;",$I$4,"&gt;"),IF(OR(AND(OR(COUNTIF(C107,"*a"),COUNTIF(C107,"*ie"),COUNTIF(C107,"*ine"),COUNTIF(D107,"*Á")),F107="muž"),AND(AND(COUNTIF(C107,"&lt;&gt;"&amp;"*a"),COUNTIF(C107,"&lt;&gt;"&amp;"*ie"),COUNTIF(C107,"&lt;&gt;"&amp;"*ine"),COUNTIF(D107,"&lt;&gt;"&amp;"*Á")),F107="žena")),CONCATENATE(C107," ",D107," je ",F107,"?"),""))))))),IF(COUNTIF(B107:O107,"")=14,"",CONCATENATE("Doplň: ",IF(B107="",CONCATENATE($B$4,IF(COUNTIF(C107:G107,"")=0,"",", ")),""),IF(C107="",CONCATENATE($C$4,IF(COUNTIF(D107:G107,"")=0,"",", ")),""),IF(D107="",CONCATENATE($D$4,IF(COUNTIF(E107:G107,"")=0,"",", ")),""),IF(E107="",CONCATENATE($E$4,IF(COUNTIF(F107:G107,"")=0,"",", ")),""),IF(F107="",CONCATENATE($F$4,IF(G107="",", ","")),""),IF(G107="",$G$4,""))))</f>
        <v/>
      </c>
      <c r="AA107" s="30"/>
    </row>
    <row r="108" spans="1:27" ht="16" x14ac:dyDescent="0.35">
      <c r="A108" s="14" t="str">
        <f t="shared" si="4"/>
        <v xml:space="preserve">  </v>
      </c>
      <c r="B108" s="15"/>
      <c r="C108" s="31"/>
      <c r="D108" s="31"/>
      <c r="E108" s="17"/>
      <c r="F108" s="18"/>
      <c r="G108" s="32"/>
      <c r="H108" s="33" t="str">
        <f>IF(G108="","",IF(F108="žena",ROMAN(MATCH(G108+1,'[1]Normy VP'!$Y$27:$Y$33,-1)),ROMAN(MATCH(G108+1,'[1]Normy VP'!$Y$19:$Y$25,-1))))</f>
        <v/>
      </c>
      <c r="I108" s="21"/>
      <c r="J108" s="22"/>
      <c r="K108" s="23"/>
      <c r="L108" s="23"/>
      <c r="M108" s="23"/>
      <c r="N108" s="22"/>
      <c r="O108" s="22"/>
      <c r="P108" s="24" t="str">
        <f>IF(OR($J108="",$J108="odešel"),IF(K108="","",IF($F108="žena",CHOOSE(_xlfn.ARABIC($H108),MATCH(K108+1,'[1]Normy VP'!$C$25:$F$25,-1),MATCH(K108+1,'[1]Normy VP'!$C$26:$F$26,-1),MATCH(K108+1,'[1]Normy VP'!$C$27:$F$27,-1),MATCH(K108+1,'[1]Normy VP'!$C$28:$F$28,-1),MATCH(K108+1,'[1]Normy VP'!$C$29:$F$29,-1),"muž"),CHOOSE(_xlfn.ARABIC($H108),MATCH(K108+1,'[1]Normy VP'!$C$10:$F$10,-1),MATCH(K108+1,'[1]Normy VP'!$C$11:$F$11,-1),MATCH(K108+1,'[1]Normy VP'!$C$12:$F$12,-1),MATCH(K108+1,'[1]Normy VP'!$C$13:$F$13,-1),MATCH(K108+1,'[1]Normy VP'!$C$14:$F$14,-1),""))),"O")</f>
        <v/>
      </c>
      <c r="Q108" s="24" t="str">
        <f>IF(OR($J108="",$J108="odešel"),IF($F108="žena","",IF(L108="","",(CHOOSE(_xlfn.ARABIC($H108),MATCH(L108+1,'[1]Normy VP'!$G$10:$J$10,-1),MATCH(L108+1,'[1]Normy VP'!$G$11:$J$11,-1),MATCH(L108+1,'[1]Normy VP'!$G$12:$J$12,-1),MATCH(L108+1,'[1]Normy VP'!$G$13:$J$13,-1),MATCH(L108+1,'[1]Normy VP'!$G$14:$J$14,-1),"")))),"O")</f>
        <v/>
      </c>
      <c r="R108" s="34" t="str">
        <f t="shared" si="5"/>
        <v>N</v>
      </c>
      <c r="S108" s="24" t="str">
        <f>IF(OR($J108="",$J108="odešel"),IF(M108="","N",IF($F108="žena",CHOOSE(_xlfn.ARABIC($H108),MATCH(M108+1,'[1]Normy VP'!$G$25:$J$25,-1),MATCH(M108+1,'[1]Normy VP'!$G$26:$J$26,-1),MATCH(M108+1,'[1]Normy VP'!$G$27:$J$27,-1),MATCH(M108+1,'[1]Normy VP'!$G$28:$J$28,-1),MATCH(M108+1,'[1]Normy VP'!$G$29:$J$29,-1),"muž"),(CHOOSE(_xlfn.ARABIC($H108),MATCH(M108+1,'[1]Normy VP'!$K$10:$N$10,-1),MATCH(M108+1,'[1]Normy VP'!$K$11:$N$11,-1),MATCH(M108+1,'[1]Normy VP'!$K$12:$N$12,-1),MATCH(M108+1,'[1]Normy VP'!$K$13:$N$13,-1),MATCH(M108+1,'[1]Normy VP'!$K$14:$N$14,-1),"")))),"O")</f>
        <v>N</v>
      </c>
      <c r="T108" s="34" t="str">
        <f t="shared" si="6"/>
        <v>N</v>
      </c>
      <c r="U108" s="24" t="str">
        <f>IF(OR($J108="",$J108="odešel"),IF(N108="","N",IF($F108="žena",CHOOSE(_xlfn.ARABIC($H108),MATCH(N108+1,'[1]Normy VP'!$K$25:$N$25,-1),MATCH(N108+1,'[1]Normy VP'!$K$26:$N$26,-1),MATCH(N108+1,'[1]Normy VP'!$K$27:$N$27,-1),MATCH(N108+1,'[1]Normy VP'!$K$28:$N$28,-1),MATCH(N108+1,'[1]Normy VP'!$K$29:$N$29,-1),MATCH(N108+1,'[1]Normy VP'!$K$30:$N$30,-1)),CHOOSE(_xlfn.ARABIC($H108),MATCH(N108+1,'[1]Normy VP'!$O$10:$R$10,-1),MATCH(N108+1,'[1]Normy VP'!$O$11:$R$11,-1),MATCH(N108+1,'[1]Normy VP'!$O$12:$R$12,-1),MATCH(N108+1,'[1]Normy VP'!$O$13:$R$13,-1),MATCH(N108+1,'[1]Normy VP'!$O$14:$R$14,-1),MATCH(N108+1,'[1]Normy VP'!$O$15:$R$15,-1)))),"O")</f>
        <v>N</v>
      </c>
      <c r="V108" s="26" t="str">
        <f>IF(OR($J108="",$J108="odešel"),IF(O108="","N",IF($F108="žena",CHOOSE(_xlfn.ARABIC($H108),MATCH(O108-1,'[1]Normy VP'!$O$25:$R$25),MATCH(O108-1,'[1]Normy VP'!$O$26:$R$26),MATCH(O108-1,'[1]Normy VP'!$O$27:$R$27),MATCH(O108-1,'[1]Normy VP'!$O$28:$R$28),MATCH(O108-1,'[1]Normy VP'!$O$29:$R$29),MATCH(O108-1,'[1]Normy VP'!$O$30:$R$30)),CHOOSE(_xlfn.ARABIC($H108),MATCH(O108-1,'[1]Normy VP'!$S$10:$V$10),MATCH(O108-1,'[1]Normy VP'!$S$11:$V$11),MATCH(O108-1,'[1]Normy VP'!$S$12:$V$12),MATCH(O108-1,'[1]Normy VP'!$S$13:$V$13),MATCH(O108-1,'[1]Normy VP'!$S$14:$V$14),MATCH(O108-1,'[1]Normy VP'!$S$15:$V$15)))),"O")</f>
        <v>N</v>
      </c>
      <c r="W108" s="34" t="str">
        <f t="shared" si="7"/>
        <v>N</v>
      </c>
      <c r="X108" s="27" t="str">
        <f>IF(COUNTIF(B108:G108,"")&gt;0,"",IF(COUNTIF([1]PP!$A:$A,A108)=0,"neni v PP",IF(OR(Y108="odešel",VLOOKUP(A108,[1]PP!$A:$W,22,FALSE)="odešel"),"odešel",IF(OR(Y108="N",VLOOKUP(A108,[1]PP!$A:$W,22,FALSE)="N"),"N",IF(OR(Y108="C",VLOOKUP(A108,[1]PP!$A:$W,22,FALSE)="C"),"C",IF(OR(Y108="DZO",VLOOKUP(A108,[1]PP!$A:$W,22,FALSE)="DZO"),"DZO",IF(OR(Y108="mise",Y108="disp.",Y108="končí",Y108="DSC",VLOOKUP(A108,[1]PP!$A:$W,22,FALSE)="mise",VLOOKUP(A108,[1]PP!$A:$W,22,FALSE)="disp.",VLOOKUP(A108,[1]PP!$A:$W,22,FALSE)="končí",VLOOKUP(A108,[1]PP!$A:$W,22,FALSE)="DSC"),"jiné",IF(OR(Y108=4,VLOOKUP(A108,[1]PP!$A:$W,22,FALSE)=4),4,IF(OR(Y108=3,VLOOKUP(A108,[1]PP!$A:$W,22,FALSE)=3),3,IF(OR(Y108=2,VLOOKUP(A108,[1]PP!$A:$W,22,FALSE)=2),2,IF(AND(Y108=1,VLOOKUP(A108,[1]PP!$A:$W,22,FALSE)=1),1)))))))))))</f>
        <v/>
      </c>
      <c r="Y108" s="28" t="str">
        <f>IF(COUNTIF(B108:G108,"")&gt;0,"",IF(COUNTIF([1]PP!$A:$A,A108)=0,"neni v PP",IF(VLOOKUP(A108,[1]PP!$A:$W,8,FALSE)="odešel","odešel",IF(F108="","",IF(J108="",IF(OR(T108=4,W108=4),4,IF(AND(T108="N",W108="N"),"N",IF(OR(T108="N",W108="N"),4,ROUND(AVERAGE(T108,W108),0)))),J108)))))</f>
        <v/>
      </c>
      <c r="Z108" s="29" t="str">
        <f>IF(COUNTIF(B108:G108,"")=0,IF(X108="neni v PP",CONCATENATE("ID: &lt;",A108,"&gt; se neshoduje s žádným IDem v kartě PP"),IF(COUNTIF($A:$A,A108)&gt;1,CONCATENATE("ID: &lt;",A108,"&gt; se v kartě VP opakuje. Je nutné tyto IDy od sebe odlišit, např. mezerou za příjmením."),IF(COUNTIF([1]PP!A:A,A108)&gt;1,CONCATENATE("ID: &lt;",A108,"&gt; se v kartě PP opakuje. Je nutné tyto IDy od sebe odlišit, např. mezerou za příjmením."),IF(VLOOKUP(A108,[1]PP!$A:$W,5,FALSE)&lt;&gt;E108,CONCATENATE($E$4," &lt;",E108,"&gt; se neshoduje s jednotkou v kartě PP"," &lt;",VLOOKUP(A108,[1]PP!$A:$W,5,FALSE),"&gt;"),IF(AND(COUNTIF(K108:O108,"")&lt;5,J108="",I108=""),CONCATENATE("Doplň: ",$I$4),IF(AND(YEAR(I108)&lt;&gt;$E$2,COUNTIF(I108,"")=0),CONCATENATE("špatně uveden &lt;",$D$2,"&gt; nebo &lt;",$I$4,"&gt;"),IF(OR(AND(OR(COUNTIF(C108,"*a"),COUNTIF(C108,"*ie"),COUNTIF(C108,"*ine"),COUNTIF(D108,"*Á")),F108="muž"),AND(AND(COUNTIF(C108,"&lt;&gt;"&amp;"*a"),COUNTIF(C108,"&lt;&gt;"&amp;"*ie"),COUNTIF(C108,"&lt;&gt;"&amp;"*ine"),COUNTIF(D108,"&lt;&gt;"&amp;"*Á")),F108="žena")),CONCATENATE(C108," ",D108," je ",F108,"?"),""))))))),IF(COUNTIF(B108:O108,"")=14,"",CONCATENATE("Doplň: ",IF(B108="",CONCATENATE($B$4,IF(COUNTIF(C108:G108,"")=0,"",", ")),""),IF(C108="",CONCATENATE($C$4,IF(COUNTIF(D108:G108,"")=0,"",", ")),""),IF(D108="",CONCATENATE($D$4,IF(COUNTIF(E108:G108,"")=0,"",", ")),""),IF(E108="",CONCATENATE($E$4,IF(COUNTIF(F108:G108,"")=0,"",", ")),""),IF(F108="",CONCATENATE($F$4,IF(G108="",", ","")),""),IF(G108="",$G$4,""))))</f>
        <v/>
      </c>
      <c r="AA108" s="30"/>
    </row>
    <row r="109" spans="1:27" ht="16" x14ac:dyDescent="0.35">
      <c r="A109" s="14" t="str">
        <f t="shared" si="4"/>
        <v xml:space="preserve">  </v>
      </c>
      <c r="B109" s="15"/>
      <c r="C109" s="31"/>
      <c r="D109" s="31"/>
      <c r="E109" s="17"/>
      <c r="F109" s="18"/>
      <c r="G109" s="32"/>
      <c r="H109" s="33" t="str">
        <f>IF(G109="","",IF(F109="žena",ROMAN(MATCH(G109+1,'[1]Normy VP'!$Y$27:$Y$33,-1)),ROMAN(MATCH(G109+1,'[1]Normy VP'!$Y$19:$Y$25,-1))))</f>
        <v/>
      </c>
      <c r="I109" s="21"/>
      <c r="J109" s="22"/>
      <c r="K109" s="23"/>
      <c r="L109" s="23"/>
      <c r="M109" s="23"/>
      <c r="N109" s="22"/>
      <c r="O109" s="22"/>
      <c r="P109" s="24" t="str">
        <f>IF(OR($J109="",$J109="odešel"),IF(K109="","",IF($F109="žena",CHOOSE(_xlfn.ARABIC($H109),MATCH(K109+1,'[1]Normy VP'!$C$25:$F$25,-1),MATCH(K109+1,'[1]Normy VP'!$C$26:$F$26,-1),MATCH(K109+1,'[1]Normy VP'!$C$27:$F$27,-1),MATCH(K109+1,'[1]Normy VP'!$C$28:$F$28,-1),MATCH(K109+1,'[1]Normy VP'!$C$29:$F$29,-1),"muž"),CHOOSE(_xlfn.ARABIC($H109),MATCH(K109+1,'[1]Normy VP'!$C$10:$F$10,-1),MATCH(K109+1,'[1]Normy VP'!$C$11:$F$11,-1),MATCH(K109+1,'[1]Normy VP'!$C$12:$F$12,-1),MATCH(K109+1,'[1]Normy VP'!$C$13:$F$13,-1),MATCH(K109+1,'[1]Normy VP'!$C$14:$F$14,-1),""))),"O")</f>
        <v/>
      </c>
      <c r="Q109" s="24" t="str">
        <f>IF(OR($J109="",$J109="odešel"),IF($F109="žena","",IF(L109="","",(CHOOSE(_xlfn.ARABIC($H109),MATCH(L109+1,'[1]Normy VP'!$G$10:$J$10,-1),MATCH(L109+1,'[1]Normy VP'!$G$11:$J$11,-1),MATCH(L109+1,'[1]Normy VP'!$G$12:$J$12,-1),MATCH(L109+1,'[1]Normy VP'!$G$13:$J$13,-1),MATCH(L109+1,'[1]Normy VP'!$G$14:$J$14,-1),"")))),"O")</f>
        <v/>
      </c>
      <c r="R109" s="34" t="str">
        <f t="shared" si="5"/>
        <v>N</v>
      </c>
      <c r="S109" s="24" t="str">
        <f>IF(OR($J109="",$J109="odešel"),IF(M109="","N",IF($F109="žena",CHOOSE(_xlfn.ARABIC($H109),MATCH(M109+1,'[1]Normy VP'!$G$25:$J$25,-1),MATCH(M109+1,'[1]Normy VP'!$G$26:$J$26,-1),MATCH(M109+1,'[1]Normy VP'!$G$27:$J$27,-1),MATCH(M109+1,'[1]Normy VP'!$G$28:$J$28,-1),MATCH(M109+1,'[1]Normy VP'!$G$29:$J$29,-1),"muž"),(CHOOSE(_xlfn.ARABIC($H109),MATCH(M109+1,'[1]Normy VP'!$K$10:$N$10,-1),MATCH(M109+1,'[1]Normy VP'!$K$11:$N$11,-1),MATCH(M109+1,'[1]Normy VP'!$K$12:$N$12,-1),MATCH(M109+1,'[1]Normy VP'!$K$13:$N$13,-1),MATCH(M109+1,'[1]Normy VP'!$K$14:$N$14,-1),"")))),"O")</f>
        <v>N</v>
      </c>
      <c r="T109" s="34" t="str">
        <f t="shared" si="6"/>
        <v>N</v>
      </c>
      <c r="U109" s="24" t="str">
        <f>IF(OR($J109="",$J109="odešel"),IF(N109="","N",IF($F109="žena",CHOOSE(_xlfn.ARABIC($H109),MATCH(N109+1,'[1]Normy VP'!$K$25:$N$25,-1),MATCH(N109+1,'[1]Normy VP'!$K$26:$N$26,-1),MATCH(N109+1,'[1]Normy VP'!$K$27:$N$27,-1),MATCH(N109+1,'[1]Normy VP'!$K$28:$N$28,-1),MATCH(N109+1,'[1]Normy VP'!$K$29:$N$29,-1),MATCH(N109+1,'[1]Normy VP'!$K$30:$N$30,-1)),CHOOSE(_xlfn.ARABIC($H109),MATCH(N109+1,'[1]Normy VP'!$O$10:$R$10,-1),MATCH(N109+1,'[1]Normy VP'!$O$11:$R$11,-1),MATCH(N109+1,'[1]Normy VP'!$O$12:$R$12,-1),MATCH(N109+1,'[1]Normy VP'!$O$13:$R$13,-1),MATCH(N109+1,'[1]Normy VP'!$O$14:$R$14,-1),MATCH(N109+1,'[1]Normy VP'!$O$15:$R$15,-1)))),"O")</f>
        <v>N</v>
      </c>
      <c r="V109" s="26" t="str">
        <f>IF(OR($J109="",$J109="odešel"),IF(O109="","N",IF($F109="žena",CHOOSE(_xlfn.ARABIC($H109),MATCH(O109-1,'[1]Normy VP'!$O$25:$R$25),MATCH(O109-1,'[1]Normy VP'!$O$26:$R$26),MATCH(O109-1,'[1]Normy VP'!$O$27:$R$27),MATCH(O109-1,'[1]Normy VP'!$O$28:$R$28),MATCH(O109-1,'[1]Normy VP'!$O$29:$R$29),MATCH(O109-1,'[1]Normy VP'!$O$30:$R$30)),CHOOSE(_xlfn.ARABIC($H109),MATCH(O109-1,'[1]Normy VP'!$S$10:$V$10),MATCH(O109-1,'[1]Normy VP'!$S$11:$V$11),MATCH(O109-1,'[1]Normy VP'!$S$12:$V$12),MATCH(O109-1,'[1]Normy VP'!$S$13:$V$13),MATCH(O109-1,'[1]Normy VP'!$S$14:$V$14),MATCH(O109-1,'[1]Normy VP'!$S$15:$V$15)))),"O")</f>
        <v>N</v>
      </c>
      <c r="W109" s="34" t="str">
        <f t="shared" si="7"/>
        <v>N</v>
      </c>
      <c r="X109" s="27" t="str">
        <f>IF(COUNTIF(B109:G109,"")&gt;0,"",IF(COUNTIF([1]PP!$A:$A,A109)=0,"neni v PP",IF(OR(Y109="odešel",VLOOKUP(A109,[1]PP!$A:$W,22,FALSE)="odešel"),"odešel",IF(OR(Y109="N",VLOOKUP(A109,[1]PP!$A:$W,22,FALSE)="N"),"N",IF(OR(Y109="C",VLOOKUP(A109,[1]PP!$A:$W,22,FALSE)="C"),"C",IF(OR(Y109="DZO",VLOOKUP(A109,[1]PP!$A:$W,22,FALSE)="DZO"),"DZO",IF(OR(Y109="mise",Y109="disp.",Y109="končí",Y109="DSC",VLOOKUP(A109,[1]PP!$A:$W,22,FALSE)="mise",VLOOKUP(A109,[1]PP!$A:$W,22,FALSE)="disp.",VLOOKUP(A109,[1]PP!$A:$W,22,FALSE)="končí",VLOOKUP(A109,[1]PP!$A:$W,22,FALSE)="DSC"),"jiné",IF(OR(Y109=4,VLOOKUP(A109,[1]PP!$A:$W,22,FALSE)=4),4,IF(OR(Y109=3,VLOOKUP(A109,[1]PP!$A:$W,22,FALSE)=3),3,IF(OR(Y109=2,VLOOKUP(A109,[1]PP!$A:$W,22,FALSE)=2),2,IF(AND(Y109=1,VLOOKUP(A109,[1]PP!$A:$W,22,FALSE)=1),1)))))))))))</f>
        <v/>
      </c>
      <c r="Y109" s="28" t="str">
        <f>IF(COUNTIF(B109:G109,"")&gt;0,"",IF(COUNTIF([1]PP!$A:$A,A109)=0,"neni v PP",IF(VLOOKUP(A109,[1]PP!$A:$W,8,FALSE)="odešel","odešel",IF(F109="","",IF(J109="",IF(OR(T109=4,W109=4),4,IF(AND(T109="N",W109="N"),"N",IF(OR(T109="N",W109="N"),4,ROUND(AVERAGE(T109,W109),0)))),J109)))))</f>
        <v/>
      </c>
      <c r="Z109" s="29" t="str">
        <f>IF(COUNTIF(B109:G109,"")=0,IF(X109="neni v PP",CONCATENATE("ID: &lt;",A109,"&gt; se neshoduje s žádným IDem v kartě PP"),IF(COUNTIF($A:$A,A109)&gt;1,CONCATENATE("ID: &lt;",A109,"&gt; se v kartě VP opakuje. Je nutné tyto IDy od sebe odlišit, např. mezerou za příjmením."),IF(COUNTIF([1]PP!A:A,A109)&gt;1,CONCATENATE("ID: &lt;",A109,"&gt; se v kartě PP opakuje. Je nutné tyto IDy od sebe odlišit, např. mezerou za příjmením."),IF(VLOOKUP(A109,[1]PP!$A:$W,5,FALSE)&lt;&gt;E109,CONCATENATE($E$4," &lt;",E109,"&gt; se neshoduje s jednotkou v kartě PP"," &lt;",VLOOKUP(A109,[1]PP!$A:$W,5,FALSE),"&gt;"),IF(AND(COUNTIF(K109:O109,"")&lt;5,J109="",I109=""),CONCATENATE("Doplň: ",$I$4),IF(AND(YEAR(I109)&lt;&gt;$E$2,COUNTIF(I109,"")=0),CONCATENATE("špatně uveden &lt;",$D$2,"&gt; nebo &lt;",$I$4,"&gt;"),IF(OR(AND(OR(COUNTIF(C109,"*a"),COUNTIF(C109,"*ie"),COUNTIF(C109,"*ine"),COUNTIF(D109,"*Á")),F109="muž"),AND(AND(COUNTIF(C109,"&lt;&gt;"&amp;"*a"),COUNTIF(C109,"&lt;&gt;"&amp;"*ie"),COUNTIF(C109,"&lt;&gt;"&amp;"*ine"),COUNTIF(D109,"&lt;&gt;"&amp;"*Á")),F109="žena")),CONCATENATE(C109," ",D109," je ",F109,"?"),""))))))),IF(COUNTIF(B109:O109,"")=14,"",CONCATENATE("Doplň: ",IF(B109="",CONCATENATE($B$4,IF(COUNTIF(C109:G109,"")=0,"",", ")),""),IF(C109="",CONCATENATE($C$4,IF(COUNTIF(D109:G109,"")=0,"",", ")),""),IF(D109="",CONCATENATE($D$4,IF(COUNTIF(E109:G109,"")=0,"",", ")),""),IF(E109="",CONCATENATE($E$4,IF(COUNTIF(F109:G109,"")=0,"",", ")),""),IF(F109="",CONCATENATE($F$4,IF(G109="",", ","")),""),IF(G109="",$G$4,""))))</f>
        <v/>
      </c>
      <c r="AA109" s="30"/>
    </row>
    <row r="110" spans="1:27" ht="16" x14ac:dyDescent="0.35">
      <c r="A110" s="14" t="str">
        <f t="shared" si="4"/>
        <v xml:space="preserve">  </v>
      </c>
      <c r="B110" s="15"/>
      <c r="C110" s="31"/>
      <c r="D110" s="31"/>
      <c r="E110" s="17"/>
      <c r="F110" s="18"/>
      <c r="G110" s="32"/>
      <c r="H110" s="33" t="str">
        <f>IF(G110="","",IF(F110="žena",ROMAN(MATCH(G110+1,'[1]Normy VP'!$Y$27:$Y$33,-1)),ROMAN(MATCH(G110+1,'[1]Normy VP'!$Y$19:$Y$25,-1))))</f>
        <v/>
      </c>
      <c r="I110" s="21"/>
      <c r="J110" s="22"/>
      <c r="K110" s="23"/>
      <c r="L110" s="23"/>
      <c r="M110" s="23"/>
      <c r="N110" s="22"/>
      <c r="O110" s="22"/>
      <c r="P110" s="24" t="str">
        <f>IF(OR($J110="",$J110="odešel"),IF(K110="","",IF($F110="žena",CHOOSE(_xlfn.ARABIC($H110),MATCH(K110+1,'[1]Normy VP'!$C$25:$F$25,-1),MATCH(K110+1,'[1]Normy VP'!$C$26:$F$26,-1),MATCH(K110+1,'[1]Normy VP'!$C$27:$F$27,-1),MATCH(K110+1,'[1]Normy VP'!$C$28:$F$28,-1),MATCH(K110+1,'[1]Normy VP'!$C$29:$F$29,-1),"muž"),CHOOSE(_xlfn.ARABIC($H110),MATCH(K110+1,'[1]Normy VP'!$C$10:$F$10,-1),MATCH(K110+1,'[1]Normy VP'!$C$11:$F$11,-1),MATCH(K110+1,'[1]Normy VP'!$C$12:$F$12,-1),MATCH(K110+1,'[1]Normy VP'!$C$13:$F$13,-1),MATCH(K110+1,'[1]Normy VP'!$C$14:$F$14,-1),""))),"O")</f>
        <v/>
      </c>
      <c r="Q110" s="24" t="str">
        <f>IF(OR($J110="",$J110="odešel"),IF($F110="žena","",IF(L110="","",(CHOOSE(_xlfn.ARABIC($H110),MATCH(L110+1,'[1]Normy VP'!$G$10:$J$10,-1),MATCH(L110+1,'[1]Normy VP'!$G$11:$J$11,-1),MATCH(L110+1,'[1]Normy VP'!$G$12:$J$12,-1),MATCH(L110+1,'[1]Normy VP'!$G$13:$J$13,-1),MATCH(L110+1,'[1]Normy VP'!$G$14:$J$14,-1),"")))),"O")</f>
        <v/>
      </c>
      <c r="R110" s="34" t="str">
        <f t="shared" si="5"/>
        <v>N</v>
      </c>
      <c r="S110" s="24" t="str">
        <f>IF(OR($J110="",$J110="odešel"),IF(M110="","N",IF($F110="žena",CHOOSE(_xlfn.ARABIC($H110),MATCH(M110+1,'[1]Normy VP'!$G$25:$J$25,-1),MATCH(M110+1,'[1]Normy VP'!$G$26:$J$26,-1),MATCH(M110+1,'[1]Normy VP'!$G$27:$J$27,-1),MATCH(M110+1,'[1]Normy VP'!$G$28:$J$28,-1),MATCH(M110+1,'[1]Normy VP'!$G$29:$J$29,-1),"muž"),(CHOOSE(_xlfn.ARABIC($H110),MATCH(M110+1,'[1]Normy VP'!$K$10:$N$10,-1),MATCH(M110+1,'[1]Normy VP'!$K$11:$N$11,-1),MATCH(M110+1,'[1]Normy VP'!$K$12:$N$12,-1),MATCH(M110+1,'[1]Normy VP'!$K$13:$N$13,-1),MATCH(M110+1,'[1]Normy VP'!$K$14:$N$14,-1),"")))),"O")</f>
        <v>N</v>
      </c>
      <c r="T110" s="34" t="str">
        <f t="shared" si="6"/>
        <v>N</v>
      </c>
      <c r="U110" s="24" t="str">
        <f>IF(OR($J110="",$J110="odešel"),IF(N110="","N",IF($F110="žena",CHOOSE(_xlfn.ARABIC($H110),MATCH(N110+1,'[1]Normy VP'!$K$25:$N$25,-1),MATCH(N110+1,'[1]Normy VP'!$K$26:$N$26,-1),MATCH(N110+1,'[1]Normy VP'!$K$27:$N$27,-1),MATCH(N110+1,'[1]Normy VP'!$K$28:$N$28,-1),MATCH(N110+1,'[1]Normy VP'!$K$29:$N$29,-1),MATCH(N110+1,'[1]Normy VP'!$K$30:$N$30,-1)),CHOOSE(_xlfn.ARABIC($H110),MATCH(N110+1,'[1]Normy VP'!$O$10:$R$10,-1),MATCH(N110+1,'[1]Normy VP'!$O$11:$R$11,-1),MATCH(N110+1,'[1]Normy VP'!$O$12:$R$12,-1),MATCH(N110+1,'[1]Normy VP'!$O$13:$R$13,-1),MATCH(N110+1,'[1]Normy VP'!$O$14:$R$14,-1),MATCH(N110+1,'[1]Normy VP'!$O$15:$R$15,-1)))),"O")</f>
        <v>N</v>
      </c>
      <c r="V110" s="26" t="str">
        <f>IF(OR($J110="",$J110="odešel"),IF(O110="","N",IF($F110="žena",CHOOSE(_xlfn.ARABIC($H110),MATCH(O110-1,'[1]Normy VP'!$O$25:$R$25),MATCH(O110-1,'[1]Normy VP'!$O$26:$R$26),MATCH(O110-1,'[1]Normy VP'!$O$27:$R$27),MATCH(O110-1,'[1]Normy VP'!$O$28:$R$28),MATCH(O110-1,'[1]Normy VP'!$O$29:$R$29),MATCH(O110-1,'[1]Normy VP'!$O$30:$R$30)),CHOOSE(_xlfn.ARABIC($H110),MATCH(O110-1,'[1]Normy VP'!$S$10:$V$10),MATCH(O110-1,'[1]Normy VP'!$S$11:$V$11),MATCH(O110-1,'[1]Normy VP'!$S$12:$V$12),MATCH(O110-1,'[1]Normy VP'!$S$13:$V$13),MATCH(O110-1,'[1]Normy VP'!$S$14:$V$14),MATCH(O110-1,'[1]Normy VP'!$S$15:$V$15)))),"O")</f>
        <v>N</v>
      </c>
      <c r="W110" s="34" t="str">
        <f t="shared" si="7"/>
        <v>N</v>
      </c>
      <c r="X110" s="27" t="str">
        <f>IF(COUNTIF(B110:G110,"")&gt;0,"",IF(COUNTIF([1]PP!$A:$A,A110)=0,"neni v PP",IF(OR(Y110="odešel",VLOOKUP(A110,[1]PP!$A:$W,22,FALSE)="odešel"),"odešel",IF(OR(Y110="N",VLOOKUP(A110,[1]PP!$A:$W,22,FALSE)="N"),"N",IF(OR(Y110="C",VLOOKUP(A110,[1]PP!$A:$W,22,FALSE)="C"),"C",IF(OR(Y110="DZO",VLOOKUP(A110,[1]PP!$A:$W,22,FALSE)="DZO"),"DZO",IF(OR(Y110="mise",Y110="disp.",Y110="končí",Y110="DSC",VLOOKUP(A110,[1]PP!$A:$W,22,FALSE)="mise",VLOOKUP(A110,[1]PP!$A:$W,22,FALSE)="disp.",VLOOKUP(A110,[1]PP!$A:$W,22,FALSE)="končí",VLOOKUP(A110,[1]PP!$A:$W,22,FALSE)="DSC"),"jiné",IF(OR(Y110=4,VLOOKUP(A110,[1]PP!$A:$W,22,FALSE)=4),4,IF(OR(Y110=3,VLOOKUP(A110,[1]PP!$A:$W,22,FALSE)=3),3,IF(OR(Y110=2,VLOOKUP(A110,[1]PP!$A:$W,22,FALSE)=2),2,IF(AND(Y110=1,VLOOKUP(A110,[1]PP!$A:$W,22,FALSE)=1),1)))))))))))</f>
        <v/>
      </c>
      <c r="Y110" s="28" t="str">
        <f>IF(COUNTIF(B110:G110,"")&gt;0,"",IF(COUNTIF([1]PP!$A:$A,A110)=0,"neni v PP",IF(VLOOKUP(A110,[1]PP!$A:$W,8,FALSE)="odešel","odešel",IF(F110="","",IF(J110="",IF(OR(T110=4,W110=4),4,IF(AND(T110="N",W110="N"),"N",IF(OR(T110="N",W110="N"),4,ROUND(AVERAGE(T110,W110),0)))),J110)))))</f>
        <v/>
      </c>
      <c r="Z110" s="29" t="str">
        <f>IF(COUNTIF(B110:G110,"")=0,IF(X110="neni v PP",CONCATENATE("ID: &lt;",A110,"&gt; se neshoduje s žádným IDem v kartě PP"),IF(COUNTIF($A:$A,A110)&gt;1,CONCATENATE("ID: &lt;",A110,"&gt; se v kartě VP opakuje. Je nutné tyto IDy od sebe odlišit, např. mezerou za příjmením."),IF(COUNTIF([1]PP!A:A,A110)&gt;1,CONCATENATE("ID: &lt;",A110,"&gt; se v kartě PP opakuje. Je nutné tyto IDy od sebe odlišit, např. mezerou za příjmením."),IF(VLOOKUP(A110,[1]PP!$A:$W,5,FALSE)&lt;&gt;E110,CONCATENATE($E$4," &lt;",E110,"&gt; se neshoduje s jednotkou v kartě PP"," &lt;",VLOOKUP(A110,[1]PP!$A:$W,5,FALSE),"&gt;"),IF(AND(COUNTIF(K110:O110,"")&lt;5,J110="",I110=""),CONCATENATE("Doplň: ",$I$4),IF(AND(YEAR(I110)&lt;&gt;$E$2,COUNTIF(I110,"")=0),CONCATENATE("špatně uveden &lt;",$D$2,"&gt; nebo &lt;",$I$4,"&gt;"),IF(OR(AND(OR(COUNTIF(C110,"*a"),COUNTIF(C110,"*ie"),COUNTIF(C110,"*ine"),COUNTIF(D110,"*Á")),F110="muž"),AND(AND(COUNTIF(C110,"&lt;&gt;"&amp;"*a"),COUNTIF(C110,"&lt;&gt;"&amp;"*ie"),COUNTIF(C110,"&lt;&gt;"&amp;"*ine"),COUNTIF(D110,"&lt;&gt;"&amp;"*Á")),F110="žena")),CONCATENATE(C110," ",D110," je ",F110,"?"),""))))))),IF(COUNTIF(B110:O110,"")=14,"",CONCATENATE("Doplň: ",IF(B110="",CONCATENATE($B$4,IF(COUNTIF(C110:G110,"")=0,"",", ")),""),IF(C110="",CONCATENATE($C$4,IF(COUNTIF(D110:G110,"")=0,"",", ")),""),IF(D110="",CONCATENATE($D$4,IF(COUNTIF(E110:G110,"")=0,"",", ")),""),IF(E110="",CONCATENATE($E$4,IF(COUNTIF(F110:G110,"")=0,"",", ")),""),IF(F110="",CONCATENATE($F$4,IF(G110="",", ","")),""),IF(G110="",$G$4,""))))</f>
        <v/>
      </c>
      <c r="AA110" s="30"/>
    </row>
    <row r="111" spans="1:27" ht="16" x14ac:dyDescent="0.35">
      <c r="A111" s="14" t="str">
        <f t="shared" si="4"/>
        <v xml:space="preserve">  </v>
      </c>
      <c r="B111" s="15"/>
      <c r="C111" s="31"/>
      <c r="D111" s="31"/>
      <c r="E111" s="17"/>
      <c r="F111" s="18"/>
      <c r="G111" s="32"/>
      <c r="H111" s="33" t="str">
        <f>IF(G111="","",IF(F111="žena",ROMAN(MATCH(G111+1,'[1]Normy VP'!$Y$27:$Y$33,-1)),ROMAN(MATCH(G111+1,'[1]Normy VP'!$Y$19:$Y$25,-1))))</f>
        <v/>
      </c>
      <c r="I111" s="21"/>
      <c r="J111" s="22"/>
      <c r="K111" s="23"/>
      <c r="L111" s="23"/>
      <c r="M111" s="23"/>
      <c r="N111" s="22"/>
      <c r="O111" s="22"/>
      <c r="P111" s="24" t="str">
        <f>IF(OR($J111="",$J111="odešel"),IF(K111="","",IF($F111="žena",CHOOSE(_xlfn.ARABIC($H111),MATCH(K111+1,'[1]Normy VP'!$C$25:$F$25,-1),MATCH(K111+1,'[1]Normy VP'!$C$26:$F$26,-1),MATCH(K111+1,'[1]Normy VP'!$C$27:$F$27,-1),MATCH(K111+1,'[1]Normy VP'!$C$28:$F$28,-1),MATCH(K111+1,'[1]Normy VP'!$C$29:$F$29,-1),"muž"),CHOOSE(_xlfn.ARABIC($H111),MATCH(K111+1,'[1]Normy VP'!$C$10:$F$10,-1),MATCH(K111+1,'[1]Normy VP'!$C$11:$F$11,-1),MATCH(K111+1,'[1]Normy VP'!$C$12:$F$12,-1),MATCH(K111+1,'[1]Normy VP'!$C$13:$F$13,-1),MATCH(K111+1,'[1]Normy VP'!$C$14:$F$14,-1),""))),"O")</f>
        <v/>
      </c>
      <c r="Q111" s="24" t="str">
        <f>IF(OR($J111="",$J111="odešel"),IF($F111="žena","",IF(L111="","",(CHOOSE(_xlfn.ARABIC($H111),MATCH(L111+1,'[1]Normy VP'!$G$10:$J$10,-1),MATCH(L111+1,'[1]Normy VP'!$G$11:$J$11,-1),MATCH(L111+1,'[1]Normy VP'!$G$12:$J$12,-1),MATCH(L111+1,'[1]Normy VP'!$G$13:$J$13,-1),MATCH(L111+1,'[1]Normy VP'!$G$14:$J$14,-1),"")))),"O")</f>
        <v/>
      </c>
      <c r="R111" s="34" t="str">
        <f t="shared" si="5"/>
        <v>N</v>
      </c>
      <c r="S111" s="24" t="str">
        <f>IF(OR($J111="",$J111="odešel"),IF(M111="","N",IF($F111="žena",CHOOSE(_xlfn.ARABIC($H111),MATCH(M111+1,'[1]Normy VP'!$G$25:$J$25,-1),MATCH(M111+1,'[1]Normy VP'!$G$26:$J$26,-1),MATCH(M111+1,'[1]Normy VP'!$G$27:$J$27,-1),MATCH(M111+1,'[1]Normy VP'!$G$28:$J$28,-1),MATCH(M111+1,'[1]Normy VP'!$G$29:$J$29,-1),"muž"),(CHOOSE(_xlfn.ARABIC($H111),MATCH(M111+1,'[1]Normy VP'!$K$10:$N$10,-1),MATCH(M111+1,'[1]Normy VP'!$K$11:$N$11,-1),MATCH(M111+1,'[1]Normy VP'!$K$12:$N$12,-1),MATCH(M111+1,'[1]Normy VP'!$K$13:$N$13,-1),MATCH(M111+1,'[1]Normy VP'!$K$14:$N$14,-1),"")))),"O")</f>
        <v>N</v>
      </c>
      <c r="T111" s="34" t="str">
        <f t="shared" si="6"/>
        <v>N</v>
      </c>
      <c r="U111" s="24" t="str">
        <f>IF(OR($J111="",$J111="odešel"),IF(N111="","N",IF($F111="žena",CHOOSE(_xlfn.ARABIC($H111),MATCH(N111+1,'[1]Normy VP'!$K$25:$N$25,-1),MATCH(N111+1,'[1]Normy VP'!$K$26:$N$26,-1),MATCH(N111+1,'[1]Normy VP'!$K$27:$N$27,-1),MATCH(N111+1,'[1]Normy VP'!$K$28:$N$28,-1),MATCH(N111+1,'[1]Normy VP'!$K$29:$N$29,-1),MATCH(N111+1,'[1]Normy VP'!$K$30:$N$30,-1)),CHOOSE(_xlfn.ARABIC($H111),MATCH(N111+1,'[1]Normy VP'!$O$10:$R$10,-1),MATCH(N111+1,'[1]Normy VP'!$O$11:$R$11,-1),MATCH(N111+1,'[1]Normy VP'!$O$12:$R$12,-1),MATCH(N111+1,'[1]Normy VP'!$O$13:$R$13,-1),MATCH(N111+1,'[1]Normy VP'!$O$14:$R$14,-1),MATCH(N111+1,'[1]Normy VP'!$O$15:$R$15,-1)))),"O")</f>
        <v>N</v>
      </c>
      <c r="V111" s="26" t="str">
        <f>IF(OR($J111="",$J111="odešel"),IF(O111="","N",IF($F111="žena",CHOOSE(_xlfn.ARABIC($H111),MATCH(O111-1,'[1]Normy VP'!$O$25:$R$25),MATCH(O111-1,'[1]Normy VP'!$O$26:$R$26),MATCH(O111-1,'[1]Normy VP'!$O$27:$R$27),MATCH(O111-1,'[1]Normy VP'!$O$28:$R$28),MATCH(O111-1,'[1]Normy VP'!$O$29:$R$29),MATCH(O111-1,'[1]Normy VP'!$O$30:$R$30)),CHOOSE(_xlfn.ARABIC($H111),MATCH(O111-1,'[1]Normy VP'!$S$10:$V$10),MATCH(O111-1,'[1]Normy VP'!$S$11:$V$11),MATCH(O111-1,'[1]Normy VP'!$S$12:$V$12),MATCH(O111-1,'[1]Normy VP'!$S$13:$V$13),MATCH(O111-1,'[1]Normy VP'!$S$14:$V$14),MATCH(O111-1,'[1]Normy VP'!$S$15:$V$15)))),"O")</f>
        <v>N</v>
      </c>
      <c r="W111" s="34" t="str">
        <f t="shared" si="7"/>
        <v>N</v>
      </c>
      <c r="X111" s="27" t="str">
        <f>IF(COUNTIF(B111:G111,"")&gt;0,"",IF(COUNTIF([1]PP!$A:$A,A111)=0,"neni v PP",IF(OR(Y111="odešel",VLOOKUP(A111,[1]PP!$A:$W,22,FALSE)="odešel"),"odešel",IF(OR(Y111="N",VLOOKUP(A111,[1]PP!$A:$W,22,FALSE)="N"),"N",IF(OR(Y111="C",VLOOKUP(A111,[1]PP!$A:$W,22,FALSE)="C"),"C",IF(OR(Y111="DZO",VLOOKUP(A111,[1]PP!$A:$W,22,FALSE)="DZO"),"DZO",IF(OR(Y111="mise",Y111="disp.",Y111="končí",Y111="DSC",VLOOKUP(A111,[1]PP!$A:$W,22,FALSE)="mise",VLOOKUP(A111,[1]PP!$A:$W,22,FALSE)="disp.",VLOOKUP(A111,[1]PP!$A:$W,22,FALSE)="končí",VLOOKUP(A111,[1]PP!$A:$W,22,FALSE)="DSC"),"jiné",IF(OR(Y111=4,VLOOKUP(A111,[1]PP!$A:$W,22,FALSE)=4),4,IF(OR(Y111=3,VLOOKUP(A111,[1]PP!$A:$W,22,FALSE)=3),3,IF(OR(Y111=2,VLOOKUP(A111,[1]PP!$A:$W,22,FALSE)=2),2,IF(AND(Y111=1,VLOOKUP(A111,[1]PP!$A:$W,22,FALSE)=1),1)))))))))))</f>
        <v/>
      </c>
      <c r="Y111" s="28" t="str">
        <f>IF(COUNTIF(B111:G111,"")&gt;0,"",IF(COUNTIF([1]PP!$A:$A,A111)=0,"neni v PP",IF(VLOOKUP(A111,[1]PP!$A:$W,8,FALSE)="odešel","odešel",IF(F111="","",IF(J111="",IF(OR(T111=4,W111=4),4,IF(AND(T111="N",W111="N"),"N",IF(OR(T111="N",W111="N"),4,ROUND(AVERAGE(T111,W111),0)))),J111)))))</f>
        <v/>
      </c>
      <c r="Z111" s="29" t="str">
        <f>IF(COUNTIF(B111:G111,"")=0,IF(X111="neni v PP",CONCATENATE("ID: &lt;",A111,"&gt; se neshoduje s žádným IDem v kartě PP"),IF(COUNTIF($A:$A,A111)&gt;1,CONCATENATE("ID: &lt;",A111,"&gt; se v kartě VP opakuje. Je nutné tyto IDy od sebe odlišit, např. mezerou za příjmením."),IF(COUNTIF([1]PP!A:A,A111)&gt;1,CONCATENATE("ID: &lt;",A111,"&gt; se v kartě PP opakuje. Je nutné tyto IDy od sebe odlišit, např. mezerou za příjmením."),IF(VLOOKUP(A111,[1]PP!$A:$W,5,FALSE)&lt;&gt;E111,CONCATENATE($E$4," &lt;",E111,"&gt; se neshoduje s jednotkou v kartě PP"," &lt;",VLOOKUP(A111,[1]PP!$A:$W,5,FALSE),"&gt;"),IF(AND(COUNTIF(K111:O111,"")&lt;5,J111="",I111=""),CONCATENATE("Doplň: ",$I$4),IF(AND(YEAR(I111)&lt;&gt;$E$2,COUNTIF(I111,"")=0),CONCATENATE("špatně uveden &lt;",$D$2,"&gt; nebo &lt;",$I$4,"&gt;"),IF(OR(AND(OR(COUNTIF(C111,"*a"),COUNTIF(C111,"*ie"),COUNTIF(C111,"*ine"),COUNTIF(D111,"*Á")),F111="muž"),AND(AND(COUNTIF(C111,"&lt;&gt;"&amp;"*a"),COUNTIF(C111,"&lt;&gt;"&amp;"*ie"),COUNTIF(C111,"&lt;&gt;"&amp;"*ine"),COUNTIF(D111,"&lt;&gt;"&amp;"*Á")),F111="žena")),CONCATENATE(C111," ",D111," je ",F111,"?"),""))))))),IF(COUNTIF(B111:O111,"")=14,"",CONCATENATE("Doplň: ",IF(B111="",CONCATENATE($B$4,IF(COUNTIF(C111:G111,"")=0,"",", ")),""),IF(C111="",CONCATENATE($C$4,IF(COUNTIF(D111:G111,"")=0,"",", ")),""),IF(D111="",CONCATENATE($D$4,IF(COUNTIF(E111:G111,"")=0,"",", ")),""),IF(E111="",CONCATENATE($E$4,IF(COUNTIF(F111:G111,"")=0,"",", ")),""),IF(F111="",CONCATENATE($F$4,IF(G111="",", ","")),""),IF(G111="",$G$4,""))))</f>
        <v/>
      </c>
      <c r="AA111" s="30"/>
    </row>
    <row r="112" spans="1:27" ht="16" x14ac:dyDescent="0.35">
      <c r="A112" s="14" t="str">
        <f t="shared" si="4"/>
        <v xml:space="preserve">  </v>
      </c>
      <c r="B112" s="15"/>
      <c r="C112" s="31"/>
      <c r="D112" s="31"/>
      <c r="E112" s="17"/>
      <c r="F112" s="18"/>
      <c r="G112" s="32"/>
      <c r="H112" s="33" t="str">
        <f>IF(G112="","",IF(F112="žena",ROMAN(MATCH(G112+1,'[1]Normy VP'!$Y$27:$Y$33,-1)),ROMAN(MATCH(G112+1,'[1]Normy VP'!$Y$19:$Y$25,-1))))</f>
        <v/>
      </c>
      <c r="I112" s="21"/>
      <c r="J112" s="22"/>
      <c r="K112" s="23"/>
      <c r="L112" s="23"/>
      <c r="M112" s="23"/>
      <c r="N112" s="22"/>
      <c r="O112" s="22"/>
      <c r="P112" s="24" t="str">
        <f>IF(OR($J112="",$J112="odešel"),IF(K112="","",IF($F112="žena",CHOOSE(_xlfn.ARABIC($H112),MATCH(K112+1,'[1]Normy VP'!$C$25:$F$25,-1),MATCH(K112+1,'[1]Normy VP'!$C$26:$F$26,-1),MATCH(K112+1,'[1]Normy VP'!$C$27:$F$27,-1),MATCH(K112+1,'[1]Normy VP'!$C$28:$F$28,-1),MATCH(K112+1,'[1]Normy VP'!$C$29:$F$29,-1),"muž"),CHOOSE(_xlfn.ARABIC($H112),MATCH(K112+1,'[1]Normy VP'!$C$10:$F$10,-1),MATCH(K112+1,'[1]Normy VP'!$C$11:$F$11,-1),MATCH(K112+1,'[1]Normy VP'!$C$12:$F$12,-1),MATCH(K112+1,'[1]Normy VP'!$C$13:$F$13,-1),MATCH(K112+1,'[1]Normy VP'!$C$14:$F$14,-1),""))),"O")</f>
        <v/>
      </c>
      <c r="Q112" s="24" t="str">
        <f>IF(OR($J112="",$J112="odešel"),IF($F112="žena","",IF(L112="","",(CHOOSE(_xlfn.ARABIC($H112),MATCH(L112+1,'[1]Normy VP'!$G$10:$J$10,-1),MATCH(L112+1,'[1]Normy VP'!$G$11:$J$11,-1),MATCH(L112+1,'[1]Normy VP'!$G$12:$J$12,-1),MATCH(L112+1,'[1]Normy VP'!$G$13:$J$13,-1),MATCH(L112+1,'[1]Normy VP'!$G$14:$J$14,-1),"")))),"O")</f>
        <v/>
      </c>
      <c r="R112" s="34" t="str">
        <f t="shared" si="5"/>
        <v>N</v>
      </c>
      <c r="S112" s="24" t="str">
        <f>IF(OR($J112="",$J112="odešel"),IF(M112="","N",IF($F112="žena",CHOOSE(_xlfn.ARABIC($H112),MATCH(M112+1,'[1]Normy VP'!$G$25:$J$25,-1),MATCH(M112+1,'[1]Normy VP'!$G$26:$J$26,-1),MATCH(M112+1,'[1]Normy VP'!$G$27:$J$27,-1),MATCH(M112+1,'[1]Normy VP'!$G$28:$J$28,-1),MATCH(M112+1,'[1]Normy VP'!$G$29:$J$29,-1),"muž"),(CHOOSE(_xlfn.ARABIC($H112),MATCH(M112+1,'[1]Normy VP'!$K$10:$N$10,-1),MATCH(M112+1,'[1]Normy VP'!$K$11:$N$11,-1),MATCH(M112+1,'[1]Normy VP'!$K$12:$N$12,-1),MATCH(M112+1,'[1]Normy VP'!$K$13:$N$13,-1),MATCH(M112+1,'[1]Normy VP'!$K$14:$N$14,-1),"")))),"O")</f>
        <v>N</v>
      </c>
      <c r="T112" s="34" t="str">
        <f t="shared" si="6"/>
        <v>N</v>
      </c>
      <c r="U112" s="24" t="str">
        <f>IF(OR($J112="",$J112="odešel"),IF(N112="","N",IF($F112="žena",CHOOSE(_xlfn.ARABIC($H112),MATCH(N112+1,'[1]Normy VP'!$K$25:$N$25,-1),MATCH(N112+1,'[1]Normy VP'!$K$26:$N$26,-1),MATCH(N112+1,'[1]Normy VP'!$K$27:$N$27,-1),MATCH(N112+1,'[1]Normy VP'!$K$28:$N$28,-1),MATCH(N112+1,'[1]Normy VP'!$K$29:$N$29,-1),MATCH(N112+1,'[1]Normy VP'!$K$30:$N$30,-1)),CHOOSE(_xlfn.ARABIC($H112),MATCH(N112+1,'[1]Normy VP'!$O$10:$R$10,-1),MATCH(N112+1,'[1]Normy VP'!$O$11:$R$11,-1),MATCH(N112+1,'[1]Normy VP'!$O$12:$R$12,-1),MATCH(N112+1,'[1]Normy VP'!$O$13:$R$13,-1),MATCH(N112+1,'[1]Normy VP'!$O$14:$R$14,-1),MATCH(N112+1,'[1]Normy VP'!$O$15:$R$15,-1)))),"O")</f>
        <v>N</v>
      </c>
      <c r="V112" s="26" t="str">
        <f>IF(OR($J112="",$J112="odešel"),IF(O112="","N",IF($F112="žena",CHOOSE(_xlfn.ARABIC($H112),MATCH(O112-1,'[1]Normy VP'!$O$25:$R$25),MATCH(O112-1,'[1]Normy VP'!$O$26:$R$26),MATCH(O112-1,'[1]Normy VP'!$O$27:$R$27),MATCH(O112-1,'[1]Normy VP'!$O$28:$R$28),MATCH(O112-1,'[1]Normy VP'!$O$29:$R$29),MATCH(O112-1,'[1]Normy VP'!$O$30:$R$30)),CHOOSE(_xlfn.ARABIC($H112),MATCH(O112-1,'[1]Normy VP'!$S$10:$V$10),MATCH(O112-1,'[1]Normy VP'!$S$11:$V$11),MATCH(O112-1,'[1]Normy VP'!$S$12:$V$12),MATCH(O112-1,'[1]Normy VP'!$S$13:$V$13),MATCH(O112-1,'[1]Normy VP'!$S$14:$V$14),MATCH(O112-1,'[1]Normy VP'!$S$15:$V$15)))),"O")</f>
        <v>N</v>
      </c>
      <c r="W112" s="34" t="str">
        <f t="shared" si="7"/>
        <v>N</v>
      </c>
      <c r="X112" s="27" t="str">
        <f>IF(COUNTIF(B112:G112,"")&gt;0,"",IF(COUNTIF([1]PP!$A:$A,A112)=0,"neni v PP",IF(OR(Y112="odešel",VLOOKUP(A112,[1]PP!$A:$W,22,FALSE)="odešel"),"odešel",IF(OR(Y112="N",VLOOKUP(A112,[1]PP!$A:$W,22,FALSE)="N"),"N",IF(OR(Y112="C",VLOOKUP(A112,[1]PP!$A:$W,22,FALSE)="C"),"C",IF(OR(Y112="DZO",VLOOKUP(A112,[1]PP!$A:$W,22,FALSE)="DZO"),"DZO",IF(OR(Y112="mise",Y112="disp.",Y112="končí",Y112="DSC",VLOOKUP(A112,[1]PP!$A:$W,22,FALSE)="mise",VLOOKUP(A112,[1]PP!$A:$W,22,FALSE)="disp.",VLOOKUP(A112,[1]PP!$A:$W,22,FALSE)="končí",VLOOKUP(A112,[1]PP!$A:$W,22,FALSE)="DSC"),"jiné",IF(OR(Y112=4,VLOOKUP(A112,[1]PP!$A:$W,22,FALSE)=4),4,IF(OR(Y112=3,VLOOKUP(A112,[1]PP!$A:$W,22,FALSE)=3),3,IF(OR(Y112=2,VLOOKUP(A112,[1]PP!$A:$W,22,FALSE)=2),2,IF(AND(Y112=1,VLOOKUP(A112,[1]PP!$A:$W,22,FALSE)=1),1)))))))))))</f>
        <v/>
      </c>
      <c r="Y112" s="28" t="str">
        <f>IF(COUNTIF(B112:G112,"")&gt;0,"",IF(COUNTIF([1]PP!$A:$A,A112)=0,"neni v PP",IF(VLOOKUP(A112,[1]PP!$A:$W,8,FALSE)="odešel","odešel",IF(F112="","",IF(J112="",IF(OR(T112=4,W112=4),4,IF(AND(T112="N",W112="N"),"N",IF(OR(T112="N",W112="N"),4,ROUND(AVERAGE(T112,W112),0)))),J112)))))</f>
        <v/>
      </c>
      <c r="Z112" s="29" t="str">
        <f>IF(COUNTIF(B112:G112,"")=0,IF(X112="neni v PP",CONCATENATE("ID: &lt;",A112,"&gt; se neshoduje s žádným IDem v kartě PP"),IF(COUNTIF($A:$A,A112)&gt;1,CONCATENATE("ID: &lt;",A112,"&gt; se v kartě VP opakuje. Je nutné tyto IDy od sebe odlišit, např. mezerou za příjmením."),IF(COUNTIF([1]PP!A:A,A112)&gt;1,CONCATENATE("ID: &lt;",A112,"&gt; se v kartě PP opakuje. Je nutné tyto IDy od sebe odlišit, např. mezerou za příjmením."),IF(VLOOKUP(A112,[1]PP!$A:$W,5,FALSE)&lt;&gt;E112,CONCATENATE($E$4," &lt;",E112,"&gt; se neshoduje s jednotkou v kartě PP"," &lt;",VLOOKUP(A112,[1]PP!$A:$W,5,FALSE),"&gt;"),IF(AND(COUNTIF(K112:O112,"")&lt;5,J112="",I112=""),CONCATENATE("Doplň: ",$I$4),IF(AND(YEAR(I112)&lt;&gt;$E$2,COUNTIF(I112,"")=0),CONCATENATE("špatně uveden &lt;",$D$2,"&gt; nebo &lt;",$I$4,"&gt;"),IF(OR(AND(OR(COUNTIF(C112,"*a"),COUNTIF(C112,"*ie"),COUNTIF(C112,"*ine"),COUNTIF(D112,"*Á")),F112="muž"),AND(AND(COUNTIF(C112,"&lt;&gt;"&amp;"*a"),COUNTIF(C112,"&lt;&gt;"&amp;"*ie"),COUNTIF(C112,"&lt;&gt;"&amp;"*ine"),COUNTIF(D112,"&lt;&gt;"&amp;"*Á")),F112="žena")),CONCATENATE(C112," ",D112," je ",F112,"?"),""))))))),IF(COUNTIF(B112:O112,"")=14,"",CONCATENATE("Doplň: ",IF(B112="",CONCATENATE($B$4,IF(COUNTIF(C112:G112,"")=0,"",", ")),""),IF(C112="",CONCATENATE($C$4,IF(COUNTIF(D112:G112,"")=0,"",", ")),""),IF(D112="",CONCATENATE($D$4,IF(COUNTIF(E112:G112,"")=0,"",", ")),""),IF(E112="",CONCATENATE($E$4,IF(COUNTIF(F112:G112,"")=0,"",", ")),""),IF(F112="",CONCATENATE($F$4,IF(G112="",", ","")),""),IF(G112="",$G$4,""))))</f>
        <v/>
      </c>
      <c r="AA112" s="30"/>
    </row>
    <row r="113" spans="1:27" ht="16" x14ac:dyDescent="0.35">
      <c r="A113" s="14" t="str">
        <f t="shared" si="4"/>
        <v xml:space="preserve">  </v>
      </c>
      <c r="B113" s="15"/>
      <c r="C113" s="31"/>
      <c r="D113" s="31"/>
      <c r="E113" s="17"/>
      <c r="F113" s="18"/>
      <c r="G113" s="32"/>
      <c r="H113" s="33" t="str">
        <f>IF(G113="","",IF(F113="žena",ROMAN(MATCH(G113+1,'[1]Normy VP'!$Y$27:$Y$33,-1)),ROMAN(MATCH(G113+1,'[1]Normy VP'!$Y$19:$Y$25,-1))))</f>
        <v/>
      </c>
      <c r="I113" s="21"/>
      <c r="J113" s="22"/>
      <c r="K113" s="23"/>
      <c r="L113" s="23"/>
      <c r="M113" s="23"/>
      <c r="N113" s="22"/>
      <c r="O113" s="22"/>
      <c r="P113" s="24" t="str">
        <f>IF(OR($J113="",$J113="odešel"),IF(K113="","",IF($F113="žena",CHOOSE(_xlfn.ARABIC($H113),MATCH(K113+1,'[1]Normy VP'!$C$25:$F$25,-1),MATCH(K113+1,'[1]Normy VP'!$C$26:$F$26,-1),MATCH(K113+1,'[1]Normy VP'!$C$27:$F$27,-1),MATCH(K113+1,'[1]Normy VP'!$C$28:$F$28,-1),MATCH(K113+1,'[1]Normy VP'!$C$29:$F$29,-1),"muž"),CHOOSE(_xlfn.ARABIC($H113),MATCH(K113+1,'[1]Normy VP'!$C$10:$F$10,-1),MATCH(K113+1,'[1]Normy VP'!$C$11:$F$11,-1),MATCH(K113+1,'[1]Normy VP'!$C$12:$F$12,-1),MATCH(K113+1,'[1]Normy VP'!$C$13:$F$13,-1),MATCH(K113+1,'[1]Normy VP'!$C$14:$F$14,-1),""))),"O")</f>
        <v/>
      </c>
      <c r="Q113" s="24" t="str">
        <f>IF(OR($J113="",$J113="odešel"),IF($F113="žena","",IF(L113="","",(CHOOSE(_xlfn.ARABIC($H113),MATCH(L113+1,'[1]Normy VP'!$G$10:$J$10,-1),MATCH(L113+1,'[1]Normy VP'!$G$11:$J$11,-1),MATCH(L113+1,'[1]Normy VP'!$G$12:$J$12,-1),MATCH(L113+1,'[1]Normy VP'!$G$13:$J$13,-1),MATCH(L113+1,'[1]Normy VP'!$G$14:$J$14,-1),"")))),"O")</f>
        <v/>
      </c>
      <c r="R113" s="34" t="str">
        <f t="shared" si="5"/>
        <v>N</v>
      </c>
      <c r="S113" s="24" t="str">
        <f>IF(OR($J113="",$J113="odešel"),IF(M113="","N",IF($F113="žena",CHOOSE(_xlfn.ARABIC($H113),MATCH(M113+1,'[1]Normy VP'!$G$25:$J$25,-1),MATCH(M113+1,'[1]Normy VP'!$G$26:$J$26,-1),MATCH(M113+1,'[1]Normy VP'!$G$27:$J$27,-1),MATCH(M113+1,'[1]Normy VP'!$G$28:$J$28,-1),MATCH(M113+1,'[1]Normy VP'!$G$29:$J$29,-1),"muž"),(CHOOSE(_xlfn.ARABIC($H113),MATCH(M113+1,'[1]Normy VP'!$K$10:$N$10,-1),MATCH(M113+1,'[1]Normy VP'!$K$11:$N$11,-1),MATCH(M113+1,'[1]Normy VP'!$K$12:$N$12,-1),MATCH(M113+1,'[1]Normy VP'!$K$13:$N$13,-1),MATCH(M113+1,'[1]Normy VP'!$K$14:$N$14,-1),"")))),"O")</f>
        <v>N</v>
      </c>
      <c r="T113" s="34" t="str">
        <f t="shared" si="6"/>
        <v>N</v>
      </c>
      <c r="U113" s="24" t="str">
        <f>IF(OR($J113="",$J113="odešel"),IF(N113="","N",IF($F113="žena",CHOOSE(_xlfn.ARABIC($H113),MATCH(N113+1,'[1]Normy VP'!$K$25:$N$25,-1),MATCH(N113+1,'[1]Normy VP'!$K$26:$N$26,-1),MATCH(N113+1,'[1]Normy VP'!$K$27:$N$27,-1),MATCH(N113+1,'[1]Normy VP'!$K$28:$N$28,-1),MATCH(N113+1,'[1]Normy VP'!$K$29:$N$29,-1),MATCH(N113+1,'[1]Normy VP'!$K$30:$N$30,-1)),CHOOSE(_xlfn.ARABIC($H113),MATCH(N113+1,'[1]Normy VP'!$O$10:$R$10,-1),MATCH(N113+1,'[1]Normy VP'!$O$11:$R$11,-1),MATCH(N113+1,'[1]Normy VP'!$O$12:$R$12,-1),MATCH(N113+1,'[1]Normy VP'!$O$13:$R$13,-1),MATCH(N113+1,'[1]Normy VP'!$O$14:$R$14,-1),MATCH(N113+1,'[1]Normy VP'!$O$15:$R$15,-1)))),"O")</f>
        <v>N</v>
      </c>
      <c r="V113" s="26" t="str">
        <f>IF(OR($J113="",$J113="odešel"),IF(O113="","N",IF($F113="žena",CHOOSE(_xlfn.ARABIC($H113),MATCH(O113-1,'[1]Normy VP'!$O$25:$R$25),MATCH(O113-1,'[1]Normy VP'!$O$26:$R$26),MATCH(O113-1,'[1]Normy VP'!$O$27:$R$27),MATCH(O113-1,'[1]Normy VP'!$O$28:$R$28),MATCH(O113-1,'[1]Normy VP'!$O$29:$R$29),MATCH(O113-1,'[1]Normy VP'!$O$30:$R$30)),CHOOSE(_xlfn.ARABIC($H113),MATCH(O113-1,'[1]Normy VP'!$S$10:$V$10),MATCH(O113-1,'[1]Normy VP'!$S$11:$V$11),MATCH(O113-1,'[1]Normy VP'!$S$12:$V$12),MATCH(O113-1,'[1]Normy VP'!$S$13:$V$13),MATCH(O113-1,'[1]Normy VP'!$S$14:$V$14),MATCH(O113-1,'[1]Normy VP'!$S$15:$V$15)))),"O")</f>
        <v>N</v>
      </c>
      <c r="W113" s="34" t="str">
        <f t="shared" si="7"/>
        <v>N</v>
      </c>
      <c r="X113" s="27" t="str">
        <f>IF(COUNTIF(B113:G113,"")&gt;0,"",IF(COUNTIF([1]PP!$A:$A,A113)=0,"neni v PP",IF(OR(Y113="odešel",VLOOKUP(A113,[1]PP!$A:$W,22,FALSE)="odešel"),"odešel",IF(OR(Y113="N",VLOOKUP(A113,[1]PP!$A:$W,22,FALSE)="N"),"N",IF(OR(Y113="C",VLOOKUP(A113,[1]PP!$A:$W,22,FALSE)="C"),"C",IF(OR(Y113="DZO",VLOOKUP(A113,[1]PP!$A:$W,22,FALSE)="DZO"),"DZO",IF(OR(Y113="mise",Y113="disp.",Y113="končí",Y113="DSC",VLOOKUP(A113,[1]PP!$A:$W,22,FALSE)="mise",VLOOKUP(A113,[1]PP!$A:$W,22,FALSE)="disp.",VLOOKUP(A113,[1]PP!$A:$W,22,FALSE)="končí",VLOOKUP(A113,[1]PP!$A:$W,22,FALSE)="DSC"),"jiné",IF(OR(Y113=4,VLOOKUP(A113,[1]PP!$A:$W,22,FALSE)=4),4,IF(OR(Y113=3,VLOOKUP(A113,[1]PP!$A:$W,22,FALSE)=3),3,IF(OR(Y113=2,VLOOKUP(A113,[1]PP!$A:$W,22,FALSE)=2),2,IF(AND(Y113=1,VLOOKUP(A113,[1]PP!$A:$W,22,FALSE)=1),1)))))))))))</f>
        <v/>
      </c>
      <c r="Y113" s="28" t="str">
        <f>IF(COUNTIF(B113:G113,"")&gt;0,"",IF(COUNTIF([1]PP!$A:$A,A113)=0,"neni v PP",IF(VLOOKUP(A113,[1]PP!$A:$W,8,FALSE)="odešel","odešel",IF(F113="","",IF(J113="",IF(OR(T113=4,W113=4),4,IF(AND(T113="N",W113="N"),"N",IF(OR(T113="N",W113="N"),4,ROUND(AVERAGE(T113,W113),0)))),J113)))))</f>
        <v/>
      </c>
      <c r="Z113" s="29" t="str">
        <f>IF(COUNTIF(B113:G113,"")=0,IF(X113="neni v PP",CONCATENATE("ID: &lt;",A113,"&gt; se neshoduje s žádným IDem v kartě PP"),IF(COUNTIF($A:$A,A113)&gt;1,CONCATENATE("ID: &lt;",A113,"&gt; se v kartě VP opakuje. Je nutné tyto IDy od sebe odlišit, např. mezerou za příjmením."),IF(COUNTIF([1]PP!A:A,A113)&gt;1,CONCATENATE("ID: &lt;",A113,"&gt; se v kartě PP opakuje. Je nutné tyto IDy od sebe odlišit, např. mezerou za příjmením."),IF(VLOOKUP(A113,[1]PP!$A:$W,5,FALSE)&lt;&gt;E113,CONCATENATE($E$4," &lt;",E113,"&gt; se neshoduje s jednotkou v kartě PP"," &lt;",VLOOKUP(A113,[1]PP!$A:$W,5,FALSE),"&gt;"),IF(AND(COUNTIF(K113:O113,"")&lt;5,J113="",I113=""),CONCATENATE("Doplň: ",$I$4),IF(AND(YEAR(I113)&lt;&gt;$E$2,COUNTIF(I113,"")=0),CONCATENATE("špatně uveden &lt;",$D$2,"&gt; nebo &lt;",$I$4,"&gt;"),IF(OR(AND(OR(COUNTIF(C113,"*a"),COUNTIF(C113,"*ie"),COUNTIF(C113,"*ine"),COUNTIF(D113,"*Á")),F113="muž"),AND(AND(COUNTIF(C113,"&lt;&gt;"&amp;"*a"),COUNTIF(C113,"&lt;&gt;"&amp;"*ie"),COUNTIF(C113,"&lt;&gt;"&amp;"*ine"),COUNTIF(D113,"&lt;&gt;"&amp;"*Á")),F113="žena")),CONCATENATE(C113," ",D113," je ",F113,"?"),""))))))),IF(COUNTIF(B113:O113,"")=14,"",CONCATENATE("Doplň: ",IF(B113="",CONCATENATE($B$4,IF(COUNTIF(C113:G113,"")=0,"",", ")),""),IF(C113="",CONCATENATE($C$4,IF(COUNTIF(D113:G113,"")=0,"",", ")),""),IF(D113="",CONCATENATE($D$4,IF(COUNTIF(E113:G113,"")=0,"",", ")),""),IF(E113="",CONCATENATE($E$4,IF(COUNTIF(F113:G113,"")=0,"",", ")),""),IF(F113="",CONCATENATE($F$4,IF(G113="",", ","")),""),IF(G113="",$G$4,""))))</f>
        <v/>
      </c>
      <c r="AA113" s="30"/>
    </row>
    <row r="114" spans="1:27" ht="16" x14ac:dyDescent="0.35">
      <c r="A114" s="14" t="str">
        <f t="shared" si="4"/>
        <v xml:space="preserve">  </v>
      </c>
      <c r="B114" s="15"/>
      <c r="C114" s="31"/>
      <c r="D114" s="31"/>
      <c r="E114" s="17"/>
      <c r="F114" s="18"/>
      <c r="G114" s="32"/>
      <c r="H114" s="33" t="str">
        <f>IF(G114="","",IF(F114="žena",ROMAN(MATCH(G114+1,'[1]Normy VP'!$Y$27:$Y$33,-1)),ROMAN(MATCH(G114+1,'[1]Normy VP'!$Y$19:$Y$25,-1))))</f>
        <v/>
      </c>
      <c r="I114" s="21"/>
      <c r="J114" s="22"/>
      <c r="K114" s="23"/>
      <c r="L114" s="23"/>
      <c r="M114" s="23"/>
      <c r="N114" s="22"/>
      <c r="O114" s="22"/>
      <c r="P114" s="24" t="str">
        <f>IF(OR($J114="",$J114="odešel"),IF(K114="","",IF($F114="žena",CHOOSE(_xlfn.ARABIC($H114),MATCH(K114+1,'[1]Normy VP'!$C$25:$F$25,-1),MATCH(K114+1,'[1]Normy VP'!$C$26:$F$26,-1),MATCH(K114+1,'[1]Normy VP'!$C$27:$F$27,-1),MATCH(K114+1,'[1]Normy VP'!$C$28:$F$28,-1),MATCH(K114+1,'[1]Normy VP'!$C$29:$F$29,-1),"muž"),CHOOSE(_xlfn.ARABIC($H114),MATCH(K114+1,'[1]Normy VP'!$C$10:$F$10,-1),MATCH(K114+1,'[1]Normy VP'!$C$11:$F$11,-1),MATCH(K114+1,'[1]Normy VP'!$C$12:$F$12,-1),MATCH(K114+1,'[1]Normy VP'!$C$13:$F$13,-1),MATCH(K114+1,'[1]Normy VP'!$C$14:$F$14,-1),""))),"O")</f>
        <v/>
      </c>
      <c r="Q114" s="24" t="str">
        <f>IF(OR($J114="",$J114="odešel"),IF($F114="žena","",IF(L114="","",(CHOOSE(_xlfn.ARABIC($H114),MATCH(L114+1,'[1]Normy VP'!$G$10:$J$10,-1),MATCH(L114+1,'[1]Normy VP'!$G$11:$J$11,-1),MATCH(L114+1,'[1]Normy VP'!$G$12:$J$12,-1),MATCH(L114+1,'[1]Normy VP'!$G$13:$J$13,-1),MATCH(L114+1,'[1]Normy VP'!$G$14:$J$14,-1),"")))),"O")</f>
        <v/>
      </c>
      <c r="R114" s="34" t="str">
        <f t="shared" si="5"/>
        <v>N</v>
      </c>
      <c r="S114" s="24" t="str">
        <f>IF(OR($J114="",$J114="odešel"),IF(M114="","N",IF($F114="žena",CHOOSE(_xlfn.ARABIC($H114),MATCH(M114+1,'[1]Normy VP'!$G$25:$J$25,-1),MATCH(M114+1,'[1]Normy VP'!$G$26:$J$26,-1),MATCH(M114+1,'[1]Normy VP'!$G$27:$J$27,-1),MATCH(M114+1,'[1]Normy VP'!$G$28:$J$28,-1),MATCH(M114+1,'[1]Normy VP'!$G$29:$J$29,-1),"muž"),(CHOOSE(_xlfn.ARABIC($H114),MATCH(M114+1,'[1]Normy VP'!$K$10:$N$10,-1),MATCH(M114+1,'[1]Normy VP'!$K$11:$N$11,-1),MATCH(M114+1,'[1]Normy VP'!$K$12:$N$12,-1),MATCH(M114+1,'[1]Normy VP'!$K$13:$N$13,-1),MATCH(M114+1,'[1]Normy VP'!$K$14:$N$14,-1),"")))),"O")</f>
        <v>N</v>
      </c>
      <c r="T114" s="34" t="str">
        <f t="shared" si="6"/>
        <v>N</v>
      </c>
      <c r="U114" s="24" t="str">
        <f>IF(OR($J114="",$J114="odešel"),IF(N114="","N",IF($F114="žena",CHOOSE(_xlfn.ARABIC($H114),MATCH(N114+1,'[1]Normy VP'!$K$25:$N$25,-1),MATCH(N114+1,'[1]Normy VP'!$K$26:$N$26,-1),MATCH(N114+1,'[1]Normy VP'!$K$27:$N$27,-1),MATCH(N114+1,'[1]Normy VP'!$K$28:$N$28,-1),MATCH(N114+1,'[1]Normy VP'!$K$29:$N$29,-1),MATCH(N114+1,'[1]Normy VP'!$K$30:$N$30,-1)),CHOOSE(_xlfn.ARABIC($H114),MATCH(N114+1,'[1]Normy VP'!$O$10:$R$10,-1),MATCH(N114+1,'[1]Normy VP'!$O$11:$R$11,-1),MATCH(N114+1,'[1]Normy VP'!$O$12:$R$12,-1),MATCH(N114+1,'[1]Normy VP'!$O$13:$R$13,-1),MATCH(N114+1,'[1]Normy VP'!$O$14:$R$14,-1),MATCH(N114+1,'[1]Normy VP'!$O$15:$R$15,-1)))),"O")</f>
        <v>N</v>
      </c>
      <c r="V114" s="26" t="str">
        <f>IF(OR($J114="",$J114="odešel"),IF(O114="","N",IF($F114="žena",CHOOSE(_xlfn.ARABIC($H114),MATCH(O114-1,'[1]Normy VP'!$O$25:$R$25),MATCH(O114-1,'[1]Normy VP'!$O$26:$R$26),MATCH(O114-1,'[1]Normy VP'!$O$27:$R$27),MATCH(O114-1,'[1]Normy VP'!$O$28:$R$28),MATCH(O114-1,'[1]Normy VP'!$O$29:$R$29),MATCH(O114-1,'[1]Normy VP'!$O$30:$R$30)),CHOOSE(_xlfn.ARABIC($H114),MATCH(O114-1,'[1]Normy VP'!$S$10:$V$10),MATCH(O114-1,'[1]Normy VP'!$S$11:$V$11),MATCH(O114-1,'[1]Normy VP'!$S$12:$V$12),MATCH(O114-1,'[1]Normy VP'!$S$13:$V$13),MATCH(O114-1,'[1]Normy VP'!$S$14:$V$14),MATCH(O114-1,'[1]Normy VP'!$S$15:$V$15)))),"O")</f>
        <v>N</v>
      </c>
      <c r="W114" s="34" t="str">
        <f t="shared" si="7"/>
        <v>N</v>
      </c>
      <c r="X114" s="27" t="str">
        <f>IF(COUNTIF(B114:G114,"")&gt;0,"",IF(COUNTIF([1]PP!$A:$A,A114)=0,"neni v PP",IF(OR(Y114="odešel",VLOOKUP(A114,[1]PP!$A:$W,22,FALSE)="odešel"),"odešel",IF(OR(Y114="N",VLOOKUP(A114,[1]PP!$A:$W,22,FALSE)="N"),"N",IF(OR(Y114="C",VLOOKUP(A114,[1]PP!$A:$W,22,FALSE)="C"),"C",IF(OR(Y114="DZO",VLOOKUP(A114,[1]PP!$A:$W,22,FALSE)="DZO"),"DZO",IF(OR(Y114="mise",Y114="disp.",Y114="končí",Y114="DSC",VLOOKUP(A114,[1]PP!$A:$W,22,FALSE)="mise",VLOOKUP(A114,[1]PP!$A:$W,22,FALSE)="disp.",VLOOKUP(A114,[1]PP!$A:$W,22,FALSE)="končí",VLOOKUP(A114,[1]PP!$A:$W,22,FALSE)="DSC"),"jiné",IF(OR(Y114=4,VLOOKUP(A114,[1]PP!$A:$W,22,FALSE)=4),4,IF(OR(Y114=3,VLOOKUP(A114,[1]PP!$A:$W,22,FALSE)=3),3,IF(OR(Y114=2,VLOOKUP(A114,[1]PP!$A:$W,22,FALSE)=2),2,IF(AND(Y114=1,VLOOKUP(A114,[1]PP!$A:$W,22,FALSE)=1),1)))))))))))</f>
        <v/>
      </c>
      <c r="Y114" s="28" t="str">
        <f>IF(COUNTIF(B114:G114,"")&gt;0,"",IF(COUNTIF([1]PP!$A:$A,A114)=0,"neni v PP",IF(VLOOKUP(A114,[1]PP!$A:$W,8,FALSE)="odešel","odešel",IF(F114="","",IF(J114="",IF(OR(T114=4,W114=4),4,IF(AND(T114="N",W114="N"),"N",IF(OR(T114="N",W114="N"),4,ROUND(AVERAGE(T114,W114),0)))),J114)))))</f>
        <v/>
      </c>
      <c r="Z114" s="29" t="str">
        <f>IF(COUNTIF(B114:G114,"")=0,IF(X114="neni v PP",CONCATENATE("ID: &lt;",A114,"&gt; se neshoduje s žádným IDem v kartě PP"),IF(COUNTIF($A:$A,A114)&gt;1,CONCATENATE("ID: &lt;",A114,"&gt; se v kartě VP opakuje. Je nutné tyto IDy od sebe odlišit, např. mezerou za příjmením."),IF(COUNTIF([1]PP!A:A,A114)&gt;1,CONCATENATE("ID: &lt;",A114,"&gt; se v kartě PP opakuje. Je nutné tyto IDy od sebe odlišit, např. mezerou za příjmením."),IF(VLOOKUP(A114,[1]PP!$A:$W,5,FALSE)&lt;&gt;E114,CONCATENATE($E$4," &lt;",E114,"&gt; se neshoduje s jednotkou v kartě PP"," &lt;",VLOOKUP(A114,[1]PP!$A:$W,5,FALSE),"&gt;"),IF(AND(COUNTIF(K114:O114,"")&lt;5,J114="",I114=""),CONCATENATE("Doplň: ",$I$4),IF(AND(YEAR(I114)&lt;&gt;$E$2,COUNTIF(I114,"")=0),CONCATENATE("špatně uveden &lt;",$D$2,"&gt; nebo &lt;",$I$4,"&gt;"),IF(OR(AND(OR(COUNTIF(C114,"*a"),COUNTIF(C114,"*ie"),COUNTIF(C114,"*ine"),COUNTIF(D114,"*Á")),F114="muž"),AND(AND(COUNTIF(C114,"&lt;&gt;"&amp;"*a"),COUNTIF(C114,"&lt;&gt;"&amp;"*ie"),COUNTIF(C114,"&lt;&gt;"&amp;"*ine"),COUNTIF(D114,"&lt;&gt;"&amp;"*Á")),F114="žena")),CONCATENATE(C114," ",D114," je ",F114,"?"),""))))))),IF(COUNTIF(B114:O114,"")=14,"",CONCATENATE("Doplň: ",IF(B114="",CONCATENATE($B$4,IF(COUNTIF(C114:G114,"")=0,"",", ")),""),IF(C114="",CONCATENATE($C$4,IF(COUNTIF(D114:G114,"")=0,"",", ")),""),IF(D114="",CONCATENATE($D$4,IF(COUNTIF(E114:G114,"")=0,"",", ")),""),IF(E114="",CONCATENATE($E$4,IF(COUNTIF(F114:G114,"")=0,"",", ")),""),IF(F114="",CONCATENATE($F$4,IF(G114="",", ","")),""),IF(G114="",$G$4,""))))</f>
        <v/>
      </c>
      <c r="AA114" s="30"/>
    </row>
    <row r="115" spans="1:27" ht="16" x14ac:dyDescent="0.35">
      <c r="A115" s="14" t="str">
        <f t="shared" si="4"/>
        <v xml:space="preserve">  </v>
      </c>
      <c r="B115" s="15"/>
      <c r="C115" s="31"/>
      <c r="D115" s="31"/>
      <c r="E115" s="17"/>
      <c r="F115" s="18"/>
      <c r="G115" s="32"/>
      <c r="H115" s="33" t="str">
        <f>IF(G115="","",IF(F115="žena",ROMAN(MATCH(G115+1,'[1]Normy VP'!$Y$27:$Y$33,-1)),ROMAN(MATCH(G115+1,'[1]Normy VP'!$Y$19:$Y$25,-1))))</f>
        <v/>
      </c>
      <c r="I115" s="21"/>
      <c r="J115" s="22"/>
      <c r="K115" s="23"/>
      <c r="L115" s="23"/>
      <c r="M115" s="23"/>
      <c r="N115" s="22"/>
      <c r="O115" s="22"/>
      <c r="P115" s="24" t="str">
        <f>IF(OR($J115="",$J115="odešel"),IF(K115="","",IF($F115="žena",CHOOSE(_xlfn.ARABIC($H115),MATCH(K115+1,'[1]Normy VP'!$C$25:$F$25,-1),MATCH(K115+1,'[1]Normy VP'!$C$26:$F$26,-1),MATCH(K115+1,'[1]Normy VP'!$C$27:$F$27,-1),MATCH(K115+1,'[1]Normy VP'!$C$28:$F$28,-1),MATCH(K115+1,'[1]Normy VP'!$C$29:$F$29,-1),"muž"),CHOOSE(_xlfn.ARABIC($H115),MATCH(K115+1,'[1]Normy VP'!$C$10:$F$10,-1),MATCH(K115+1,'[1]Normy VP'!$C$11:$F$11,-1),MATCH(K115+1,'[1]Normy VP'!$C$12:$F$12,-1),MATCH(K115+1,'[1]Normy VP'!$C$13:$F$13,-1),MATCH(K115+1,'[1]Normy VP'!$C$14:$F$14,-1),""))),"O")</f>
        <v/>
      </c>
      <c r="Q115" s="24" t="str">
        <f>IF(OR($J115="",$J115="odešel"),IF($F115="žena","",IF(L115="","",(CHOOSE(_xlfn.ARABIC($H115),MATCH(L115+1,'[1]Normy VP'!$G$10:$J$10,-1),MATCH(L115+1,'[1]Normy VP'!$G$11:$J$11,-1),MATCH(L115+1,'[1]Normy VP'!$G$12:$J$12,-1),MATCH(L115+1,'[1]Normy VP'!$G$13:$J$13,-1),MATCH(L115+1,'[1]Normy VP'!$G$14:$J$14,-1),"")))),"O")</f>
        <v/>
      </c>
      <c r="R115" s="34" t="str">
        <f t="shared" si="5"/>
        <v>N</v>
      </c>
      <c r="S115" s="24" t="str">
        <f>IF(OR($J115="",$J115="odešel"),IF(M115="","N",IF($F115="žena",CHOOSE(_xlfn.ARABIC($H115),MATCH(M115+1,'[1]Normy VP'!$G$25:$J$25,-1),MATCH(M115+1,'[1]Normy VP'!$G$26:$J$26,-1),MATCH(M115+1,'[1]Normy VP'!$G$27:$J$27,-1),MATCH(M115+1,'[1]Normy VP'!$G$28:$J$28,-1),MATCH(M115+1,'[1]Normy VP'!$G$29:$J$29,-1),"muž"),(CHOOSE(_xlfn.ARABIC($H115),MATCH(M115+1,'[1]Normy VP'!$K$10:$N$10,-1),MATCH(M115+1,'[1]Normy VP'!$K$11:$N$11,-1),MATCH(M115+1,'[1]Normy VP'!$K$12:$N$12,-1),MATCH(M115+1,'[1]Normy VP'!$K$13:$N$13,-1),MATCH(M115+1,'[1]Normy VP'!$K$14:$N$14,-1),"")))),"O")</f>
        <v>N</v>
      </c>
      <c r="T115" s="34" t="str">
        <f t="shared" si="6"/>
        <v>N</v>
      </c>
      <c r="U115" s="24" t="str">
        <f>IF(OR($J115="",$J115="odešel"),IF(N115="","N",IF($F115="žena",CHOOSE(_xlfn.ARABIC($H115),MATCH(N115+1,'[1]Normy VP'!$K$25:$N$25,-1),MATCH(N115+1,'[1]Normy VP'!$K$26:$N$26,-1),MATCH(N115+1,'[1]Normy VP'!$K$27:$N$27,-1),MATCH(N115+1,'[1]Normy VP'!$K$28:$N$28,-1),MATCH(N115+1,'[1]Normy VP'!$K$29:$N$29,-1),MATCH(N115+1,'[1]Normy VP'!$K$30:$N$30,-1)),CHOOSE(_xlfn.ARABIC($H115),MATCH(N115+1,'[1]Normy VP'!$O$10:$R$10,-1),MATCH(N115+1,'[1]Normy VP'!$O$11:$R$11,-1),MATCH(N115+1,'[1]Normy VP'!$O$12:$R$12,-1),MATCH(N115+1,'[1]Normy VP'!$O$13:$R$13,-1),MATCH(N115+1,'[1]Normy VP'!$O$14:$R$14,-1),MATCH(N115+1,'[1]Normy VP'!$O$15:$R$15,-1)))),"O")</f>
        <v>N</v>
      </c>
      <c r="V115" s="26" t="str">
        <f>IF(OR($J115="",$J115="odešel"),IF(O115="","N",IF($F115="žena",CHOOSE(_xlfn.ARABIC($H115),MATCH(O115-1,'[1]Normy VP'!$O$25:$R$25),MATCH(O115-1,'[1]Normy VP'!$O$26:$R$26),MATCH(O115-1,'[1]Normy VP'!$O$27:$R$27),MATCH(O115-1,'[1]Normy VP'!$O$28:$R$28),MATCH(O115-1,'[1]Normy VP'!$O$29:$R$29),MATCH(O115-1,'[1]Normy VP'!$O$30:$R$30)),CHOOSE(_xlfn.ARABIC($H115),MATCH(O115-1,'[1]Normy VP'!$S$10:$V$10),MATCH(O115-1,'[1]Normy VP'!$S$11:$V$11),MATCH(O115-1,'[1]Normy VP'!$S$12:$V$12),MATCH(O115-1,'[1]Normy VP'!$S$13:$V$13),MATCH(O115-1,'[1]Normy VP'!$S$14:$V$14),MATCH(O115-1,'[1]Normy VP'!$S$15:$V$15)))),"O")</f>
        <v>N</v>
      </c>
      <c r="W115" s="34" t="str">
        <f t="shared" si="7"/>
        <v>N</v>
      </c>
      <c r="X115" s="27" t="str">
        <f>IF(COUNTIF(B115:G115,"")&gt;0,"",IF(COUNTIF([1]PP!$A:$A,A115)=0,"neni v PP",IF(OR(Y115="odešel",VLOOKUP(A115,[1]PP!$A:$W,22,FALSE)="odešel"),"odešel",IF(OR(Y115="N",VLOOKUP(A115,[1]PP!$A:$W,22,FALSE)="N"),"N",IF(OR(Y115="C",VLOOKUP(A115,[1]PP!$A:$W,22,FALSE)="C"),"C",IF(OR(Y115="DZO",VLOOKUP(A115,[1]PP!$A:$W,22,FALSE)="DZO"),"DZO",IF(OR(Y115="mise",Y115="disp.",Y115="končí",Y115="DSC",VLOOKUP(A115,[1]PP!$A:$W,22,FALSE)="mise",VLOOKUP(A115,[1]PP!$A:$W,22,FALSE)="disp.",VLOOKUP(A115,[1]PP!$A:$W,22,FALSE)="končí",VLOOKUP(A115,[1]PP!$A:$W,22,FALSE)="DSC"),"jiné",IF(OR(Y115=4,VLOOKUP(A115,[1]PP!$A:$W,22,FALSE)=4),4,IF(OR(Y115=3,VLOOKUP(A115,[1]PP!$A:$W,22,FALSE)=3),3,IF(OR(Y115=2,VLOOKUP(A115,[1]PP!$A:$W,22,FALSE)=2),2,IF(AND(Y115=1,VLOOKUP(A115,[1]PP!$A:$W,22,FALSE)=1),1)))))))))))</f>
        <v/>
      </c>
      <c r="Y115" s="28" t="str">
        <f>IF(COUNTIF(B115:G115,"")&gt;0,"",IF(COUNTIF([1]PP!$A:$A,A115)=0,"neni v PP",IF(VLOOKUP(A115,[1]PP!$A:$W,8,FALSE)="odešel","odešel",IF(F115="","",IF(J115="",IF(OR(T115=4,W115=4),4,IF(AND(T115="N",W115="N"),"N",IF(OR(T115="N",W115="N"),4,ROUND(AVERAGE(T115,W115),0)))),J115)))))</f>
        <v/>
      </c>
      <c r="Z115" s="29" t="str">
        <f>IF(COUNTIF(B115:G115,"")=0,IF(X115="neni v PP",CONCATENATE("ID: &lt;",A115,"&gt; se neshoduje s žádným IDem v kartě PP"),IF(COUNTIF($A:$A,A115)&gt;1,CONCATENATE("ID: &lt;",A115,"&gt; se v kartě VP opakuje. Je nutné tyto IDy od sebe odlišit, např. mezerou za příjmením."),IF(COUNTIF([1]PP!A:A,A115)&gt;1,CONCATENATE("ID: &lt;",A115,"&gt; se v kartě PP opakuje. Je nutné tyto IDy od sebe odlišit, např. mezerou za příjmením."),IF(VLOOKUP(A115,[1]PP!$A:$W,5,FALSE)&lt;&gt;E115,CONCATENATE($E$4," &lt;",E115,"&gt; se neshoduje s jednotkou v kartě PP"," &lt;",VLOOKUP(A115,[1]PP!$A:$W,5,FALSE),"&gt;"),IF(AND(COUNTIF(K115:O115,"")&lt;5,J115="",I115=""),CONCATENATE("Doplň: ",$I$4),IF(AND(YEAR(I115)&lt;&gt;$E$2,COUNTIF(I115,"")=0),CONCATENATE("špatně uveden &lt;",$D$2,"&gt; nebo &lt;",$I$4,"&gt;"),IF(OR(AND(OR(COUNTIF(C115,"*a"),COUNTIF(C115,"*ie"),COUNTIF(C115,"*ine"),COUNTIF(D115,"*Á")),F115="muž"),AND(AND(COUNTIF(C115,"&lt;&gt;"&amp;"*a"),COUNTIF(C115,"&lt;&gt;"&amp;"*ie"),COUNTIF(C115,"&lt;&gt;"&amp;"*ine"),COUNTIF(D115,"&lt;&gt;"&amp;"*Á")),F115="žena")),CONCATENATE(C115," ",D115," je ",F115,"?"),""))))))),IF(COUNTIF(B115:O115,"")=14,"",CONCATENATE("Doplň: ",IF(B115="",CONCATENATE($B$4,IF(COUNTIF(C115:G115,"")=0,"",", ")),""),IF(C115="",CONCATENATE($C$4,IF(COUNTIF(D115:G115,"")=0,"",", ")),""),IF(D115="",CONCATENATE($D$4,IF(COUNTIF(E115:G115,"")=0,"",", ")),""),IF(E115="",CONCATENATE($E$4,IF(COUNTIF(F115:G115,"")=0,"",", ")),""),IF(F115="",CONCATENATE($F$4,IF(G115="",", ","")),""),IF(G115="",$G$4,""))))</f>
        <v/>
      </c>
      <c r="AA115" s="30"/>
    </row>
    <row r="116" spans="1:27" ht="16" x14ac:dyDescent="0.35">
      <c r="A116" s="14" t="str">
        <f t="shared" si="4"/>
        <v xml:space="preserve">  </v>
      </c>
      <c r="B116" s="15"/>
      <c r="C116" s="31"/>
      <c r="D116" s="31"/>
      <c r="E116" s="17"/>
      <c r="F116" s="18"/>
      <c r="G116" s="32"/>
      <c r="H116" s="33" t="str">
        <f>IF(G116="","",IF(F116="žena",ROMAN(MATCH(G116+1,'[1]Normy VP'!$Y$27:$Y$33,-1)),ROMAN(MATCH(G116+1,'[1]Normy VP'!$Y$19:$Y$25,-1))))</f>
        <v/>
      </c>
      <c r="I116" s="21"/>
      <c r="J116" s="22"/>
      <c r="K116" s="23"/>
      <c r="L116" s="23"/>
      <c r="M116" s="23"/>
      <c r="N116" s="22"/>
      <c r="O116" s="22"/>
      <c r="P116" s="24" t="str">
        <f>IF(OR($J116="",$J116="odešel"),IF(K116="","",IF($F116="žena",CHOOSE(_xlfn.ARABIC($H116),MATCH(K116+1,'[1]Normy VP'!$C$25:$F$25,-1),MATCH(K116+1,'[1]Normy VP'!$C$26:$F$26,-1),MATCH(K116+1,'[1]Normy VP'!$C$27:$F$27,-1),MATCH(K116+1,'[1]Normy VP'!$C$28:$F$28,-1),MATCH(K116+1,'[1]Normy VP'!$C$29:$F$29,-1),"muž"),CHOOSE(_xlfn.ARABIC($H116),MATCH(K116+1,'[1]Normy VP'!$C$10:$F$10,-1),MATCH(K116+1,'[1]Normy VP'!$C$11:$F$11,-1),MATCH(K116+1,'[1]Normy VP'!$C$12:$F$12,-1),MATCH(K116+1,'[1]Normy VP'!$C$13:$F$13,-1),MATCH(K116+1,'[1]Normy VP'!$C$14:$F$14,-1),""))),"O")</f>
        <v/>
      </c>
      <c r="Q116" s="24" t="str">
        <f>IF(OR($J116="",$J116="odešel"),IF($F116="žena","",IF(L116="","",(CHOOSE(_xlfn.ARABIC($H116),MATCH(L116+1,'[1]Normy VP'!$G$10:$J$10,-1),MATCH(L116+1,'[1]Normy VP'!$G$11:$J$11,-1),MATCH(L116+1,'[1]Normy VP'!$G$12:$J$12,-1),MATCH(L116+1,'[1]Normy VP'!$G$13:$J$13,-1),MATCH(L116+1,'[1]Normy VP'!$G$14:$J$14,-1),"")))),"O")</f>
        <v/>
      </c>
      <c r="R116" s="34" t="str">
        <f t="shared" si="5"/>
        <v>N</v>
      </c>
      <c r="S116" s="24" t="str">
        <f>IF(OR($J116="",$J116="odešel"),IF(M116="","N",IF($F116="žena",CHOOSE(_xlfn.ARABIC($H116),MATCH(M116+1,'[1]Normy VP'!$G$25:$J$25,-1),MATCH(M116+1,'[1]Normy VP'!$G$26:$J$26,-1),MATCH(M116+1,'[1]Normy VP'!$G$27:$J$27,-1),MATCH(M116+1,'[1]Normy VP'!$G$28:$J$28,-1),MATCH(M116+1,'[1]Normy VP'!$G$29:$J$29,-1),"muž"),(CHOOSE(_xlfn.ARABIC($H116),MATCH(M116+1,'[1]Normy VP'!$K$10:$N$10,-1),MATCH(M116+1,'[1]Normy VP'!$K$11:$N$11,-1),MATCH(M116+1,'[1]Normy VP'!$K$12:$N$12,-1),MATCH(M116+1,'[1]Normy VP'!$K$13:$N$13,-1),MATCH(M116+1,'[1]Normy VP'!$K$14:$N$14,-1),"")))),"O")</f>
        <v>N</v>
      </c>
      <c r="T116" s="34" t="str">
        <f t="shared" si="6"/>
        <v>N</v>
      </c>
      <c r="U116" s="24" t="str">
        <f>IF(OR($J116="",$J116="odešel"),IF(N116="","N",IF($F116="žena",CHOOSE(_xlfn.ARABIC($H116),MATCH(N116+1,'[1]Normy VP'!$K$25:$N$25,-1),MATCH(N116+1,'[1]Normy VP'!$K$26:$N$26,-1),MATCH(N116+1,'[1]Normy VP'!$K$27:$N$27,-1),MATCH(N116+1,'[1]Normy VP'!$K$28:$N$28,-1),MATCH(N116+1,'[1]Normy VP'!$K$29:$N$29,-1),MATCH(N116+1,'[1]Normy VP'!$K$30:$N$30,-1)),CHOOSE(_xlfn.ARABIC($H116),MATCH(N116+1,'[1]Normy VP'!$O$10:$R$10,-1),MATCH(N116+1,'[1]Normy VP'!$O$11:$R$11,-1),MATCH(N116+1,'[1]Normy VP'!$O$12:$R$12,-1),MATCH(N116+1,'[1]Normy VP'!$O$13:$R$13,-1),MATCH(N116+1,'[1]Normy VP'!$O$14:$R$14,-1),MATCH(N116+1,'[1]Normy VP'!$O$15:$R$15,-1)))),"O")</f>
        <v>N</v>
      </c>
      <c r="V116" s="26" t="str">
        <f>IF(OR($J116="",$J116="odešel"),IF(O116="","N",IF($F116="žena",CHOOSE(_xlfn.ARABIC($H116),MATCH(O116-1,'[1]Normy VP'!$O$25:$R$25),MATCH(O116-1,'[1]Normy VP'!$O$26:$R$26),MATCH(O116-1,'[1]Normy VP'!$O$27:$R$27),MATCH(O116-1,'[1]Normy VP'!$O$28:$R$28),MATCH(O116-1,'[1]Normy VP'!$O$29:$R$29),MATCH(O116-1,'[1]Normy VP'!$O$30:$R$30)),CHOOSE(_xlfn.ARABIC($H116),MATCH(O116-1,'[1]Normy VP'!$S$10:$V$10),MATCH(O116-1,'[1]Normy VP'!$S$11:$V$11),MATCH(O116-1,'[1]Normy VP'!$S$12:$V$12),MATCH(O116-1,'[1]Normy VP'!$S$13:$V$13),MATCH(O116-1,'[1]Normy VP'!$S$14:$V$14),MATCH(O116-1,'[1]Normy VP'!$S$15:$V$15)))),"O")</f>
        <v>N</v>
      </c>
      <c r="W116" s="34" t="str">
        <f t="shared" si="7"/>
        <v>N</v>
      </c>
      <c r="X116" s="27" t="str">
        <f>IF(COUNTIF(B116:G116,"")&gt;0,"",IF(COUNTIF([1]PP!$A:$A,A116)=0,"neni v PP",IF(OR(Y116="odešel",VLOOKUP(A116,[1]PP!$A:$W,22,FALSE)="odešel"),"odešel",IF(OR(Y116="N",VLOOKUP(A116,[1]PP!$A:$W,22,FALSE)="N"),"N",IF(OR(Y116="C",VLOOKUP(A116,[1]PP!$A:$W,22,FALSE)="C"),"C",IF(OR(Y116="DZO",VLOOKUP(A116,[1]PP!$A:$W,22,FALSE)="DZO"),"DZO",IF(OR(Y116="mise",Y116="disp.",Y116="končí",Y116="DSC",VLOOKUP(A116,[1]PP!$A:$W,22,FALSE)="mise",VLOOKUP(A116,[1]PP!$A:$W,22,FALSE)="disp.",VLOOKUP(A116,[1]PP!$A:$W,22,FALSE)="končí",VLOOKUP(A116,[1]PP!$A:$W,22,FALSE)="DSC"),"jiné",IF(OR(Y116=4,VLOOKUP(A116,[1]PP!$A:$W,22,FALSE)=4),4,IF(OR(Y116=3,VLOOKUP(A116,[1]PP!$A:$W,22,FALSE)=3),3,IF(OR(Y116=2,VLOOKUP(A116,[1]PP!$A:$W,22,FALSE)=2),2,IF(AND(Y116=1,VLOOKUP(A116,[1]PP!$A:$W,22,FALSE)=1),1)))))))))))</f>
        <v/>
      </c>
      <c r="Y116" s="28" t="str">
        <f>IF(COUNTIF(B116:G116,"")&gt;0,"",IF(COUNTIF([1]PP!$A:$A,A116)=0,"neni v PP",IF(VLOOKUP(A116,[1]PP!$A:$W,8,FALSE)="odešel","odešel",IF(F116="","",IF(J116="",IF(OR(T116=4,W116=4),4,IF(AND(T116="N",W116="N"),"N",IF(OR(T116="N",W116="N"),4,ROUND(AVERAGE(T116,W116),0)))),J116)))))</f>
        <v/>
      </c>
      <c r="Z116" s="29"/>
      <c r="AA116" s="30"/>
    </row>
    <row r="117" spans="1:27" ht="16" x14ac:dyDescent="0.35">
      <c r="A117" s="14" t="str">
        <f t="shared" si="4"/>
        <v xml:space="preserve">  </v>
      </c>
      <c r="B117" s="15"/>
      <c r="C117" s="31"/>
      <c r="D117" s="31"/>
      <c r="E117" s="17"/>
      <c r="F117" s="18"/>
      <c r="G117" s="32"/>
      <c r="H117" s="33" t="str">
        <f>IF(G117="","",IF(F117="žena",ROMAN(MATCH(G117+1,'[1]Normy VP'!$Y$27:$Y$33,-1)),ROMAN(MATCH(G117+1,'[1]Normy VP'!$Y$19:$Y$25,-1))))</f>
        <v/>
      </c>
      <c r="I117" s="21"/>
      <c r="J117" s="22"/>
      <c r="K117" s="23"/>
      <c r="L117" s="23"/>
      <c r="M117" s="23"/>
      <c r="N117" s="22"/>
      <c r="O117" s="22"/>
      <c r="P117" s="24" t="str">
        <f>IF(OR($J117="",$J117="odešel"),IF(K117="","",IF($F117="žena",CHOOSE(_xlfn.ARABIC($H117),MATCH(K117+1,'[1]Normy VP'!$C$25:$F$25,-1),MATCH(K117+1,'[1]Normy VP'!$C$26:$F$26,-1),MATCH(K117+1,'[1]Normy VP'!$C$27:$F$27,-1),MATCH(K117+1,'[1]Normy VP'!$C$28:$F$28,-1),MATCH(K117+1,'[1]Normy VP'!$C$29:$F$29,-1),"muž"),CHOOSE(_xlfn.ARABIC($H117),MATCH(K117+1,'[1]Normy VP'!$C$10:$F$10,-1),MATCH(K117+1,'[1]Normy VP'!$C$11:$F$11,-1),MATCH(K117+1,'[1]Normy VP'!$C$12:$F$12,-1),MATCH(K117+1,'[1]Normy VP'!$C$13:$F$13,-1),MATCH(K117+1,'[1]Normy VP'!$C$14:$F$14,-1),""))),"O")</f>
        <v/>
      </c>
      <c r="Q117" s="24" t="str">
        <f>IF(OR($J117="",$J117="odešel"),IF($F117="žena","",IF(L117="","",(CHOOSE(_xlfn.ARABIC($H117),MATCH(L117+1,'[1]Normy VP'!$G$10:$J$10,-1),MATCH(L117+1,'[1]Normy VP'!$G$11:$J$11,-1),MATCH(L117+1,'[1]Normy VP'!$G$12:$J$12,-1),MATCH(L117+1,'[1]Normy VP'!$G$13:$J$13,-1),MATCH(L117+1,'[1]Normy VP'!$G$14:$J$14,-1),"")))),"O")</f>
        <v/>
      </c>
      <c r="R117" s="34" t="str">
        <f t="shared" si="5"/>
        <v>N</v>
      </c>
      <c r="S117" s="24" t="str">
        <f>IF(OR($J117="",$J117="odešel"),IF(M117="","N",IF($F117="žena",CHOOSE(_xlfn.ARABIC($H117),MATCH(M117+1,'[1]Normy VP'!$G$25:$J$25,-1),MATCH(M117+1,'[1]Normy VP'!$G$26:$J$26,-1),MATCH(M117+1,'[1]Normy VP'!$G$27:$J$27,-1),MATCH(M117+1,'[1]Normy VP'!$G$28:$J$28,-1),MATCH(M117+1,'[1]Normy VP'!$G$29:$J$29,-1),"muž"),(CHOOSE(_xlfn.ARABIC($H117),MATCH(M117+1,'[1]Normy VP'!$K$10:$N$10,-1),MATCH(M117+1,'[1]Normy VP'!$K$11:$N$11,-1),MATCH(M117+1,'[1]Normy VP'!$K$12:$N$12,-1),MATCH(M117+1,'[1]Normy VP'!$K$13:$N$13,-1),MATCH(M117+1,'[1]Normy VP'!$K$14:$N$14,-1),"")))),"O")</f>
        <v>N</v>
      </c>
      <c r="T117" s="34" t="str">
        <f t="shared" si="6"/>
        <v>N</v>
      </c>
      <c r="U117" s="24" t="str">
        <f>IF(OR($J117="",$J117="odešel"),IF(N117="","N",IF($F117="žena",CHOOSE(_xlfn.ARABIC($H117),MATCH(N117+1,'[1]Normy VP'!$K$25:$N$25,-1),MATCH(N117+1,'[1]Normy VP'!$K$26:$N$26,-1),MATCH(N117+1,'[1]Normy VP'!$K$27:$N$27,-1),MATCH(N117+1,'[1]Normy VP'!$K$28:$N$28,-1),MATCH(N117+1,'[1]Normy VP'!$K$29:$N$29,-1),MATCH(N117+1,'[1]Normy VP'!$K$30:$N$30,-1)),CHOOSE(_xlfn.ARABIC($H117),MATCH(N117+1,'[1]Normy VP'!$O$10:$R$10,-1),MATCH(N117+1,'[1]Normy VP'!$O$11:$R$11,-1),MATCH(N117+1,'[1]Normy VP'!$O$12:$R$12,-1),MATCH(N117+1,'[1]Normy VP'!$O$13:$R$13,-1),MATCH(N117+1,'[1]Normy VP'!$O$14:$R$14,-1),MATCH(N117+1,'[1]Normy VP'!$O$15:$R$15,-1)))),"O")</f>
        <v>N</v>
      </c>
      <c r="V117" s="26" t="str">
        <f>IF(OR($J117="",$J117="odešel"),IF(O117="","N",IF($F117="žena",CHOOSE(_xlfn.ARABIC($H117),MATCH(O117-1,'[1]Normy VP'!$O$25:$R$25),MATCH(O117-1,'[1]Normy VP'!$O$26:$R$26),MATCH(O117-1,'[1]Normy VP'!$O$27:$R$27),MATCH(O117-1,'[1]Normy VP'!$O$28:$R$28),MATCH(O117-1,'[1]Normy VP'!$O$29:$R$29),MATCH(O117-1,'[1]Normy VP'!$O$30:$R$30)),CHOOSE(_xlfn.ARABIC($H117),MATCH(O117-1,'[1]Normy VP'!$S$10:$V$10),MATCH(O117-1,'[1]Normy VP'!$S$11:$V$11),MATCH(O117-1,'[1]Normy VP'!$S$12:$V$12),MATCH(O117-1,'[1]Normy VP'!$S$13:$V$13),MATCH(O117-1,'[1]Normy VP'!$S$14:$V$14),MATCH(O117-1,'[1]Normy VP'!$S$15:$V$15)))),"O")</f>
        <v>N</v>
      </c>
      <c r="W117" s="34" t="str">
        <f t="shared" si="7"/>
        <v>N</v>
      </c>
      <c r="X117" s="27" t="str">
        <f>IF(COUNTIF(B117:G117,"")&gt;0,"",IF(COUNTIF([1]PP!$A:$A,A117)=0,"neni v PP",IF(OR(Y117="odešel",VLOOKUP(A117,[1]PP!$A:$W,22,FALSE)="odešel"),"odešel",IF(OR(Y117="N",VLOOKUP(A117,[1]PP!$A:$W,22,FALSE)="N"),"N",IF(OR(Y117="C",VLOOKUP(A117,[1]PP!$A:$W,22,FALSE)="C"),"C",IF(OR(Y117="DZO",VLOOKUP(A117,[1]PP!$A:$W,22,FALSE)="DZO"),"DZO",IF(OR(Y117="mise",Y117="disp.",Y117="končí",Y117="DSC",VLOOKUP(A117,[1]PP!$A:$W,22,FALSE)="mise",VLOOKUP(A117,[1]PP!$A:$W,22,FALSE)="disp.",VLOOKUP(A117,[1]PP!$A:$W,22,FALSE)="končí",VLOOKUP(A117,[1]PP!$A:$W,22,FALSE)="DSC"),"jiné",IF(OR(Y117=4,VLOOKUP(A117,[1]PP!$A:$W,22,FALSE)=4),4,IF(OR(Y117=3,VLOOKUP(A117,[1]PP!$A:$W,22,FALSE)=3),3,IF(OR(Y117=2,VLOOKUP(A117,[1]PP!$A:$W,22,FALSE)=2),2,IF(AND(Y117=1,VLOOKUP(A117,[1]PP!$A:$W,22,FALSE)=1),1)))))))))))</f>
        <v/>
      </c>
      <c r="Y117" s="28" t="str">
        <f>IF(COUNTIF(B117:G117,"")&gt;0,"",IF(COUNTIF([1]PP!$A:$A,A117)=0,"neni v PP",IF(VLOOKUP(A117,[1]PP!$A:$W,8,FALSE)="odešel","odešel",IF(F117="","",IF(J117="",IF(OR(T117=4,W117=4),4,IF(AND(T117="N",W117="N"),"N",IF(OR(T117="N",W117="N"),4,ROUND(AVERAGE(T117,W117),0)))),J117)))))</f>
        <v/>
      </c>
      <c r="Z117" s="29" t="str">
        <f>IF(COUNTIF(B117:G117,"")=0,IF(X117="neni v PP",CONCATENATE("ID: &lt;",A117,"&gt; se neshoduje s žádným IDem v kartě PP"),IF(COUNTIF($A:$A,A117)&gt;1,CONCATENATE("ID: &lt;",A117,"&gt; se v kartě VP opakuje. Je nutné tyto IDy od sebe odlišit, např. mezerou za příjmením."),IF(COUNTIF([1]PP!A:A,A117)&gt;1,CONCATENATE("ID: &lt;",A117,"&gt; se v kartě PP opakuje. Je nutné tyto IDy od sebe odlišit, např. mezerou za příjmením."),IF(VLOOKUP(A117,[1]PP!$A:$W,5,FALSE)&lt;&gt;E117,CONCATENATE($E$4," &lt;",E117,"&gt; se neshoduje s jednotkou v kartě PP"," &lt;",VLOOKUP(A117,[1]PP!$A:$W,5,FALSE),"&gt;"),IF(AND(COUNTIF(K117:O117,"")&lt;5,J117="",I117=""),CONCATENATE("Doplň: ",$I$4),IF(AND(YEAR(I117)&lt;&gt;$E$2,COUNTIF(I117,"")=0),CONCATENATE("špatně uveden &lt;",$D$2,"&gt; nebo &lt;",$I$4,"&gt;"),IF(OR(AND(OR(COUNTIF(C117,"*a"),COUNTIF(C117,"*ie"),COUNTIF(C117,"*ine"),COUNTIF(D117,"*Á")),F117="muž"),AND(AND(COUNTIF(C117,"&lt;&gt;"&amp;"*a"),COUNTIF(C117,"&lt;&gt;"&amp;"*ie"),COUNTIF(C117,"&lt;&gt;"&amp;"*ine"),COUNTIF(D117,"&lt;&gt;"&amp;"*Á")),F117="žena")),CONCATENATE(C117," ",D117," je ",F117,"?"),""))))))),IF(COUNTIF(B117:O117,"")=14,"",CONCATENATE("Doplň: ",IF(B117="",CONCATENATE($B$4,IF(COUNTIF(C117:G117,"")=0,"",", ")),""),IF(C117="",CONCATENATE($C$4,IF(COUNTIF(D117:G117,"")=0,"",", ")),""),IF(D117="",CONCATENATE($D$4,IF(COUNTIF(E117:G117,"")=0,"",", ")),""),IF(E117="",CONCATENATE($E$4,IF(COUNTIF(F117:G117,"")=0,"",", ")),""),IF(F117="",CONCATENATE($F$4,IF(G117="",", ","")),""),IF(G117="",$G$4,""))))</f>
        <v/>
      </c>
      <c r="AA117" s="30"/>
    </row>
    <row r="118" spans="1:27" ht="16" x14ac:dyDescent="0.35">
      <c r="A118" s="14" t="str">
        <f t="shared" si="4"/>
        <v xml:space="preserve">  </v>
      </c>
      <c r="B118" s="15"/>
      <c r="C118" s="31"/>
      <c r="D118" s="31"/>
      <c r="E118" s="17"/>
      <c r="F118" s="18"/>
      <c r="G118" s="32"/>
      <c r="H118" s="33" t="str">
        <f>IF(G118="","",IF(F118="žena",ROMAN(MATCH(G118+1,'[1]Normy VP'!$Y$27:$Y$33,-1)),ROMAN(MATCH(G118+1,'[1]Normy VP'!$Y$19:$Y$25,-1))))</f>
        <v/>
      </c>
      <c r="I118" s="21"/>
      <c r="J118" s="22"/>
      <c r="K118" s="23"/>
      <c r="L118" s="23"/>
      <c r="M118" s="23"/>
      <c r="N118" s="22"/>
      <c r="O118" s="22"/>
      <c r="P118" s="24" t="str">
        <f>IF(OR($J118="",$J118="odešel"),IF(K118="","",IF($F118="žena",CHOOSE(_xlfn.ARABIC($H118),MATCH(K118+1,'[1]Normy VP'!$C$25:$F$25,-1),MATCH(K118+1,'[1]Normy VP'!$C$26:$F$26,-1),MATCH(K118+1,'[1]Normy VP'!$C$27:$F$27,-1),MATCH(K118+1,'[1]Normy VP'!$C$28:$F$28,-1),MATCH(K118+1,'[1]Normy VP'!$C$29:$F$29,-1),"muž"),CHOOSE(_xlfn.ARABIC($H118),MATCH(K118+1,'[1]Normy VP'!$C$10:$F$10,-1),MATCH(K118+1,'[1]Normy VP'!$C$11:$F$11,-1),MATCH(K118+1,'[1]Normy VP'!$C$12:$F$12,-1),MATCH(K118+1,'[1]Normy VP'!$C$13:$F$13,-1),MATCH(K118+1,'[1]Normy VP'!$C$14:$F$14,-1),""))),"O")</f>
        <v/>
      </c>
      <c r="Q118" s="24" t="str">
        <f>IF(OR($J118="",$J118="odešel"),IF($F118="žena","",IF(L118="","",(CHOOSE(_xlfn.ARABIC($H118),MATCH(L118+1,'[1]Normy VP'!$G$10:$J$10,-1),MATCH(L118+1,'[1]Normy VP'!$G$11:$J$11,-1),MATCH(L118+1,'[1]Normy VP'!$G$12:$J$12,-1),MATCH(L118+1,'[1]Normy VP'!$G$13:$J$13,-1),MATCH(L118+1,'[1]Normy VP'!$G$14:$J$14,-1),"")))),"O")</f>
        <v/>
      </c>
      <c r="R118" s="34" t="str">
        <f t="shared" si="5"/>
        <v>N</v>
      </c>
      <c r="S118" s="24" t="str">
        <f>IF(OR($J118="",$J118="odešel"),IF(M118="","N",IF($F118="žena",CHOOSE(_xlfn.ARABIC($H118),MATCH(M118+1,'[1]Normy VP'!$G$25:$J$25,-1),MATCH(M118+1,'[1]Normy VP'!$G$26:$J$26,-1),MATCH(M118+1,'[1]Normy VP'!$G$27:$J$27,-1),MATCH(M118+1,'[1]Normy VP'!$G$28:$J$28,-1),MATCH(M118+1,'[1]Normy VP'!$G$29:$J$29,-1),"muž"),(CHOOSE(_xlfn.ARABIC($H118),MATCH(M118+1,'[1]Normy VP'!$K$10:$N$10,-1),MATCH(M118+1,'[1]Normy VP'!$K$11:$N$11,-1),MATCH(M118+1,'[1]Normy VP'!$K$12:$N$12,-1),MATCH(M118+1,'[1]Normy VP'!$K$13:$N$13,-1),MATCH(M118+1,'[1]Normy VP'!$K$14:$N$14,-1),"")))),"O")</f>
        <v>N</v>
      </c>
      <c r="T118" s="34" t="str">
        <f t="shared" si="6"/>
        <v>N</v>
      </c>
      <c r="U118" s="24" t="str">
        <f>IF(OR($J118="",$J118="odešel"),IF(N118="","N",IF($F118="žena",CHOOSE(_xlfn.ARABIC($H118),MATCH(N118+1,'[1]Normy VP'!$K$25:$N$25,-1),MATCH(N118+1,'[1]Normy VP'!$K$26:$N$26,-1),MATCH(N118+1,'[1]Normy VP'!$K$27:$N$27,-1),MATCH(N118+1,'[1]Normy VP'!$K$28:$N$28,-1),MATCH(N118+1,'[1]Normy VP'!$K$29:$N$29,-1),MATCH(N118+1,'[1]Normy VP'!$K$30:$N$30,-1)),CHOOSE(_xlfn.ARABIC($H118),MATCH(N118+1,'[1]Normy VP'!$O$10:$R$10,-1),MATCH(N118+1,'[1]Normy VP'!$O$11:$R$11,-1),MATCH(N118+1,'[1]Normy VP'!$O$12:$R$12,-1),MATCH(N118+1,'[1]Normy VP'!$O$13:$R$13,-1),MATCH(N118+1,'[1]Normy VP'!$O$14:$R$14,-1),MATCH(N118+1,'[1]Normy VP'!$O$15:$R$15,-1)))),"O")</f>
        <v>N</v>
      </c>
      <c r="V118" s="26" t="str">
        <f>IF(OR($J118="",$J118="odešel"),IF(O118="","N",IF($F118="žena",CHOOSE(_xlfn.ARABIC($H118),MATCH(O118-1,'[1]Normy VP'!$O$25:$R$25),MATCH(O118-1,'[1]Normy VP'!$O$26:$R$26),MATCH(O118-1,'[1]Normy VP'!$O$27:$R$27),MATCH(O118-1,'[1]Normy VP'!$O$28:$R$28),MATCH(O118-1,'[1]Normy VP'!$O$29:$R$29),MATCH(O118-1,'[1]Normy VP'!$O$30:$R$30)),CHOOSE(_xlfn.ARABIC($H118),MATCH(O118-1,'[1]Normy VP'!$S$10:$V$10),MATCH(O118-1,'[1]Normy VP'!$S$11:$V$11),MATCH(O118-1,'[1]Normy VP'!$S$12:$V$12),MATCH(O118-1,'[1]Normy VP'!$S$13:$V$13),MATCH(O118-1,'[1]Normy VP'!$S$14:$V$14),MATCH(O118-1,'[1]Normy VP'!$S$15:$V$15)))),"O")</f>
        <v>N</v>
      </c>
      <c r="W118" s="34" t="str">
        <f t="shared" si="7"/>
        <v>N</v>
      </c>
      <c r="X118" s="27" t="str">
        <f>IF(COUNTIF(B118:G118,"")&gt;0,"",IF(COUNTIF([1]PP!$A:$A,A118)=0,"neni v PP",IF(OR(Y118="odešel",VLOOKUP(A118,[1]PP!$A:$W,22,FALSE)="odešel"),"odešel",IF(OR(Y118="N",VLOOKUP(A118,[1]PP!$A:$W,22,FALSE)="N"),"N",IF(OR(Y118="C",VLOOKUP(A118,[1]PP!$A:$W,22,FALSE)="C"),"C",IF(OR(Y118="DZO",VLOOKUP(A118,[1]PP!$A:$W,22,FALSE)="DZO"),"DZO",IF(OR(Y118="mise",Y118="disp.",Y118="končí",Y118="DSC",VLOOKUP(A118,[1]PP!$A:$W,22,FALSE)="mise",VLOOKUP(A118,[1]PP!$A:$W,22,FALSE)="disp.",VLOOKUP(A118,[1]PP!$A:$W,22,FALSE)="končí",VLOOKUP(A118,[1]PP!$A:$W,22,FALSE)="DSC"),"jiné",IF(OR(Y118=4,VLOOKUP(A118,[1]PP!$A:$W,22,FALSE)=4),4,IF(OR(Y118=3,VLOOKUP(A118,[1]PP!$A:$W,22,FALSE)=3),3,IF(OR(Y118=2,VLOOKUP(A118,[1]PP!$A:$W,22,FALSE)=2),2,IF(AND(Y118=1,VLOOKUP(A118,[1]PP!$A:$W,22,FALSE)=1),1)))))))))))</f>
        <v/>
      </c>
      <c r="Y118" s="28" t="str">
        <f>IF(COUNTIF(B118:G118,"")&gt;0,"",IF(COUNTIF([1]PP!$A:$A,A118)=0,"neni v PP",IF(VLOOKUP(A118,[1]PP!$A:$W,8,FALSE)="odešel","odešel",IF(F118="","",IF(J118="",IF(OR(T118=4,W118=4),4,IF(AND(T118="N",W118="N"),"N",IF(OR(T118="N",W118="N"),4,ROUND(AVERAGE(T118,W118),0)))),J118)))))</f>
        <v/>
      </c>
      <c r="Z118" s="29" t="str">
        <f>IF(COUNTIF(B118:G118,"")=0,IF(X118="neni v PP",CONCATENATE("ID: &lt;",A118,"&gt; se neshoduje s žádným IDem v kartě PP"),IF(COUNTIF($A:$A,A118)&gt;1,CONCATENATE("ID: &lt;",A118,"&gt; se v kartě VP opakuje. Je nutné tyto IDy od sebe odlišit, např. mezerou za příjmením."),IF(COUNTIF([1]PP!A:A,A118)&gt;1,CONCATENATE("ID: &lt;",A118,"&gt; se v kartě PP opakuje. Je nutné tyto IDy od sebe odlišit, např. mezerou za příjmením."),IF(VLOOKUP(A118,[1]PP!$A:$W,5,FALSE)&lt;&gt;E118,CONCATENATE($E$4," &lt;",E118,"&gt; se neshoduje s jednotkou v kartě PP"," &lt;",VLOOKUP(A118,[1]PP!$A:$W,5,FALSE),"&gt;"),IF(AND(COUNTIF(K118:O118,"")&lt;5,J118="",I118=""),CONCATENATE("Doplň: ",$I$4),IF(AND(YEAR(I118)&lt;&gt;$E$2,COUNTIF(I118,"")=0),CONCATENATE("špatně uveden &lt;",$D$2,"&gt; nebo &lt;",$I$4,"&gt;"),IF(OR(AND(OR(COUNTIF(C118,"*a"),COUNTIF(C118,"*ie"),COUNTIF(C118,"*ine"),COUNTIF(D118,"*Á")),F118="muž"),AND(AND(COUNTIF(C118,"&lt;&gt;"&amp;"*a"),COUNTIF(C118,"&lt;&gt;"&amp;"*ie"),COUNTIF(C118,"&lt;&gt;"&amp;"*ine"),COUNTIF(D118,"&lt;&gt;"&amp;"*Á")),F118="žena")),CONCATENATE(C118," ",D118," je ",F118,"?"),""))))))),IF(COUNTIF(B118:O118,"")=14,"",CONCATENATE("Doplň: ",IF(B118="",CONCATENATE($B$4,IF(COUNTIF(C118:G118,"")=0,"",", ")),""),IF(C118="",CONCATENATE($C$4,IF(COUNTIF(D118:G118,"")=0,"",", ")),""),IF(D118="",CONCATENATE($D$4,IF(COUNTIF(E118:G118,"")=0,"",", ")),""),IF(E118="",CONCATENATE($E$4,IF(COUNTIF(F118:G118,"")=0,"",", ")),""),IF(F118="",CONCATENATE($F$4,IF(G118="",", ","")),""),IF(G118="",$G$4,""))))</f>
        <v/>
      </c>
      <c r="AA118" s="30"/>
    </row>
    <row r="119" spans="1:27" ht="16" x14ac:dyDescent="0.35">
      <c r="A119" s="14" t="str">
        <f t="shared" si="4"/>
        <v xml:space="preserve">  </v>
      </c>
      <c r="B119" s="15"/>
      <c r="C119" s="31"/>
      <c r="D119" s="31"/>
      <c r="E119" s="17"/>
      <c r="F119" s="18"/>
      <c r="G119" s="32"/>
      <c r="H119" s="33" t="str">
        <f>IF(G119="","",IF(F119="žena",ROMAN(MATCH(G119+1,'[1]Normy VP'!$Y$27:$Y$33,-1)),ROMAN(MATCH(G119+1,'[1]Normy VP'!$Y$19:$Y$25,-1))))</f>
        <v/>
      </c>
      <c r="I119" s="21"/>
      <c r="J119" s="22"/>
      <c r="K119" s="23"/>
      <c r="L119" s="23"/>
      <c r="M119" s="23"/>
      <c r="N119" s="22"/>
      <c r="O119" s="22"/>
      <c r="P119" s="24" t="str">
        <f>IF(OR($J119="",$J119="odešel"),IF(K119="","",IF($F119="žena",CHOOSE(_xlfn.ARABIC($H119),MATCH(K119+1,'[1]Normy VP'!$C$25:$F$25,-1),MATCH(K119+1,'[1]Normy VP'!$C$26:$F$26,-1),MATCH(K119+1,'[1]Normy VP'!$C$27:$F$27,-1),MATCH(K119+1,'[1]Normy VP'!$C$28:$F$28,-1),MATCH(K119+1,'[1]Normy VP'!$C$29:$F$29,-1),"muž"),CHOOSE(_xlfn.ARABIC($H119),MATCH(K119+1,'[1]Normy VP'!$C$10:$F$10,-1),MATCH(K119+1,'[1]Normy VP'!$C$11:$F$11,-1),MATCH(K119+1,'[1]Normy VP'!$C$12:$F$12,-1),MATCH(K119+1,'[1]Normy VP'!$C$13:$F$13,-1),MATCH(K119+1,'[1]Normy VP'!$C$14:$F$14,-1),""))),"O")</f>
        <v/>
      </c>
      <c r="Q119" s="24" t="str">
        <f>IF(OR($J119="",$J119="odešel"),IF($F119="žena","",IF(L119="","",(CHOOSE(_xlfn.ARABIC($H119),MATCH(L119+1,'[1]Normy VP'!$G$10:$J$10,-1),MATCH(L119+1,'[1]Normy VP'!$G$11:$J$11,-1),MATCH(L119+1,'[1]Normy VP'!$G$12:$J$12,-1),MATCH(L119+1,'[1]Normy VP'!$G$13:$J$13,-1),MATCH(L119+1,'[1]Normy VP'!$G$14:$J$14,-1),"")))),"O")</f>
        <v/>
      </c>
      <c r="R119" s="34" t="str">
        <f t="shared" si="5"/>
        <v>N</v>
      </c>
      <c r="S119" s="24" t="str">
        <f>IF(OR($J119="",$J119="odešel"),IF(M119="","N",IF($F119="žena",CHOOSE(_xlfn.ARABIC($H119),MATCH(M119+1,'[1]Normy VP'!$G$25:$J$25,-1),MATCH(M119+1,'[1]Normy VP'!$G$26:$J$26,-1),MATCH(M119+1,'[1]Normy VP'!$G$27:$J$27,-1),MATCH(M119+1,'[1]Normy VP'!$G$28:$J$28,-1),MATCH(M119+1,'[1]Normy VP'!$G$29:$J$29,-1),"muž"),(CHOOSE(_xlfn.ARABIC($H119),MATCH(M119+1,'[1]Normy VP'!$K$10:$N$10,-1),MATCH(M119+1,'[1]Normy VP'!$K$11:$N$11,-1),MATCH(M119+1,'[1]Normy VP'!$K$12:$N$12,-1),MATCH(M119+1,'[1]Normy VP'!$K$13:$N$13,-1),MATCH(M119+1,'[1]Normy VP'!$K$14:$N$14,-1),"")))),"O")</f>
        <v>N</v>
      </c>
      <c r="T119" s="34" t="str">
        <f t="shared" si="6"/>
        <v>N</v>
      </c>
      <c r="U119" s="24" t="str">
        <f>IF(OR($J119="",$J119="odešel"),IF(N119="","N",IF($F119="žena",CHOOSE(_xlfn.ARABIC($H119),MATCH(N119+1,'[1]Normy VP'!$K$25:$N$25,-1),MATCH(N119+1,'[1]Normy VP'!$K$26:$N$26,-1),MATCH(N119+1,'[1]Normy VP'!$K$27:$N$27,-1),MATCH(N119+1,'[1]Normy VP'!$K$28:$N$28,-1),MATCH(N119+1,'[1]Normy VP'!$K$29:$N$29,-1),MATCH(N119+1,'[1]Normy VP'!$K$30:$N$30,-1)),CHOOSE(_xlfn.ARABIC($H119),MATCH(N119+1,'[1]Normy VP'!$O$10:$R$10,-1),MATCH(N119+1,'[1]Normy VP'!$O$11:$R$11,-1),MATCH(N119+1,'[1]Normy VP'!$O$12:$R$12,-1),MATCH(N119+1,'[1]Normy VP'!$O$13:$R$13,-1),MATCH(N119+1,'[1]Normy VP'!$O$14:$R$14,-1),MATCH(N119+1,'[1]Normy VP'!$O$15:$R$15,-1)))),"O")</f>
        <v>N</v>
      </c>
      <c r="V119" s="26" t="str">
        <f>IF(OR($J119="",$J119="odešel"),IF(O119="","N",IF($F119="žena",CHOOSE(_xlfn.ARABIC($H119),MATCH(O119-1,'[1]Normy VP'!$O$25:$R$25),MATCH(O119-1,'[1]Normy VP'!$O$26:$R$26),MATCH(O119-1,'[1]Normy VP'!$O$27:$R$27),MATCH(O119-1,'[1]Normy VP'!$O$28:$R$28),MATCH(O119-1,'[1]Normy VP'!$O$29:$R$29),MATCH(O119-1,'[1]Normy VP'!$O$30:$R$30)),CHOOSE(_xlfn.ARABIC($H119),MATCH(O119-1,'[1]Normy VP'!$S$10:$V$10),MATCH(O119-1,'[1]Normy VP'!$S$11:$V$11),MATCH(O119-1,'[1]Normy VP'!$S$12:$V$12),MATCH(O119-1,'[1]Normy VP'!$S$13:$V$13),MATCH(O119-1,'[1]Normy VP'!$S$14:$V$14),MATCH(O119-1,'[1]Normy VP'!$S$15:$V$15)))),"O")</f>
        <v>N</v>
      </c>
      <c r="W119" s="34" t="str">
        <f t="shared" si="7"/>
        <v>N</v>
      </c>
      <c r="X119" s="27" t="str">
        <f>IF(COUNTIF(B119:G119,"")&gt;0,"",IF(COUNTIF([1]PP!$A:$A,A119)=0,"neni v PP",IF(OR(Y119="odešel",VLOOKUP(A119,[1]PP!$A:$W,22,FALSE)="odešel"),"odešel",IF(OR(Y119="N",VLOOKUP(A119,[1]PP!$A:$W,22,FALSE)="N"),"N",IF(OR(Y119="C",VLOOKUP(A119,[1]PP!$A:$W,22,FALSE)="C"),"C",IF(OR(Y119="DZO",VLOOKUP(A119,[1]PP!$A:$W,22,FALSE)="DZO"),"DZO",IF(OR(Y119="mise",Y119="disp.",Y119="končí",Y119="DSC",VLOOKUP(A119,[1]PP!$A:$W,22,FALSE)="mise",VLOOKUP(A119,[1]PP!$A:$W,22,FALSE)="disp.",VLOOKUP(A119,[1]PP!$A:$W,22,FALSE)="končí",VLOOKUP(A119,[1]PP!$A:$W,22,FALSE)="DSC"),"jiné",IF(OR(Y119=4,VLOOKUP(A119,[1]PP!$A:$W,22,FALSE)=4),4,IF(OR(Y119=3,VLOOKUP(A119,[1]PP!$A:$W,22,FALSE)=3),3,IF(OR(Y119=2,VLOOKUP(A119,[1]PP!$A:$W,22,FALSE)=2),2,IF(AND(Y119=1,VLOOKUP(A119,[1]PP!$A:$W,22,FALSE)=1),1)))))))))))</f>
        <v/>
      </c>
      <c r="Y119" s="28" t="str">
        <f>IF(COUNTIF(B119:G119,"")&gt;0,"",IF(COUNTIF([1]PP!$A:$A,A119)=0,"neni v PP",IF(VLOOKUP(A119,[1]PP!$A:$W,8,FALSE)="odešel","odešel",IF(F119="","",IF(J119="",IF(OR(T119=4,W119=4),4,IF(AND(T119="N",W119="N"),"N",IF(OR(T119="N",W119="N"),4,ROUND(AVERAGE(T119,W119),0)))),J119)))))</f>
        <v/>
      </c>
      <c r="Z119" s="29" t="str">
        <f>IF(COUNTIF(B119:G119,"")=0,IF(X119="neni v PP",CONCATENATE("ID: &lt;",A119,"&gt; se neshoduje s žádným IDem v kartě PP"),IF(COUNTIF($A:$A,A119)&gt;1,CONCATENATE("ID: &lt;",A119,"&gt; se v kartě VP opakuje. Je nutné tyto IDy od sebe odlišit, např. mezerou za příjmením."),IF(COUNTIF([1]PP!A:A,A119)&gt;1,CONCATENATE("ID: &lt;",A119,"&gt; se v kartě PP opakuje. Je nutné tyto IDy od sebe odlišit, např. mezerou za příjmením."),IF(VLOOKUP(A119,[1]PP!$A:$W,5,FALSE)&lt;&gt;E119,CONCATENATE($E$4," &lt;",E119,"&gt; se neshoduje s jednotkou v kartě PP"," &lt;",VLOOKUP(A119,[1]PP!$A:$W,5,FALSE),"&gt;"),IF(AND(COUNTIF(K119:O119,"")&lt;5,J119="",I119=""),CONCATENATE("Doplň: ",$I$4),IF(AND(YEAR(I119)&lt;&gt;$E$2,COUNTIF(I119,"")=0),CONCATENATE("špatně uveden &lt;",$D$2,"&gt; nebo &lt;",$I$4,"&gt;"),IF(OR(AND(OR(COUNTIF(C119,"*a"),COUNTIF(C119,"*ie"),COUNTIF(C119,"*ine"),COUNTIF(D119,"*Á")),F119="muž"),AND(AND(COUNTIF(C119,"&lt;&gt;"&amp;"*a"),COUNTIF(C119,"&lt;&gt;"&amp;"*ie"),COUNTIF(C119,"&lt;&gt;"&amp;"*ine"),COUNTIF(D119,"&lt;&gt;"&amp;"*Á")),F119="žena")),CONCATENATE(C119," ",D119," je ",F119,"?"),""))))))),IF(COUNTIF(B119:O119,"")=14,"",CONCATENATE("Doplň: ",IF(B119="",CONCATENATE($B$4,IF(COUNTIF(C119:G119,"")=0,"",", ")),""),IF(C119="",CONCATENATE($C$4,IF(COUNTIF(D119:G119,"")=0,"",", ")),""),IF(D119="",CONCATENATE($D$4,IF(COUNTIF(E119:G119,"")=0,"",", ")),""),IF(E119="",CONCATENATE($E$4,IF(COUNTIF(F119:G119,"")=0,"",", ")),""),IF(F119="",CONCATENATE($F$4,IF(G119="",", ","")),""),IF(G119="",$G$4,""))))</f>
        <v/>
      </c>
      <c r="AA119" s="30"/>
    </row>
    <row r="120" spans="1:27" ht="16" x14ac:dyDescent="0.35">
      <c r="A120" s="14" t="str">
        <f t="shared" si="4"/>
        <v xml:space="preserve">  </v>
      </c>
      <c r="B120" s="15"/>
      <c r="C120" s="31"/>
      <c r="D120" s="31"/>
      <c r="E120" s="17"/>
      <c r="F120" s="18"/>
      <c r="G120" s="32"/>
      <c r="H120" s="33" t="str">
        <f>IF(G120="","",IF(F120="žena",ROMAN(MATCH(G120+1,'[1]Normy VP'!$Y$27:$Y$33,-1)),ROMAN(MATCH(G120+1,'[1]Normy VP'!$Y$19:$Y$25,-1))))</f>
        <v/>
      </c>
      <c r="I120" s="21"/>
      <c r="J120" s="22"/>
      <c r="K120" s="23"/>
      <c r="L120" s="23"/>
      <c r="M120" s="23"/>
      <c r="N120" s="22"/>
      <c r="O120" s="22"/>
      <c r="P120" s="24" t="str">
        <f>IF(OR($J120="",$J120="odešel"),IF(K120="","",IF($F120="žena",CHOOSE(_xlfn.ARABIC($H120),MATCH(K120+1,'[1]Normy VP'!$C$25:$F$25,-1),MATCH(K120+1,'[1]Normy VP'!$C$26:$F$26,-1),MATCH(K120+1,'[1]Normy VP'!$C$27:$F$27,-1),MATCH(K120+1,'[1]Normy VP'!$C$28:$F$28,-1),MATCH(K120+1,'[1]Normy VP'!$C$29:$F$29,-1),"muž"),CHOOSE(_xlfn.ARABIC($H120),MATCH(K120+1,'[1]Normy VP'!$C$10:$F$10,-1),MATCH(K120+1,'[1]Normy VP'!$C$11:$F$11,-1),MATCH(K120+1,'[1]Normy VP'!$C$12:$F$12,-1),MATCH(K120+1,'[1]Normy VP'!$C$13:$F$13,-1),MATCH(K120+1,'[1]Normy VP'!$C$14:$F$14,-1),""))),"O")</f>
        <v/>
      </c>
      <c r="Q120" s="24" t="str">
        <f>IF(OR($J120="",$J120="odešel"),IF($F120="žena","",IF(L120="","",(CHOOSE(_xlfn.ARABIC($H120),MATCH(L120+1,'[1]Normy VP'!$G$10:$J$10,-1),MATCH(L120+1,'[1]Normy VP'!$G$11:$J$11,-1),MATCH(L120+1,'[1]Normy VP'!$G$12:$J$12,-1),MATCH(L120+1,'[1]Normy VP'!$G$13:$J$13,-1),MATCH(L120+1,'[1]Normy VP'!$G$14:$J$14,-1),"")))),"O")</f>
        <v/>
      </c>
      <c r="R120" s="34" t="str">
        <f t="shared" si="5"/>
        <v>N</v>
      </c>
      <c r="S120" s="24" t="str">
        <f>IF(OR($J120="",$J120="odešel"),IF(M120="","N",IF($F120="žena",CHOOSE(_xlfn.ARABIC($H120),MATCH(M120+1,'[1]Normy VP'!$G$25:$J$25,-1),MATCH(M120+1,'[1]Normy VP'!$G$26:$J$26,-1),MATCH(M120+1,'[1]Normy VP'!$G$27:$J$27,-1),MATCH(M120+1,'[1]Normy VP'!$G$28:$J$28,-1),MATCH(M120+1,'[1]Normy VP'!$G$29:$J$29,-1),"muž"),(CHOOSE(_xlfn.ARABIC($H120),MATCH(M120+1,'[1]Normy VP'!$K$10:$N$10,-1),MATCH(M120+1,'[1]Normy VP'!$K$11:$N$11,-1),MATCH(M120+1,'[1]Normy VP'!$K$12:$N$12,-1),MATCH(M120+1,'[1]Normy VP'!$K$13:$N$13,-1),MATCH(M120+1,'[1]Normy VP'!$K$14:$N$14,-1),"")))),"O")</f>
        <v>N</v>
      </c>
      <c r="T120" s="34" t="str">
        <f t="shared" si="6"/>
        <v>N</v>
      </c>
      <c r="U120" s="24" t="str">
        <f>IF(OR($J120="",$J120="odešel"),IF(N120="","N",IF($F120="žena",CHOOSE(_xlfn.ARABIC($H120),MATCH(N120+1,'[1]Normy VP'!$K$25:$N$25,-1),MATCH(N120+1,'[1]Normy VP'!$K$26:$N$26,-1),MATCH(N120+1,'[1]Normy VP'!$K$27:$N$27,-1),MATCH(N120+1,'[1]Normy VP'!$K$28:$N$28,-1),MATCH(N120+1,'[1]Normy VP'!$K$29:$N$29,-1),MATCH(N120+1,'[1]Normy VP'!$K$30:$N$30,-1)),CHOOSE(_xlfn.ARABIC($H120),MATCH(N120+1,'[1]Normy VP'!$O$10:$R$10,-1),MATCH(N120+1,'[1]Normy VP'!$O$11:$R$11,-1),MATCH(N120+1,'[1]Normy VP'!$O$12:$R$12,-1),MATCH(N120+1,'[1]Normy VP'!$O$13:$R$13,-1),MATCH(N120+1,'[1]Normy VP'!$O$14:$R$14,-1),MATCH(N120+1,'[1]Normy VP'!$O$15:$R$15,-1)))),"O")</f>
        <v>N</v>
      </c>
      <c r="V120" s="26" t="str">
        <f>IF(OR($J120="",$J120="odešel"),IF(O120="","N",IF($F120="žena",CHOOSE(_xlfn.ARABIC($H120),MATCH(O120-1,'[1]Normy VP'!$O$25:$R$25),MATCH(O120-1,'[1]Normy VP'!$O$26:$R$26),MATCH(O120-1,'[1]Normy VP'!$O$27:$R$27),MATCH(O120-1,'[1]Normy VP'!$O$28:$R$28),MATCH(O120-1,'[1]Normy VP'!$O$29:$R$29),MATCH(O120-1,'[1]Normy VP'!$O$30:$R$30)),CHOOSE(_xlfn.ARABIC($H120),MATCH(O120-1,'[1]Normy VP'!$S$10:$V$10),MATCH(O120-1,'[1]Normy VP'!$S$11:$V$11),MATCH(O120-1,'[1]Normy VP'!$S$12:$V$12),MATCH(O120-1,'[1]Normy VP'!$S$13:$V$13),MATCH(O120-1,'[1]Normy VP'!$S$14:$V$14),MATCH(O120-1,'[1]Normy VP'!$S$15:$V$15)))),"O")</f>
        <v>N</v>
      </c>
      <c r="W120" s="34" t="str">
        <f t="shared" si="7"/>
        <v>N</v>
      </c>
      <c r="X120" s="27" t="str">
        <f>IF(COUNTIF(B120:G120,"")&gt;0,"",IF(COUNTIF([1]PP!$A:$A,A120)=0,"neni v PP",IF(OR(Y120="odešel",VLOOKUP(A120,[1]PP!$A:$W,22,FALSE)="odešel"),"odešel",IF(OR(Y120="N",VLOOKUP(A120,[1]PP!$A:$W,22,FALSE)="N"),"N",IF(OR(Y120="C",VLOOKUP(A120,[1]PP!$A:$W,22,FALSE)="C"),"C",IF(OR(Y120="DZO",VLOOKUP(A120,[1]PP!$A:$W,22,FALSE)="DZO"),"DZO",IF(OR(Y120="mise",Y120="disp.",Y120="končí",Y120="DSC",VLOOKUP(A120,[1]PP!$A:$W,22,FALSE)="mise",VLOOKUP(A120,[1]PP!$A:$W,22,FALSE)="disp.",VLOOKUP(A120,[1]PP!$A:$W,22,FALSE)="končí",VLOOKUP(A120,[1]PP!$A:$W,22,FALSE)="DSC"),"jiné",IF(OR(Y120=4,VLOOKUP(A120,[1]PP!$A:$W,22,FALSE)=4),4,IF(OR(Y120=3,VLOOKUP(A120,[1]PP!$A:$W,22,FALSE)=3),3,IF(OR(Y120=2,VLOOKUP(A120,[1]PP!$A:$W,22,FALSE)=2),2,IF(AND(Y120=1,VLOOKUP(A120,[1]PP!$A:$W,22,FALSE)=1),1)))))))))))</f>
        <v/>
      </c>
      <c r="Y120" s="28" t="str">
        <f>IF(COUNTIF(B120:G120,"")&gt;0,"",IF(COUNTIF([1]PP!$A:$A,A120)=0,"neni v PP",IF(VLOOKUP(A120,[1]PP!$A:$W,8,FALSE)="odešel","odešel",IF(F120="","",IF(J120="",IF(OR(T120=4,W120=4),4,IF(AND(T120="N",W120="N"),"N",IF(OR(T120="N",W120="N"),4,ROUND(AVERAGE(T120,W120),0)))),J120)))))</f>
        <v/>
      </c>
      <c r="Z120" s="29" t="str">
        <f>IF(COUNTIF(B120:G120,"")=0,IF(X120="neni v PP",CONCATENATE("ID: &lt;",A120,"&gt; se neshoduje s žádným IDem v kartě PP"),IF(COUNTIF($A:$A,A120)&gt;1,CONCATENATE("ID: &lt;",A120,"&gt; se v kartě VP opakuje. Je nutné tyto IDy od sebe odlišit, např. mezerou za příjmením."),IF(COUNTIF([1]PP!A:A,A120)&gt;1,CONCATENATE("ID: &lt;",A120,"&gt; se v kartě PP opakuje. Je nutné tyto IDy od sebe odlišit, např. mezerou za příjmením."),IF(VLOOKUP(A120,[1]PP!$A:$W,5,FALSE)&lt;&gt;E120,CONCATENATE($E$4," &lt;",E120,"&gt; se neshoduje s jednotkou v kartě PP"," &lt;",VLOOKUP(A120,[1]PP!$A:$W,5,FALSE),"&gt;"),IF(AND(COUNTIF(K120:O120,"")&lt;5,J120="",I120=""),CONCATENATE("Doplň: ",$I$4),IF(AND(YEAR(I120)&lt;&gt;$E$2,COUNTIF(I120,"")=0),CONCATENATE("špatně uveden &lt;",$D$2,"&gt; nebo &lt;",$I$4,"&gt;"),IF(OR(AND(OR(COUNTIF(C120,"*a"),COUNTIF(C120,"*ie"),COUNTIF(C120,"*ine"),COUNTIF(D120,"*Á")),F120="muž"),AND(AND(COUNTIF(C120,"&lt;&gt;"&amp;"*a"),COUNTIF(C120,"&lt;&gt;"&amp;"*ie"),COUNTIF(C120,"&lt;&gt;"&amp;"*ine"),COUNTIF(D120,"&lt;&gt;"&amp;"*Á")),F120="žena")),CONCATENATE(C120," ",D120," je ",F120,"?"),""))))))),IF(COUNTIF(B120:O120,"")=14,"",CONCATENATE("Doplň: ",IF(B120="",CONCATENATE($B$4,IF(COUNTIF(C120:G120,"")=0,"",", ")),""),IF(C120="",CONCATENATE($C$4,IF(COUNTIF(D120:G120,"")=0,"",", ")),""),IF(D120="",CONCATENATE($D$4,IF(COUNTIF(E120:G120,"")=0,"",", ")),""),IF(E120="",CONCATENATE($E$4,IF(COUNTIF(F120:G120,"")=0,"",", ")),""),IF(F120="",CONCATENATE($F$4,IF(G120="",", ","")),""),IF(G120="",$G$4,""))))</f>
        <v/>
      </c>
      <c r="AA120" s="30"/>
    </row>
    <row r="121" spans="1:27" ht="16" x14ac:dyDescent="0.35">
      <c r="A121" s="14" t="str">
        <f t="shared" si="4"/>
        <v xml:space="preserve">  </v>
      </c>
      <c r="B121" s="15"/>
      <c r="C121" s="31"/>
      <c r="D121" s="31"/>
      <c r="E121" s="17"/>
      <c r="F121" s="18"/>
      <c r="G121" s="32"/>
      <c r="H121" s="33" t="str">
        <f>IF(G121="","",IF(F121="žena",ROMAN(MATCH(G121+1,'[1]Normy VP'!$Y$27:$Y$33,-1)),ROMAN(MATCH(G121+1,'[1]Normy VP'!$Y$19:$Y$25,-1))))</f>
        <v/>
      </c>
      <c r="I121" s="21"/>
      <c r="J121" s="22"/>
      <c r="K121" s="23"/>
      <c r="L121" s="23"/>
      <c r="M121" s="23"/>
      <c r="N121" s="22"/>
      <c r="O121" s="22"/>
      <c r="P121" s="24" t="str">
        <f>IF(OR($J121="",$J121="odešel"),IF(K121="","",IF($F121="žena",CHOOSE(_xlfn.ARABIC($H121),MATCH(K121+1,'[1]Normy VP'!$C$25:$F$25,-1),MATCH(K121+1,'[1]Normy VP'!$C$26:$F$26,-1),MATCH(K121+1,'[1]Normy VP'!$C$27:$F$27,-1),MATCH(K121+1,'[1]Normy VP'!$C$28:$F$28,-1),MATCH(K121+1,'[1]Normy VP'!$C$29:$F$29,-1),"muž"),CHOOSE(_xlfn.ARABIC($H121),MATCH(K121+1,'[1]Normy VP'!$C$10:$F$10,-1),MATCH(K121+1,'[1]Normy VP'!$C$11:$F$11,-1),MATCH(K121+1,'[1]Normy VP'!$C$12:$F$12,-1),MATCH(K121+1,'[1]Normy VP'!$C$13:$F$13,-1),MATCH(K121+1,'[1]Normy VP'!$C$14:$F$14,-1),""))),"O")</f>
        <v/>
      </c>
      <c r="Q121" s="24" t="str">
        <f>IF(OR($J121="",$J121="odešel"),IF($F121="žena","",IF(L121="","",(CHOOSE(_xlfn.ARABIC($H121),MATCH(L121+1,'[1]Normy VP'!$G$10:$J$10,-1),MATCH(L121+1,'[1]Normy VP'!$G$11:$J$11,-1),MATCH(L121+1,'[1]Normy VP'!$G$12:$J$12,-1),MATCH(L121+1,'[1]Normy VP'!$G$13:$J$13,-1),MATCH(L121+1,'[1]Normy VP'!$G$14:$J$14,-1),"")))),"O")</f>
        <v/>
      </c>
      <c r="R121" s="34" t="str">
        <f t="shared" si="5"/>
        <v>N</v>
      </c>
      <c r="S121" s="24" t="str">
        <f>IF(OR($J121="",$J121="odešel"),IF(M121="","N",IF($F121="žena",CHOOSE(_xlfn.ARABIC($H121),MATCH(M121+1,'[1]Normy VP'!$G$25:$J$25,-1),MATCH(M121+1,'[1]Normy VP'!$G$26:$J$26,-1),MATCH(M121+1,'[1]Normy VP'!$G$27:$J$27,-1),MATCH(M121+1,'[1]Normy VP'!$G$28:$J$28,-1),MATCH(M121+1,'[1]Normy VP'!$G$29:$J$29,-1),"muž"),(CHOOSE(_xlfn.ARABIC($H121),MATCH(M121+1,'[1]Normy VP'!$K$10:$N$10,-1),MATCH(M121+1,'[1]Normy VP'!$K$11:$N$11,-1),MATCH(M121+1,'[1]Normy VP'!$K$12:$N$12,-1),MATCH(M121+1,'[1]Normy VP'!$K$13:$N$13,-1),MATCH(M121+1,'[1]Normy VP'!$K$14:$N$14,-1),"")))),"O")</f>
        <v>N</v>
      </c>
      <c r="T121" s="34" t="str">
        <f t="shared" si="6"/>
        <v>N</v>
      </c>
      <c r="U121" s="24" t="str">
        <f>IF(OR($J121="",$J121="odešel"),IF(N121="","N",IF($F121="žena",CHOOSE(_xlfn.ARABIC($H121),MATCH(N121+1,'[1]Normy VP'!$K$25:$N$25,-1),MATCH(N121+1,'[1]Normy VP'!$K$26:$N$26,-1),MATCH(N121+1,'[1]Normy VP'!$K$27:$N$27,-1),MATCH(N121+1,'[1]Normy VP'!$K$28:$N$28,-1),MATCH(N121+1,'[1]Normy VP'!$K$29:$N$29,-1),MATCH(N121+1,'[1]Normy VP'!$K$30:$N$30,-1)),CHOOSE(_xlfn.ARABIC($H121),MATCH(N121+1,'[1]Normy VP'!$O$10:$R$10,-1),MATCH(N121+1,'[1]Normy VP'!$O$11:$R$11,-1),MATCH(N121+1,'[1]Normy VP'!$O$12:$R$12,-1),MATCH(N121+1,'[1]Normy VP'!$O$13:$R$13,-1),MATCH(N121+1,'[1]Normy VP'!$O$14:$R$14,-1),MATCH(N121+1,'[1]Normy VP'!$O$15:$R$15,-1)))),"O")</f>
        <v>N</v>
      </c>
      <c r="V121" s="26" t="str">
        <f>IF(OR($J121="",$J121="odešel"),IF(O121="","N",IF($F121="žena",CHOOSE(_xlfn.ARABIC($H121),MATCH(O121-1,'[1]Normy VP'!$O$25:$R$25),MATCH(O121-1,'[1]Normy VP'!$O$26:$R$26),MATCH(O121-1,'[1]Normy VP'!$O$27:$R$27),MATCH(O121-1,'[1]Normy VP'!$O$28:$R$28),MATCH(O121-1,'[1]Normy VP'!$O$29:$R$29),MATCH(O121-1,'[1]Normy VP'!$O$30:$R$30)),CHOOSE(_xlfn.ARABIC($H121),MATCH(O121-1,'[1]Normy VP'!$S$10:$V$10),MATCH(O121-1,'[1]Normy VP'!$S$11:$V$11),MATCH(O121-1,'[1]Normy VP'!$S$12:$V$12),MATCH(O121-1,'[1]Normy VP'!$S$13:$V$13),MATCH(O121-1,'[1]Normy VP'!$S$14:$V$14),MATCH(O121-1,'[1]Normy VP'!$S$15:$V$15)))),"O")</f>
        <v>N</v>
      </c>
      <c r="W121" s="34" t="str">
        <f t="shared" si="7"/>
        <v>N</v>
      </c>
      <c r="X121" s="27" t="str">
        <f>IF(COUNTIF(B121:G121,"")&gt;0,"",IF(COUNTIF([1]PP!$A:$A,A121)=0,"neni v PP",IF(OR(Y121="odešel",VLOOKUP(A121,[1]PP!$A:$W,22,FALSE)="odešel"),"odešel",IF(OR(Y121="N",VLOOKUP(A121,[1]PP!$A:$W,22,FALSE)="N"),"N",IF(OR(Y121="C",VLOOKUP(A121,[1]PP!$A:$W,22,FALSE)="C"),"C",IF(OR(Y121="DZO",VLOOKUP(A121,[1]PP!$A:$W,22,FALSE)="DZO"),"DZO",IF(OR(Y121="mise",Y121="disp.",Y121="končí",Y121="DSC",VLOOKUP(A121,[1]PP!$A:$W,22,FALSE)="mise",VLOOKUP(A121,[1]PP!$A:$W,22,FALSE)="disp.",VLOOKUP(A121,[1]PP!$A:$W,22,FALSE)="končí",VLOOKUP(A121,[1]PP!$A:$W,22,FALSE)="DSC"),"jiné",IF(OR(Y121=4,VLOOKUP(A121,[1]PP!$A:$W,22,FALSE)=4),4,IF(OR(Y121=3,VLOOKUP(A121,[1]PP!$A:$W,22,FALSE)=3),3,IF(OR(Y121=2,VLOOKUP(A121,[1]PP!$A:$W,22,FALSE)=2),2,IF(AND(Y121=1,VLOOKUP(A121,[1]PP!$A:$W,22,FALSE)=1),1)))))))))))</f>
        <v/>
      </c>
      <c r="Y121" s="28" t="str">
        <f>IF(COUNTIF(B121:G121,"")&gt;0,"",IF(COUNTIF([1]PP!$A:$A,A121)=0,"neni v PP",IF(VLOOKUP(A121,[1]PP!$A:$W,8,FALSE)="odešel","odešel",IF(F121="","",IF(J121="",IF(OR(T121=4,W121=4),4,IF(AND(T121="N",W121="N"),"N",IF(OR(T121="N",W121="N"),4,ROUND(AVERAGE(T121,W121),0)))),J121)))))</f>
        <v/>
      </c>
      <c r="Z121" s="29" t="str">
        <f>IF(COUNTIF(B121:G121,"")=0,IF(X121="neni v PP",CONCATENATE("ID: &lt;",A121,"&gt; se neshoduje s žádným IDem v kartě PP"),IF(COUNTIF($A:$A,A121)&gt;1,CONCATENATE("ID: &lt;",A121,"&gt; se v kartě VP opakuje. Je nutné tyto IDy od sebe odlišit, např. mezerou za příjmením."),IF(COUNTIF([1]PP!A:A,A121)&gt;1,CONCATENATE("ID: &lt;",A121,"&gt; se v kartě PP opakuje. Je nutné tyto IDy od sebe odlišit, např. mezerou za příjmením."),IF(VLOOKUP(A121,[1]PP!$A:$W,5,FALSE)&lt;&gt;E121,CONCATENATE($E$4," &lt;",E121,"&gt; se neshoduje s jednotkou v kartě PP"," &lt;",VLOOKUP(A121,[1]PP!$A:$W,5,FALSE),"&gt;"),IF(AND(COUNTIF(K121:O121,"")&lt;5,J121="",I121=""),CONCATENATE("Doplň: ",$I$4),IF(AND(YEAR(I121)&lt;&gt;$E$2,COUNTIF(I121,"")=0),CONCATENATE("špatně uveden &lt;",$D$2,"&gt; nebo &lt;",$I$4,"&gt;"),IF(OR(AND(OR(COUNTIF(C121,"*a"),COUNTIF(C121,"*ie"),COUNTIF(C121,"*ine"),COUNTIF(D121,"*Á")),F121="muž"),AND(AND(COUNTIF(C121,"&lt;&gt;"&amp;"*a"),COUNTIF(C121,"&lt;&gt;"&amp;"*ie"),COUNTIF(C121,"&lt;&gt;"&amp;"*ine"),COUNTIF(D121,"&lt;&gt;"&amp;"*Á")),F121="žena")),CONCATENATE(C121," ",D121," je ",F121,"?"),""))))))),IF(COUNTIF(B121:O121,"")=14,"",CONCATENATE("Doplň: ",IF(B121="",CONCATENATE($B$4,IF(COUNTIF(C121:G121,"")=0,"",", ")),""),IF(C121="",CONCATENATE($C$4,IF(COUNTIF(D121:G121,"")=0,"",", ")),""),IF(D121="",CONCATENATE($D$4,IF(COUNTIF(E121:G121,"")=0,"",", ")),""),IF(E121="",CONCATENATE($E$4,IF(COUNTIF(F121:G121,"")=0,"",", ")),""),IF(F121="",CONCATENATE($F$4,IF(G121="",", ","")),""),IF(G121="",$G$4,""))))</f>
        <v/>
      </c>
      <c r="AA121" s="30"/>
    </row>
    <row r="122" spans="1:27" ht="16" x14ac:dyDescent="0.35">
      <c r="A122" s="14" t="str">
        <f t="shared" si="4"/>
        <v xml:space="preserve">  </v>
      </c>
      <c r="B122" s="15"/>
      <c r="C122" s="31"/>
      <c r="D122" s="31"/>
      <c r="E122" s="17"/>
      <c r="F122" s="18"/>
      <c r="G122" s="32"/>
      <c r="H122" s="33" t="str">
        <f>IF(G122="","",IF(F122="žena",ROMAN(MATCH(G122+1,'[1]Normy VP'!$Y$27:$Y$33,-1)),ROMAN(MATCH(G122+1,'[1]Normy VP'!$Y$19:$Y$25,-1))))</f>
        <v/>
      </c>
      <c r="I122" s="21"/>
      <c r="J122" s="22"/>
      <c r="K122" s="23"/>
      <c r="L122" s="23"/>
      <c r="M122" s="23"/>
      <c r="N122" s="22"/>
      <c r="O122" s="22"/>
      <c r="P122" s="24" t="str">
        <f>IF(OR($J122="",$J122="odešel"),IF(K122="","",IF($F122="žena",CHOOSE(_xlfn.ARABIC($H122),MATCH(K122+1,'[1]Normy VP'!$C$25:$F$25,-1),MATCH(K122+1,'[1]Normy VP'!$C$26:$F$26,-1),MATCH(K122+1,'[1]Normy VP'!$C$27:$F$27,-1),MATCH(K122+1,'[1]Normy VP'!$C$28:$F$28,-1),MATCH(K122+1,'[1]Normy VP'!$C$29:$F$29,-1),"muž"),CHOOSE(_xlfn.ARABIC($H122),MATCH(K122+1,'[1]Normy VP'!$C$10:$F$10,-1),MATCH(K122+1,'[1]Normy VP'!$C$11:$F$11,-1),MATCH(K122+1,'[1]Normy VP'!$C$12:$F$12,-1),MATCH(K122+1,'[1]Normy VP'!$C$13:$F$13,-1),MATCH(K122+1,'[1]Normy VP'!$C$14:$F$14,-1),""))),"O")</f>
        <v/>
      </c>
      <c r="Q122" s="24" t="str">
        <f>IF(OR($J122="",$J122="odešel"),IF($F122="žena","",IF(L122="","",(CHOOSE(_xlfn.ARABIC($H122),MATCH(L122+1,'[1]Normy VP'!$G$10:$J$10,-1),MATCH(L122+1,'[1]Normy VP'!$G$11:$J$11,-1),MATCH(L122+1,'[1]Normy VP'!$G$12:$J$12,-1),MATCH(L122+1,'[1]Normy VP'!$G$13:$J$13,-1),MATCH(L122+1,'[1]Normy VP'!$G$14:$J$14,-1),"")))),"O")</f>
        <v/>
      </c>
      <c r="R122" s="34" t="str">
        <f t="shared" si="5"/>
        <v>N</v>
      </c>
      <c r="S122" s="24" t="str">
        <f>IF(OR($J122="",$J122="odešel"),IF(M122="","N",IF($F122="žena",CHOOSE(_xlfn.ARABIC($H122),MATCH(M122+1,'[1]Normy VP'!$G$25:$J$25,-1),MATCH(M122+1,'[1]Normy VP'!$G$26:$J$26,-1),MATCH(M122+1,'[1]Normy VP'!$G$27:$J$27,-1),MATCH(M122+1,'[1]Normy VP'!$G$28:$J$28,-1),MATCH(M122+1,'[1]Normy VP'!$G$29:$J$29,-1),"muž"),(CHOOSE(_xlfn.ARABIC($H122),MATCH(M122+1,'[1]Normy VP'!$K$10:$N$10,-1),MATCH(M122+1,'[1]Normy VP'!$K$11:$N$11,-1),MATCH(M122+1,'[1]Normy VP'!$K$12:$N$12,-1),MATCH(M122+1,'[1]Normy VP'!$K$13:$N$13,-1),MATCH(M122+1,'[1]Normy VP'!$K$14:$N$14,-1),"")))),"O")</f>
        <v>N</v>
      </c>
      <c r="T122" s="34" t="str">
        <f t="shared" si="6"/>
        <v>N</v>
      </c>
      <c r="U122" s="24" t="str">
        <f>IF(OR($J122="",$J122="odešel"),IF(N122="","N",IF($F122="žena",CHOOSE(_xlfn.ARABIC($H122),MATCH(N122+1,'[1]Normy VP'!$K$25:$N$25,-1),MATCH(N122+1,'[1]Normy VP'!$K$26:$N$26,-1),MATCH(N122+1,'[1]Normy VP'!$K$27:$N$27,-1),MATCH(N122+1,'[1]Normy VP'!$K$28:$N$28,-1),MATCH(N122+1,'[1]Normy VP'!$K$29:$N$29,-1),MATCH(N122+1,'[1]Normy VP'!$K$30:$N$30,-1)),CHOOSE(_xlfn.ARABIC($H122),MATCH(N122+1,'[1]Normy VP'!$O$10:$R$10,-1),MATCH(N122+1,'[1]Normy VP'!$O$11:$R$11,-1),MATCH(N122+1,'[1]Normy VP'!$O$12:$R$12,-1),MATCH(N122+1,'[1]Normy VP'!$O$13:$R$13,-1),MATCH(N122+1,'[1]Normy VP'!$O$14:$R$14,-1),MATCH(N122+1,'[1]Normy VP'!$O$15:$R$15,-1)))),"O")</f>
        <v>N</v>
      </c>
      <c r="V122" s="26" t="str">
        <f>IF(OR($J122="",$J122="odešel"),IF(O122="","N",IF($F122="žena",CHOOSE(_xlfn.ARABIC($H122),MATCH(O122-1,'[1]Normy VP'!$O$25:$R$25),MATCH(O122-1,'[1]Normy VP'!$O$26:$R$26),MATCH(O122-1,'[1]Normy VP'!$O$27:$R$27),MATCH(O122-1,'[1]Normy VP'!$O$28:$R$28),MATCH(O122-1,'[1]Normy VP'!$O$29:$R$29),MATCH(O122-1,'[1]Normy VP'!$O$30:$R$30)),CHOOSE(_xlfn.ARABIC($H122),MATCH(O122-1,'[1]Normy VP'!$S$10:$V$10),MATCH(O122-1,'[1]Normy VP'!$S$11:$V$11),MATCH(O122-1,'[1]Normy VP'!$S$12:$V$12),MATCH(O122-1,'[1]Normy VP'!$S$13:$V$13),MATCH(O122-1,'[1]Normy VP'!$S$14:$V$14),MATCH(O122-1,'[1]Normy VP'!$S$15:$V$15)))),"O")</f>
        <v>N</v>
      </c>
      <c r="W122" s="34" t="str">
        <f t="shared" si="7"/>
        <v>N</v>
      </c>
      <c r="X122" s="27" t="str">
        <f>IF(COUNTIF(B122:G122,"")&gt;0,"",IF(COUNTIF([1]PP!$A:$A,A122)=0,"neni v PP",IF(OR(Y122="odešel",VLOOKUP(A122,[1]PP!$A:$W,22,FALSE)="odešel"),"odešel",IF(OR(Y122="N",VLOOKUP(A122,[1]PP!$A:$W,22,FALSE)="N"),"N",IF(OR(Y122="C",VLOOKUP(A122,[1]PP!$A:$W,22,FALSE)="C"),"C",IF(OR(Y122="DZO",VLOOKUP(A122,[1]PP!$A:$W,22,FALSE)="DZO"),"DZO",IF(OR(Y122="mise",Y122="disp.",Y122="končí",Y122="DSC",VLOOKUP(A122,[1]PP!$A:$W,22,FALSE)="mise",VLOOKUP(A122,[1]PP!$A:$W,22,FALSE)="disp.",VLOOKUP(A122,[1]PP!$A:$W,22,FALSE)="končí",VLOOKUP(A122,[1]PP!$A:$W,22,FALSE)="DSC"),"jiné",IF(OR(Y122=4,VLOOKUP(A122,[1]PP!$A:$W,22,FALSE)=4),4,IF(OR(Y122=3,VLOOKUP(A122,[1]PP!$A:$W,22,FALSE)=3),3,IF(OR(Y122=2,VLOOKUP(A122,[1]PP!$A:$W,22,FALSE)=2),2,IF(AND(Y122=1,VLOOKUP(A122,[1]PP!$A:$W,22,FALSE)=1),1)))))))))))</f>
        <v/>
      </c>
      <c r="Y122" s="28" t="str">
        <f>IF(COUNTIF(B122:G122,"")&gt;0,"",IF(COUNTIF([1]PP!$A:$A,A122)=0,"neni v PP",IF(VLOOKUP(A122,[1]PP!$A:$W,8,FALSE)="odešel","odešel",IF(F122="","",IF(J122="",IF(OR(T122=4,W122=4),4,IF(AND(T122="N",W122="N"),"N",IF(OR(T122="N",W122="N"),4,ROUND(AVERAGE(T122,W122),0)))),J122)))))</f>
        <v/>
      </c>
      <c r="Z122" s="29" t="str">
        <f>IF(COUNTIF(B122:G122,"")=0,IF(X122="neni v PP",CONCATENATE("ID: &lt;",A122,"&gt; se neshoduje s žádným IDem v kartě PP"),IF(COUNTIF($A:$A,A122)&gt;1,CONCATENATE("ID: &lt;",A122,"&gt; se v kartě VP opakuje. Je nutné tyto IDy od sebe odlišit, např. mezerou za příjmením."),IF(COUNTIF([1]PP!A:A,A122)&gt;1,CONCATENATE("ID: &lt;",A122,"&gt; se v kartě PP opakuje. Je nutné tyto IDy od sebe odlišit, např. mezerou za příjmením."),IF(VLOOKUP(A122,[1]PP!$A:$W,5,FALSE)&lt;&gt;E122,CONCATENATE($E$4," &lt;",E122,"&gt; se neshoduje s jednotkou v kartě PP"," &lt;",VLOOKUP(A122,[1]PP!$A:$W,5,FALSE),"&gt;"),IF(AND(COUNTIF(K122:O122,"")&lt;5,J122="",I122=""),CONCATENATE("Doplň: ",$I$4),IF(AND(YEAR(I122)&lt;&gt;$E$2,COUNTIF(I122,"")=0),CONCATENATE("špatně uveden &lt;",$D$2,"&gt; nebo &lt;",$I$4,"&gt;"),IF(OR(AND(OR(COUNTIF(C122,"*a"),COUNTIF(C122,"*ie"),COUNTIF(C122,"*ine"),COUNTIF(D122,"*Á")),F122="muž"),AND(AND(COUNTIF(C122,"&lt;&gt;"&amp;"*a"),COUNTIF(C122,"&lt;&gt;"&amp;"*ie"),COUNTIF(C122,"&lt;&gt;"&amp;"*ine"),COUNTIF(D122,"&lt;&gt;"&amp;"*Á")),F122="žena")),CONCATENATE(C122," ",D122," je ",F122,"?"),""))))))),IF(COUNTIF(B122:O122,"")=14,"",CONCATENATE("Doplň: ",IF(B122="",CONCATENATE($B$4,IF(COUNTIF(C122:G122,"")=0,"",", ")),""),IF(C122="",CONCATENATE($C$4,IF(COUNTIF(D122:G122,"")=0,"",", ")),""),IF(D122="",CONCATENATE($D$4,IF(COUNTIF(E122:G122,"")=0,"",", ")),""),IF(E122="",CONCATENATE($E$4,IF(COUNTIF(F122:G122,"")=0,"",", ")),""),IF(F122="",CONCATENATE($F$4,IF(G122="",", ","")),""),IF(G122="",$G$4,""))))</f>
        <v/>
      </c>
      <c r="AA122" s="30"/>
    </row>
    <row r="123" spans="1:27" ht="16" x14ac:dyDescent="0.35">
      <c r="A123" s="14" t="str">
        <f t="shared" si="4"/>
        <v xml:space="preserve">  </v>
      </c>
      <c r="B123" s="15"/>
      <c r="C123" s="31"/>
      <c r="D123" s="31"/>
      <c r="E123" s="17"/>
      <c r="F123" s="18"/>
      <c r="G123" s="32"/>
      <c r="H123" s="33" t="str">
        <f>IF(G123="","",IF(F123="žena",ROMAN(MATCH(G123+1,'[1]Normy VP'!$Y$27:$Y$33,-1)),ROMAN(MATCH(G123+1,'[1]Normy VP'!$Y$19:$Y$25,-1))))</f>
        <v/>
      </c>
      <c r="I123" s="21"/>
      <c r="J123" s="22"/>
      <c r="K123" s="23"/>
      <c r="L123" s="23"/>
      <c r="M123" s="23"/>
      <c r="N123" s="22"/>
      <c r="O123" s="22"/>
      <c r="P123" s="24" t="str">
        <f>IF(OR($J123="",$J123="odešel"),IF(K123="","",IF($F123="žena",CHOOSE(_xlfn.ARABIC($H123),MATCH(K123+1,'[1]Normy VP'!$C$25:$F$25,-1),MATCH(K123+1,'[1]Normy VP'!$C$26:$F$26,-1),MATCH(K123+1,'[1]Normy VP'!$C$27:$F$27,-1),MATCH(K123+1,'[1]Normy VP'!$C$28:$F$28,-1),MATCH(K123+1,'[1]Normy VP'!$C$29:$F$29,-1),"muž"),CHOOSE(_xlfn.ARABIC($H123),MATCH(K123+1,'[1]Normy VP'!$C$10:$F$10,-1),MATCH(K123+1,'[1]Normy VP'!$C$11:$F$11,-1),MATCH(K123+1,'[1]Normy VP'!$C$12:$F$12,-1),MATCH(K123+1,'[1]Normy VP'!$C$13:$F$13,-1),MATCH(K123+1,'[1]Normy VP'!$C$14:$F$14,-1),""))),"O")</f>
        <v/>
      </c>
      <c r="Q123" s="24" t="str">
        <f>IF(OR($J123="",$J123="odešel"),IF($F123="žena","",IF(L123="","",(CHOOSE(_xlfn.ARABIC($H123),MATCH(L123+1,'[1]Normy VP'!$G$10:$J$10,-1),MATCH(L123+1,'[1]Normy VP'!$G$11:$J$11,-1),MATCH(L123+1,'[1]Normy VP'!$G$12:$J$12,-1),MATCH(L123+1,'[1]Normy VP'!$G$13:$J$13,-1),MATCH(L123+1,'[1]Normy VP'!$G$14:$J$14,-1),"")))),"O")</f>
        <v/>
      </c>
      <c r="R123" s="34" t="str">
        <f t="shared" si="5"/>
        <v>N</v>
      </c>
      <c r="S123" s="24" t="str">
        <f>IF(OR($J123="",$J123="odešel"),IF(M123="","N",IF($F123="žena",CHOOSE(_xlfn.ARABIC($H123),MATCH(M123+1,'[1]Normy VP'!$G$25:$J$25,-1),MATCH(M123+1,'[1]Normy VP'!$G$26:$J$26,-1),MATCH(M123+1,'[1]Normy VP'!$G$27:$J$27,-1),MATCH(M123+1,'[1]Normy VP'!$G$28:$J$28,-1),MATCH(M123+1,'[1]Normy VP'!$G$29:$J$29,-1),"muž"),(CHOOSE(_xlfn.ARABIC($H123),MATCH(M123+1,'[1]Normy VP'!$K$10:$N$10,-1),MATCH(M123+1,'[1]Normy VP'!$K$11:$N$11,-1),MATCH(M123+1,'[1]Normy VP'!$K$12:$N$12,-1),MATCH(M123+1,'[1]Normy VP'!$K$13:$N$13,-1),MATCH(M123+1,'[1]Normy VP'!$K$14:$N$14,-1),"")))),"O")</f>
        <v>N</v>
      </c>
      <c r="T123" s="34" t="str">
        <f t="shared" si="6"/>
        <v>N</v>
      </c>
      <c r="U123" s="24" t="str">
        <f>IF(OR($J123="",$J123="odešel"),IF(N123="","N",IF($F123="žena",CHOOSE(_xlfn.ARABIC($H123),MATCH(N123+1,'[1]Normy VP'!$K$25:$N$25,-1),MATCH(N123+1,'[1]Normy VP'!$K$26:$N$26,-1),MATCH(N123+1,'[1]Normy VP'!$K$27:$N$27,-1),MATCH(N123+1,'[1]Normy VP'!$K$28:$N$28,-1),MATCH(N123+1,'[1]Normy VP'!$K$29:$N$29,-1),MATCH(N123+1,'[1]Normy VP'!$K$30:$N$30,-1)),CHOOSE(_xlfn.ARABIC($H123),MATCH(N123+1,'[1]Normy VP'!$O$10:$R$10,-1),MATCH(N123+1,'[1]Normy VP'!$O$11:$R$11,-1),MATCH(N123+1,'[1]Normy VP'!$O$12:$R$12,-1),MATCH(N123+1,'[1]Normy VP'!$O$13:$R$13,-1),MATCH(N123+1,'[1]Normy VP'!$O$14:$R$14,-1),MATCH(N123+1,'[1]Normy VP'!$O$15:$R$15,-1)))),"O")</f>
        <v>N</v>
      </c>
      <c r="V123" s="26" t="str">
        <f>IF(OR($J123="",$J123="odešel"),IF(O123="","N",IF($F123="žena",CHOOSE(_xlfn.ARABIC($H123),MATCH(O123-1,'[1]Normy VP'!$O$25:$R$25),MATCH(O123-1,'[1]Normy VP'!$O$26:$R$26),MATCH(O123-1,'[1]Normy VP'!$O$27:$R$27),MATCH(O123-1,'[1]Normy VP'!$O$28:$R$28),MATCH(O123-1,'[1]Normy VP'!$O$29:$R$29),MATCH(O123-1,'[1]Normy VP'!$O$30:$R$30)),CHOOSE(_xlfn.ARABIC($H123),MATCH(O123-1,'[1]Normy VP'!$S$10:$V$10),MATCH(O123-1,'[1]Normy VP'!$S$11:$V$11),MATCH(O123-1,'[1]Normy VP'!$S$12:$V$12),MATCH(O123-1,'[1]Normy VP'!$S$13:$V$13),MATCH(O123-1,'[1]Normy VP'!$S$14:$V$14),MATCH(O123-1,'[1]Normy VP'!$S$15:$V$15)))),"O")</f>
        <v>N</v>
      </c>
      <c r="W123" s="34" t="str">
        <f t="shared" si="7"/>
        <v>N</v>
      </c>
      <c r="X123" s="27" t="str">
        <f>IF(COUNTIF(B123:G123,"")&gt;0,"",IF(COUNTIF([1]PP!$A:$A,A123)=0,"neni v PP",IF(OR(Y123="odešel",VLOOKUP(A123,[1]PP!$A:$W,22,FALSE)="odešel"),"odešel",IF(OR(Y123="N",VLOOKUP(A123,[1]PP!$A:$W,22,FALSE)="N"),"N",IF(OR(Y123="C",VLOOKUP(A123,[1]PP!$A:$W,22,FALSE)="C"),"C",IF(OR(Y123="DZO",VLOOKUP(A123,[1]PP!$A:$W,22,FALSE)="DZO"),"DZO",IF(OR(Y123="mise",Y123="disp.",Y123="končí",Y123="DSC",VLOOKUP(A123,[1]PP!$A:$W,22,FALSE)="mise",VLOOKUP(A123,[1]PP!$A:$W,22,FALSE)="disp.",VLOOKUP(A123,[1]PP!$A:$W,22,FALSE)="končí",VLOOKUP(A123,[1]PP!$A:$W,22,FALSE)="DSC"),"jiné",IF(OR(Y123=4,VLOOKUP(A123,[1]PP!$A:$W,22,FALSE)=4),4,IF(OR(Y123=3,VLOOKUP(A123,[1]PP!$A:$W,22,FALSE)=3),3,IF(OR(Y123=2,VLOOKUP(A123,[1]PP!$A:$W,22,FALSE)=2),2,IF(AND(Y123=1,VLOOKUP(A123,[1]PP!$A:$W,22,FALSE)=1),1)))))))))))</f>
        <v/>
      </c>
      <c r="Y123" s="28" t="str">
        <f>IF(COUNTIF(B123:G123,"")&gt;0,"",IF(COUNTIF([1]PP!$A:$A,A123)=0,"neni v PP",IF(VLOOKUP(A123,[1]PP!$A:$W,8,FALSE)="odešel","odešel",IF(F123="","",IF(J123="",IF(OR(T123=4,W123=4),4,IF(AND(T123="N",W123="N"),"N",IF(OR(T123="N",W123="N"),4,ROUND(AVERAGE(T123,W123),0)))),J123)))))</f>
        <v/>
      </c>
      <c r="Z123" s="29" t="str">
        <f>IF(COUNTIF(B123:G123,"")=0,IF(X123="neni v PP",CONCATENATE("ID: &lt;",A123,"&gt; se neshoduje s žádným IDem v kartě PP"),IF(COUNTIF($A:$A,A123)&gt;1,CONCATENATE("ID: &lt;",A123,"&gt; se v kartě VP opakuje. Je nutné tyto IDy od sebe odlišit, např. mezerou za příjmením."),IF(COUNTIF([1]PP!A:A,A123)&gt;1,CONCATENATE("ID: &lt;",A123,"&gt; se v kartě PP opakuje. Je nutné tyto IDy od sebe odlišit, např. mezerou za příjmením."),IF(VLOOKUP(A123,[1]PP!$A:$W,5,FALSE)&lt;&gt;E123,CONCATENATE($E$4," &lt;",E123,"&gt; se neshoduje s jednotkou v kartě PP"," &lt;",VLOOKUP(A123,[1]PP!$A:$W,5,FALSE),"&gt;"),IF(AND(COUNTIF(K123:O123,"")&lt;5,J123="",I123=""),CONCATENATE("Doplň: ",$I$4),IF(AND(YEAR(I123)&lt;&gt;$E$2,COUNTIF(I123,"")=0),CONCATENATE("špatně uveden &lt;",$D$2,"&gt; nebo &lt;",$I$4,"&gt;"),IF(OR(AND(OR(COUNTIF(C123,"*a"),COUNTIF(C123,"*ie"),COUNTIF(C123,"*ine"),COUNTIF(D123,"*Á")),F123="muž"),AND(AND(COUNTIF(C123,"&lt;&gt;"&amp;"*a"),COUNTIF(C123,"&lt;&gt;"&amp;"*ie"),COUNTIF(C123,"&lt;&gt;"&amp;"*ine"),COUNTIF(D123,"&lt;&gt;"&amp;"*Á")),F123="žena")),CONCATENATE(C123," ",D123," je ",F123,"?"),""))))))),IF(COUNTIF(B123:O123,"")=14,"",CONCATENATE("Doplň: ",IF(B123="",CONCATENATE($B$4,IF(COUNTIF(C123:G123,"")=0,"",", ")),""),IF(C123="",CONCATENATE($C$4,IF(COUNTIF(D123:G123,"")=0,"",", ")),""),IF(D123="",CONCATENATE($D$4,IF(COUNTIF(E123:G123,"")=0,"",", ")),""),IF(E123="",CONCATENATE($E$4,IF(COUNTIF(F123:G123,"")=0,"",", ")),""),IF(F123="",CONCATENATE($F$4,IF(G123="",", ","")),""),IF(G123="",$G$4,""))))</f>
        <v/>
      </c>
      <c r="AA123" s="30"/>
    </row>
    <row r="124" spans="1:27" ht="16" x14ac:dyDescent="0.35">
      <c r="A124" s="14" t="str">
        <f t="shared" si="4"/>
        <v xml:space="preserve">  </v>
      </c>
      <c r="B124" s="15"/>
      <c r="C124" s="31"/>
      <c r="D124" s="31"/>
      <c r="E124" s="17"/>
      <c r="F124" s="18"/>
      <c r="G124" s="32"/>
      <c r="H124" s="33" t="str">
        <f>IF(G124="","",IF(F124="žena",ROMAN(MATCH(G124+1,'[1]Normy VP'!$Y$27:$Y$33,-1)),ROMAN(MATCH(G124+1,'[1]Normy VP'!$Y$19:$Y$25,-1))))</f>
        <v/>
      </c>
      <c r="I124" s="21"/>
      <c r="J124" s="22"/>
      <c r="K124" s="23"/>
      <c r="L124" s="23"/>
      <c r="M124" s="23"/>
      <c r="N124" s="22"/>
      <c r="O124" s="22"/>
      <c r="P124" s="24" t="str">
        <f>IF(OR($J124="",$J124="odešel"),IF(K124="","",IF($F124="žena",CHOOSE(_xlfn.ARABIC($H124),MATCH(K124+1,'[1]Normy VP'!$C$25:$F$25,-1),MATCH(K124+1,'[1]Normy VP'!$C$26:$F$26,-1),MATCH(K124+1,'[1]Normy VP'!$C$27:$F$27,-1),MATCH(K124+1,'[1]Normy VP'!$C$28:$F$28,-1),MATCH(K124+1,'[1]Normy VP'!$C$29:$F$29,-1),"muž"),CHOOSE(_xlfn.ARABIC($H124),MATCH(K124+1,'[1]Normy VP'!$C$10:$F$10,-1),MATCH(K124+1,'[1]Normy VP'!$C$11:$F$11,-1),MATCH(K124+1,'[1]Normy VP'!$C$12:$F$12,-1),MATCH(K124+1,'[1]Normy VP'!$C$13:$F$13,-1),MATCH(K124+1,'[1]Normy VP'!$C$14:$F$14,-1),""))),"O")</f>
        <v/>
      </c>
      <c r="Q124" s="24" t="str">
        <f>IF(OR($J124="",$J124="odešel"),IF($F124="žena","",IF(L124="","",(CHOOSE(_xlfn.ARABIC($H124),MATCH(L124+1,'[1]Normy VP'!$G$10:$J$10,-1),MATCH(L124+1,'[1]Normy VP'!$G$11:$J$11,-1),MATCH(L124+1,'[1]Normy VP'!$G$12:$J$12,-1),MATCH(L124+1,'[1]Normy VP'!$G$13:$J$13,-1),MATCH(L124+1,'[1]Normy VP'!$G$14:$J$14,-1),"")))),"O")</f>
        <v/>
      </c>
      <c r="R124" s="34" t="str">
        <f t="shared" si="5"/>
        <v>N</v>
      </c>
      <c r="S124" s="24" t="str">
        <f>IF(OR($J124="",$J124="odešel"),IF(M124="","N",IF($F124="žena",CHOOSE(_xlfn.ARABIC($H124),MATCH(M124+1,'[1]Normy VP'!$G$25:$J$25,-1),MATCH(M124+1,'[1]Normy VP'!$G$26:$J$26,-1),MATCH(M124+1,'[1]Normy VP'!$G$27:$J$27,-1),MATCH(M124+1,'[1]Normy VP'!$G$28:$J$28,-1),MATCH(M124+1,'[1]Normy VP'!$G$29:$J$29,-1),"muž"),(CHOOSE(_xlfn.ARABIC($H124),MATCH(M124+1,'[1]Normy VP'!$K$10:$N$10,-1),MATCH(M124+1,'[1]Normy VP'!$K$11:$N$11,-1),MATCH(M124+1,'[1]Normy VP'!$K$12:$N$12,-1),MATCH(M124+1,'[1]Normy VP'!$K$13:$N$13,-1),MATCH(M124+1,'[1]Normy VP'!$K$14:$N$14,-1),"")))),"O")</f>
        <v>N</v>
      </c>
      <c r="T124" s="34" t="str">
        <f t="shared" si="6"/>
        <v>N</v>
      </c>
      <c r="U124" s="24" t="str">
        <f>IF(OR($J124="",$J124="odešel"),IF(N124="","N",IF($F124="žena",CHOOSE(_xlfn.ARABIC($H124),MATCH(N124+1,'[1]Normy VP'!$K$25:$N$25,-1),MATCH(N124+1,'[1]Normy VP'!$K$26:$N$26,-1),MATCH(N124+1,'[1]Normy VP'!$K$27:$N$27,-1),MATCH(N124+1,'[1]Normy VP'!$K$28:$N$28,-1),MATCH(N124+1,'[1]Normy VP'!$K$29:$N$29,-1),MATCH(N124+1,'[1]Normy VP'!$K$30:$N$30,-1)),CHOOSE(_xlfn.ARABIC($H124),MATCH(N124+1,'[1]Normy VP'!$O$10:$R$10,-1),MATCH(N124+1,'[1]Normy VP'!$O$11:$R$11,-1),MATCH(N124+1,'[1]Normy VP'!$O$12:$R$12,-1),MATCH(N124+1,'[1]Normy VP'!$O$13:$R$13,-1),MATCH(N124+1,'[1]Normy VP'!$O$14:$R$14,-1),MATCH(N124+1,'[1]Normy VP'!$O$15:$R$15,-1)))),"O")</f>
        <v>N</v>
      </c>
      <c r="V124" s="26" t="str">
        <f>IF(OR($J124="",$J124="odešel"),IF(O124="","N",IF($F124="žena",CHOOSE(_xlfn.ARABIC($H124),MATCH(O124-1,'[1]Normy VP'!$O$25:$R$25),MATCH(O124-1,'[1]Normy VP'!$O$26:$R$26),MATCH(O124-1,'[1]Normy VP'!$O$27:$R$27),MATCH(O124-1,'[1]Normy VP'!$O$28:$R$28),MATCH(O124-1,'[1]Normy VP'!$O$29:$R$29),MATCH(O124-1,'[1]Normy VP'!$O$30:$R$30)),CHOOSE(_xlfn.ARABIC($H124),MATCH(O124-1,'[1]Normy VP'!$S$10:$V$10),MATCH(O124-1,'[1]Normy VP'!$S$11:$V$11),MATCH(O124-1,'[1]Normy VP'!$S$12:$V$12),MATCH(O124-1,'[1]Normy VP'!$S$13:$V$13),MATCH(O124-1,'[1]Normy VP'!$S$14:$V$14),MATCH(O124-1,'[1]Normy VP'!$S$15:$V$15)))),"O")</f>
        <v>N</v>
      </c>
      <c r="W124" s="34" t="str">
        <f t="shared" si="7"/>
        <v>N</v>
      </c>
      <c r="X124" s="27" t="str">
        <f>IF(COUNTIF(B124:G124,"")&gt;0,"",IF(COUNTIF([1]PP!$A:$A,A124)=0,"neni v PP",IF(OR(Y124="odešel",VLOOKUP(A124,[1]PP!$A:$W,22,FALSE)="odešel"),"odešel",IF(OR(Y124="N",VLOOKUP(A124,[1]PP!$A:$W,22,FALSE)="N"),"N",IF(OR(Y124="C",VLOOKUP(A124,[1]PP!$A:$W,22,FALSE)="C"),"C",IF(OR(Y124="DZO",VLOOKUP(A124,[1]PP!$A:$W,22,FALSE)="DZO"),"DZO",IF(OR(Y124="mise",Y124="disp.",Y124="končí",Y124="DSC",VLOOKUP(A124,[1]PP!$A:$W,22,FALSE)="mise",VLOOKUP(A124,[1]PP!$A:$W,22,FALSE)="disp.",VLOOKUP(A124,[1]PP!$A:$W,22,FALSE)="končí",VLOOKUP(A124,[1]PP!$A:$W,22,FALSE)="DSC"),"jiné",IF(OR(Y124=4,VLOOKUP(A124,[1]PP!$A:$W,22,FALSE)=4),4,IF(OR(Y124=3,VLOOKUP(A124,[1]PP!$A:$W,22,FALSE)=3),3,IF(OR(Y124=2,VLOOKUP(A124,[1]PP!$A:$W,22,FALSE)=2),2,IF(AND(Y124=1,VLOOKUP(A124,[1]PP!$A:$W,22,FALSE)=1),1)))))))))))</f>
        <v/>
      </c>
      <c r="Y124" s="28" t="str">
        <f>IF(COUNTIF(B124:G124,"")&gt;0,"",IF(COUNTIF([1]PP!$A:$A,A124)=0,"neni v PP",IF(VLOOKUP(A124,[1]PP!$A:$W,8,FALSE)="odešel","odešel",IF(F124="","",IF(J124="",IF(OR(T124=4,W124=4),4,IF(AND(T124="N",W124="N"),"N",IF(OR(T124="N",W124="N"),4,ROUND(AVERAGE(T124,W124),0)))),J124)))))</f>
        <v/>
      </c>
      <c r="Z124" s="29" t="str">
        <f>IF(COUNTIF(B124:G124,"")=0,IF(X124="neni v PP",CONCATENATE("ID: &lt;",A124,"&gt; se neshoduje s žádným IDem v kartě PP"),IF(COUNTIF($A:$A,A124)&gt;1,CONCATENATE("ID: &lt;",A124,"&gt; se v kartě VP opakuje. Je nutné tyto IDy od sebe odlišit, např. mezerou za příjmením."),IF(COUNTIF([1]PP!A:A,A124)&gt;1,CONCATENATE("ID: &lt;",A124,"&gt; se v kartě PP opakuje. Je nutné tyto IDy od sebe odlišit, např. mezerou za příjmením."),IF(VLOOKUP(A124,[1]PP!$A:$W,5,FALSE)&lt;&gt;E124,CONCATENATE($E$4," &lt;",E124,"&gt; se neshoduje s jednotkou v kartě PP"," &lt;",VLOOKUP(A124,[1]PP!$A:$W,5,FALSE),"&gt;"),IF(AND(COUNTIF(K124:O124,"")&lt;5,J124="",I124=""),CONCATENATE("Doplň: ",$I$4),IF(AND(YEAR(I124)&lt;&gt;$E$2,COUNTIF(I124,"")=0),CONCATENATE("špatně uveden &lt;",$D$2,"&gt; nebo &lt;",$I$4,"&gt;"),IF(OR(AND(OR(COUNTIF(C124,"*a"),COUNTIF(C124,"*ie"),COUNTIF(C124,"*ine"),COUNTIF(D124,"*Á")),F124="muž"),AND(AND(COUNTIF(C124,"&lt;&gt;"&amp;"*a"),COUNTIF(C124,"&lt;&gt;"&amp;"*ie"),COUNTIF(C124,"&lt;&gt;"&amp;"*ine"),COUNTIF(D124,"&lt;&gt;"&amp;"*Á")),F124="žena")),CONCATENATE(C124," ",D124," je ",F124,"?"),""))))))),IF(COUNTIF(B124:O124,"")=14,"",CONCATENATE("Doplň: ",IF(B124="",CONCATENATE($B$4,IF(COUNTIF(C124:G124,"")=0,"",", ")),""),IF(C124="",CONCATENATE($C$4,IF(COUNTIF(D124:G124,"")=0,"",", ")),""),IF(D124="",CONCATENATE($D$4,IF(COUNTIF(E124:G124,"")=0,"",", ")),""),IF(E124="",CONCATENATE($E$4,IF(COUNTIF(F124:G124,"")=0,"",", ")),""),IF(F124="",CONCATENATE($F$4,IF(G124="",", ","")),""),IF(G124="",$G$4,""))))</f>
        <v/>
      </c>
      <c r="AA124" s="30"/>
    </row>
    <row r="125" spans="1:27" ht="16" x14ac:dyDescent="0.35">
      <c r="A125" s="14" t="str">
        <f t="shared" si="4"/>
        <v xml:space="preserve">  </v>
      </c>
      <c r="B125" s="15"/>
      <c r="C125" s="31"/>
      <c r="D125" s="31"/>
      <c r="E125" s="17"/>
      <c r="F125" s="18"/>
      <c r="G125" s="32"/>
      <c r="H125" s="33" t="str">
        <f>IF(G125="","",IF(F125="žena",ROMAN(MATCH(G125+1,'[1]Normy VP'!$Y$27:$Y$33,-1)),ROMAN(MATCH(G125+1,'[1]Normy VP'!$Y$19:$Y$25,-1))))</f>
        <v/>
      </c>
      <c r="I125" s="21"/>
      <c r="J125" s="22"/>
      <c r="K125" s="23"/>
      <c r="L125" s="23"/>
      <c r="M125" s="23"/>
      <c r="N125" s="22"/>
      <c r="O125" s="22"/>
      <c r="P125" s="24" t="str">
        <f>IF(OR($J125="",$J125="odešel"),IF(K125="","",IF($F125="žena",CHOOSE(_xlfn.ARABIC($H125),MATCH(K125+1,'[1]Normy VP'!$C$25:$F$25,-1),MATCH(K125+1,'[1]Normy VP'!$C$26:$F$26,-1),MATCH(K125+1,'[1]Normy VP'!$C$27:$F$27,-1),MATCH(K125+1,'[1]Normy VP'!$C$28:$F$28,-1),MATCH(K125+1,'[1]Normy VP'!$C$29:$F$29,-1),"muž"),CHOOSE(_xlfn.ARABIC($H125),MATCH(K125+1,'[1]Normy VP'!$C$10:$F$10,-1),MATCH(K125+1,'[1]Normy VP'!$C$11:$F$11,-1),MATCH(K125+1,'[1]Normy VP'!$C$12:$F$12,-1),MATCH(K125+1,'[1]Normy VP'!$C$13:$F$13,-1),MATCH(K125+1,'[1]Normy VP'!$C$14:$F$14,-1),""))),"O")</f>
        <v/>
      </c>
      <c r="Q125" s="24" t="str">
        <f>IF(OR($J125="",$J125="odešel"),IF($F125="žena","",IF(L125="","",(CHOOSE(_xlfn.ARABIC($H125),MATCH(L125+1,'[1]Normy VP'!$G$10:$J$10,-1),MATCH(L125+1,'[1]Normy VP'!$G$11:$J$11,-1),MATCH(L125+1,'[1]Normy VP'!$G$12:$J$12,-1),MATCH(L125+1,'[1]Normy VP'!$G$13:$J$13,-1),MATCH(L125+1,'[1]Normy VP'!$G$14:$J$14,-1),"")))),"O")</f>
        <v/>
      </c>
      <c r="R125" s="34" t="str">
        <f t="shared" si="5"/>
        <v>N</v>
      </c>
      <c r="S125" s="24" t="str">
        <f>IF(OR($J125="",$J125="odešel"),IF(M125="","N",IF($F125="žena",CHOOSE(_xlfn.ARABIC($H125),MATCH(M125+1,'[1]Normy VP'!$G$25:$J$25,-1),MATCH(M125+1,'[1]Normy VP'!$G$26:$J$26,-1),MATCH(M125+1,'[1]Normy VP'!$G$27:$J$27,-1),MATCH(M125+1,'[1]Normy VP'!$G$28:$J$28,-1),MATCH(M125+1,'[1]Normy VP'!$G$29:$J$29,-1),"muž"),(CHOOSE(_xlfn.ARABIC($H125),MATCH(M125+1,'[1]Normy VP'!$K$10:$N$10,-1),MATCH(M125+1,'[1]Normy VP'!$K$11:$N$11,-1),MATCH(M125+1,'[1]Normy VP'!$K$12:$N$12,-1),MATCH(M125+1,'[1]Normy VP'!$K$13:$N$13,-1),MATCH(M125+1,'[1]Normy VP'!$K$14:$N$14,-1),"")))),"O")</f>
        <v>N</v>
      </c>
      <c r="T125" s="34" t="str">
        <f t="shared" si="6"/>
        <v>N</v>
      </c>
      <c r="U125" s="24" t="str">
        <f>IF(OR($J125="",$J125="odešel"),IF(N125="","N",IF($F125="žena",CHOOSE(_xlfn.ARABIC($H125),MATCH(N125+1,'[1]Normy VP'!$K$25:$N$25,-1),MATCH(N125+1,'[1]Normy VP'!$K$26:$N$26,-1),MATCH(N125+1,'[1]Normy VP'!$K$27:$N$27,-1),MATCH(N125+1,'[1]Normy VP'!$K$28:$N$28,-1),MATCH(N125+1,'[1]Normy VP'!$K$29:$N$29,-1),MATCH(N125+1,'[1]Normy VP'!$K$30:$N$30,-1)),CHOOSE(_xlfn.ARABIC($H125),MATCH(N125+1,'[1]Normy VP'!$O$10:$R$10,-1),MATCH(N125+1,'[1]Normy VP'!$O$11:$R$11,-1),MATCH(N125+1,'[1]Normy VP'!$O$12:$R$12,-1),MATCH(N125+1,'[1]Normy VP'!$O$13:$R$13,-1),MATCH(N125+1,'[1]Normy VP'!$O$14:$R$14,-1),MATCH(N125+1,'[1]Normy VP'!$O$15:$R$15,-1)))),"O")</f>
        <v>N</v>
      </c>
      <c r="V125" s="26" t="str">
        <f>IF(OR($J125="",$J125="odešel"),IF(O125="","N",IF($F125="žena",CHOOSE(_xlfn.ARABIC($H125),MATCH(O125-1,'[1]Normy VP'!$O$25:$R$25),MATCH(O125-1,'[1]Normy VP'!$O$26:$R$26),MATCH(O125-1,'[1]Normy VP'!$O$27:$R$27),MATCH(O125-1,'[1]Normy VP'!$O$28:$R$28),MATCH(O125-1,'[1]Normy VP'!$O$29:$R$29),MATCH(O125-1,'[1]Normy VP'!$O$30:$R$30)),CHOOSE(_xlfn.ARABIC($H125),MATCH(O125-1,'[1]Normy VP'!$S$10:$V$10),MATCH(O125-1,'[1]Normy VP'!$S$11:$V$11),MATCH(O125-1,'[1]Normy VP'!$S$12:$V$12),MATCH(O125-1,'[1]Normy VP'!$S$13:$V$13),MATCH(O125-1,'[1]Normy VP'!$S$14:$V$14),MATCH(O125-1,'[1]Normy VP'!$S$15:$V$15)))),"O")</f>
        <v>N</v>
      </c>
      <c r="W125" s="34" t="str">
        <f t="shared" si="7"/>
        <v>N</v>
      </c>
      <c r="X125" s="27" t="str">
        <f>IF(COUNTIF(B125:G125,"")&gt;0,"",IF(COUNTIF([1]PP!$A:$A,A125)=0,"neni v PP",IF(OR(Y125="odešel",VLOOKUP(A125,[1]PP!$A:$W,22,FALSE)="odešel"),"odešel",IF(OR(Y125="N",VLOOKUP(A125,[1]PP!$A:$W,22,FALSE)="N"),"N",IF(OR(Y125="C",VLOOKUP(A125,[1]PP!$A:$W,22,FALSE)="C"),"C",IF(OR(Y125="DZO",VLOOKUP(A125,[1]PP!$A:$W,22,FALSE)="DZO"),"DZO",IF(OR(Y125="mise",Y125="disp.",Y125="končí",Y125="DSC",VLOOKUP(A125,[1]PP!$A:$W,22,FALSE)="mise",VLOOKUP(A125,[1]PP!$A:$W,22,FALSE)="disp.",VLOOKUP(A125,[1]PP!$A:$W,22,FALSE)="končí",VLOOKUP(A125,[1]PP!$A:$W,22,FALSE)="DSC"),"jiné",IF(OR(Y125=4,VLOOKUP(A125,[1]PP!$A:$W,22,FALSE)=4),4,IF(OR(Y125=3,VLOOKUP(A125,[1]PP!$A:$W,22,FALSE)=3),3,IF(OR(Y125=2,VLOOKUP(A125,[1]PP!$A:$W,22,FALSE)=2),2,IF(AND(Y125=1,VLOOKUP(A125,[1]PP!$A:$W,22,FALSE)=1),1)))))))))))</f>
        <v/>
      </c>
      <c r="Y125" s="28" t="str">
        <f>IF(COUNTIF(B125:G125,"")&gt;0,"",IF(COUNTIF([1]PP!$A:$A,A125)=0,"neni v PP",IF(VLOOKUP(A125,[1]PP!$A:$W,8,FALSE)="odešel","odešel",IF(F125="","",IF(J125="",IF(OR(T125=4,W125=4),4,IF(AND(T125="N",W125="N"),"N",IF(OR(T125="N",W125="N"),4,ROUND(AVERAGE(T125,W125),0)))),J125)))))</f>
        <v/>
      </c>
      <c r="Z125" s="29" t="str">
        <f>IF(COUNTIF(B125:G125,"")=0,IF(X125="neni v PP",CONCATENATE("ID: &lt;",A125,"&gt; se neshoduje s žádným IDem v kartě PP"),IF(COUNTIF($A:$A,A125)&gt;1,CONCATENATE("ID: &lt;",A125,"&gt; se v kartě VP opakuje. Je nutné tyto IDy od sebe odlišit, např. mezerou za příjmením."),IF(COUNTIF([1]PP!A:A,A125)&gt;1,CONCATENATE("ID: &lt;",A125,"&gt; se v kartě PP opakuje. Je nutné tyto IDy od sebe odlišit, např. mezerou za příjmením."),IF(VLOOKUP(A125,[1]PP!$A:$W,5,FALSE)&lt;&gt;E125,CONCATENATE($E$4," &lt;",E125,"&gt; se neshoduje s jednotkou v kartě PP"," &lt;",VLOOKUP(A125,[1]PP!$A:$W,5,FALSE),"&gt;"),IF(AND(COUNTIF(K125:O125,"")&lt;5,J125="",I125=""),CONCATENATE("Doplň: ",$I$4),IF(AND(YEAR(I125)&lt;&gt;$E$2,COUNTIF(I125,"")=0),CONCATENATE("špatně uveden &lt;",$D$2,"&gt; nebo &lt;",$I$4,"&gt;"),IF(OR(AND(OR(COUNTIF(C125,"*a"),COUNTIF(C125,"*ie"),COUNTIF(C125,"*ine"),COUNTIF(D125,"*Á")),F125="muž"),AND(AND(COUNTIF(C125,"&lt;&gt;"&amp;"*a"),COUNTIF(C125,"&lt;&gt;"&amp;"*ie"),COUNTIF(C125,"&lt;&gt;"&amp;"*ine"),COUNTIF(D125,"&lt;&gt;"&amp;"*Á")),F125="žena")),CONCATENATE(C125," ",D125," je ",F125,"?"),""))))))),IF(COUNTIF(B125:O125,"")=14,"",CONCATENATE("Doplň: ",IF(B125="",CONCATENATE($B$4,IF(COUNTIF(C125:G125,"")=0,"",", ")),""),IF(C125="",CONCATENATE($C$4,IF(COUNTIF(D125:G125,"")=0,"",", ")),""),IF(D125="",CONCATENATE($D$4,IF(COUNTIF(E125:G125,"")=0,"",", ")),""),IF(E125="",CONCATENATE($E$4,IF(COUNTIF(F125:G125,"")=0,"",", ")),""),IF(F125="",CONCATENATE($F$4,IF(G125="",", ","")),""),IF(G125="",$G$4,""))))</f>
        <v/>
      </c>
      <c r="AA125" s="30"/>
    </row>
    <row r="126" spans="1:27" ht="16" x14ac:dyDescent="0.35">
      <c r="A126" s="14" t="str">
        <f t="shared" si="4"/>
        <v xml:space="preserve">  </v>
      </c>
      <c r="B126" s="15"/>
      <c r="C126" s="31"/>
      <c r="D126" s="31"/>
      <c r="E126" s="17"/>
      <c r="F126" s="18"/>
      <c r="G126" s="32"/>
      <c r="H126" s="33" t="str">
        <f>IF(G126="","",IF(F126="žena",ROMAN(MATCH(G126+1,'[1]Normy VP'!$Y$27:$Y$33,-1)),ROMAN(MATCH(G126+1,'[1]Normy VP'!$Y$19:$Y$25,-1))))</f>
        <v/>
      </c>
      <c r="I126" s="21"/>
      <c r="J126" s="22"/>
      <c r="K126" s="23"/>
      <c r="L126" s="23"/>
      <c r="M126" s="23"/>
      <c r="N126" s="22"/>
      <c r="O126" s="22"/>
      <c r="P126" s="24" t="str">
        <f>IF(OR($J126="",$J126="odešel"),IF(K126="","",IF($F126="žena",CHOOSE(_xlfn.ARABIC($H126),MATCH(K126+1,'[1]Normy VP'!$C$25:$F$25,-1),MATCH(K126+1,'[1]Normy VP'!$C$26:$F$26,-1),MATCH(K126+1,'[1]Normy VP'!$C$27:$F$27,-1),MATCH(K126+1,'[1]Normy VP'!$C$28:$F$28,-1),MATCH(K126+1,'[1]Normy VP'!$C$29:$F$29,-1),"muž"),CHOOSE(_xlfn.ARABIC($H126),MATCH(K126+1,'[1]Normy VP'!$C$10:$F$10,-1),MATCH(K126+1,'[1]Normy VP'!$C$11:$F$11,-1),MATCH(K126+1,'[1]Normy VP'!$C$12:$F$12,-1),MATCH(K126+1,'[1]Normy VP'!$C$13:$F$13,-1),MATCH(K126+1,'[1]Normy VP'!$C$14:$F$14,-1),""))),"O")</f>
        <v/>
      </c>
      <c r="Q126" s="24" t="str">
        <f>IF(OR($J126="",$J126="odešel"),IF($F126="žena","",IF(L126="","",(CHOOSE(_xlfn.ARABIC($H126),MATCH(L126+1,'[1]Normy VP'!$G$10:$J$10,-1),MATCH(L126+1,'[1]Normy VP'!$G$11:$J$11,-1),MATCH(L126+1,'[1]Normy VP'!$G$12:$J$12,-1),MATCH(L126+1,'[1]Normy VP'!$G$13:$J$13,-1),MATCH(L126+1,'[1]Normy VP'!$G$14:$J$14,-1),"")))),"O")</f>
        <v/>
      </c>
      <c r="R126" s="34" t="str">
        <f t="shared" si="5"/>
        <v>N</v>
      </c>
      <c r="S126" s="24" t="str">
        <f>IF(OR($J126="",$J126="odešel"),IF(M126="","N",IF($F126="žena",CHOOSE(_xlfn.ARABIC($H126),MATCH(M126+1,'[1]Normy VP'!$G$25:$J$25,-1),MATCH(M126+1,'[1]Normy VP'!$G$26:$J$26,-1),MATCH(M126+1,'[1]Normy VP'!$G$27:$J$27,-1),MATCH(M126+1,'[1]Normy VP'!$G$28:$J$28,-1),MATCH(M126+1,'[1]Normy VP'!$G$29:$J$29,-1),"muž"),(CHOOSE(_xlfn.ARABIC($H126),MATCH(M126+1,'[1]Normy VP'!$K$10:$N$10,-1),MATCH(M126+1,'[1]Normy VP'!$K$11:$N$11,-1),MATCH(M126+1,'[1]Normy VP'!$K$12:$N$12,-1),MATCH(M126+1,'[1]Normy VP'!$K$13:$N$13,-1),MATCH(M126+1,'[1]Normy VP'!$K$14:$N$14,-1),"")))),"O")</f>
        <v>N</v>
      </c>
      <c r="T126" s="34" t="str">
        <f t="shared" si="6"/>
        <v>N</v>
      </c>
      <c r="U126" s="24" t="str">
        <f>IF(OR($J126="",$J126="odešel"),IF(N126="","N",IF($F126="žena",CHOOSE(_xlfn.ARABIC($H126),MATCH(N126+1,'[1]Normy VP'!$K$25:$N$25,-1),MATCH(N126+1,'[1]Normy VP'!$K$26:$N$26,-1),MATCH(N126+1,'[1]Normy VP'!$K$27:$N$27,-1),MATCH(N126+1,'[1]Normy VP'!$K$28:$N$28,-1),MATCH(N126+1,'[1]Normy VP'!$K$29:$N$29,-1),MATCH(N126+1,'[1]Normy VP'!$K$30:$N$30,-1)),CHOOSE(_xlfn.ARABIC($H126),MATCH(N126+1,'[1]Normy VP'!$O$10:$R$10,-1),MATCH(N126+1,'[1]Normy VP'!$O$11:$R$11,-1),MATCH(N126+1,'[1]Normy VP'!$O$12:$R$12,-1),MATCH(N126+1,'[1]Normy VP'!$O$13:$R$13,-1),MATCH(N126+1,'[1]Normy VP'!$O$14:$R$14,-1),MATCH(N126+1,'[1]Normy VP'!$O$15:$R$15,-1)))),"O")</f>
        <v>N</v>
      </c>
      <c r="V126" s="26" t="str">
        <f>IF(OR($J126="",$J126="odešel"),IF(O126="","N",IF($F126="žena",CHOOSE(_xlfn.ARABIC($H126),MATCH(O126-1,'[1]Normy VP'!$O$25:$R$25),MATCH(O126-1,'[1]Normy VP'!$O$26:$R$26),MATCH(O126-1,'[1]Normy VP'!$O$27:$R$27),MATCH(O126-1,'[1]Normy VP'!$O$28:$R$28),MATCH(O126-1,'[1]Normy VP'!$O$29:$R$29),MATCH(O126-1,'[1]Normy VP'!$O$30:$R$30)),CHOOSE(_xlfn.ARABIC($H126),MATCH(O126-1,'[1]Normy VP'!$S$10:$V$10),MATCH(O126-1,'[1]Normy VP'!$S$11:$V$11),MATCH(O126-1,'[1]Normy VP'!$S$12:$V$12),MATCH(O126-1,'[1]Normy VP'!$S$13:$V$13),MATCH(O126-1,'[1]Normy VP'!$S$14:$V$14),MATCH(O126-1,'[1]Normy VP'!$S$15:$V$15)))),"O")</f>
        <v>N</v>
      </c>
      <c r="W126" s="34" t="str">
        <f t="shared" si="7"/>
        <v>N</v>
      </c>
      <c r="X126" s="27" t="str">
        <f>IF(COUNTIF(B126:G126,"")&gt;0,"",IF(COUNTIF([1]PP!$A:$A,A126)=0,"neni v PP",IF(OR(Y126="odešel",VLOOKUP(A126,[1]PP!$A:$W,22,FALSE)="odešel"),"odešel",IF(OR(Y126="N",VLOOKUP(A126,[1]PP!$A:$W,22,FALSE)="N"),"N",IF(OR(Y126="C",VLOOKUP(A126,[1]PP!$A:$W,22,FALSE)="C"),"C",IF(OR(Y126="DZO",VLOOKUP(A126,[1]PP!$A:$W,22,FALSE)="DZO"),"DZO",IF(OR(Y126="mise",Y126="disp.",Y126="končí",Y126="DSC",VLOOKUP(A126,[1]PP!$A:$W,22,FALSE)="mise",VLOOKUP(A126,[1]PP!$A:$W,22,FALSE)="disp.",VLOOKUP(A126,[1]PP!$A:$W,22,FALSE)="končí",VLOOKUP(A126,[1]PP!$A:$W,22,FALSE)="DSC"),"jiné",IF(OR(Y126=4,VLOOKUP(A126,[1]PP!$A:$W,22,FALSE)=4),4,IF(OR(Y126=3,VLOOKUP(A126,[1]PP!$A:$W,22,FALSE)=3),3,IF(OR(Y126=2,VLOOKUP(A126,[1]PP!$A:$W,22,FALSE)=2),2,IF(AND(Y126=1,VLOOKUP(A126,[1]PP!$A:$W,22,FALSE)=1),1)))))))))))</f>
        <v/>
      </c>
      <c r="Y126" s="28" t="str">
        <f>IF(COUNTIF(B126:G126,"")&gt;0,"",IF(COUNTIF([1]PP!$A:$A,A126)=0,"neni v PP",IF(VLOOKUP(A126,[1]PP!$A:$W,8,FALSE)="odešel","odešel",IF(F126="","",IF(J126="",IF(OR(T126=4,W126=4),4,IF(AND(T126="N",W126="N"),"N",IF(OR(T126="N",W126="N"),4,ROUND(AVERAGE(T126,W126),0)))),J126)))))</f>
        <v/>
      </c>
      <c r="Z126" s="29"/>
      <c r="AA126" s="30"/>
    </row>
    <row r="127" spans="1:27" ht="16" x14ac:dyDescent="0.35">
      <c r="A127" s="14" t="str">
        <f t="shared" si="4"/>
        <v xml:space="preserve">  </v>
      </c>
      <c r="B127" s="15"/>
      <c r="C127" s="31"/>
      <c r="D127" s="31"/>
      <c r="E127" s="17"/>
      <c r="F127" s="18"/>
      <c r="G127" s="32"/>
      <c r="H127" s="33" t="str">
        <f>IF(G127="","",IF(F127="žena",ROMAN(MATCH(G127+1,'[1]Normy VP'!$Y$27:$Y$33,-1)),ROMAN(MATCH(G127+1,'[1]Normy VP'!$Y$19:$Y$25,-1))))</f>
        <v/>
      </c>
      <c r="I127" s="21"/>
      <c r="J127" s="22"/>
      <c r="K127" s="23"/>
      <c r="L127" s="23"/>
      <c r="M127" s="23"/>
      <c r="N127" s="22"/>
      <c r="O127" s="22"/>
      <c r="P127" s="24" t="str">
        <f>IF(OR($J127="",$J127="odešel"),IF(K127="","",IF($F127="žena",CHOOSE(_xlfn.ARABIC($H127),MATCH(K127+1,'[1]Normy VP'!$C$25:$F$25,-1),MATCH(K127+1,'[1]Normy VP'!$C$26:$F$26,-1),MATCH(K127+1,'[1]Normy VP'!$C$27:$F$27,-1),MATCH(K127+1,'[1]Normy VP'!$C$28:$F$28,-1),MATCH(K127+1,'[1]Normy VP'!$C$29:$F$29,-1),"muž"),CHOOSE(_xlfn.ARABIC($H127),MATCH(K127+1,'[1]Normy VP'!$C$10:$F$10,-1),MATCH(K127+1,'[1]Normy VP'!$C$11:$F$11,-1),MATCH(K127+1,'[1]Normy VP'!$C$12:$F$12,-1),MATCH(K127+1,'[1]Normy VP'!$C$13:$F$13,-1),MATCH(K127+1,'[1]Normy VP'!$C$14:$F$14,-1),""))),"O")</f>
        <v/>
      </c>
      <c r="Q127" s="24" t="str">
        <f>IF(OR($J127="",$J127="odešel"),IF($F127="žena","",IF(L127="","",(CHOOSE(_xlfn.ARABIC($H127),MATCH(L127+1,'[1]Normy VP'!$G$10:$J$10,-1),MATCH(L127+1,'[1]Normy VP'!$G$11:$J$11,-1),MATCH(L127+1,'[1]Normy VP'!$G$12:$J$12,-1),MATCH(L127+1,'[1]Normy VP'!$G$13:$J$13,-1),MATCH(L127+1,'[1]Normy VP'!$G$14:$J$14,-1),"")))),"O")</f>
        <v/>
      </c>
      <c r="R127" s="34" t="str">
        <f t="shared" si="5"/>
        <v>N</v>
      </c>
      <c r="S127" s="24" t="str">
        <f>IF(OR($J127="",$J127="odešel"),IF(M127="","N",IF($F127="žena",CHOOSE(_xlfn.ARABIC($H127),MATCH(M127+1,'[1]Normy VP'!$G$25:$J$25,-1),MATCH(M127+1,'[1]Normy VP'!$G$26:$J$26,-1),MATCH(M127+1,'[1]Normy VP'!$G$27:$J$27,-1),MATCH(M127+1,'[1]Normy VP'!$G$28:$J$28,-1),MATCH(M127+1,'[1]Normy VP'!$G$29:$J$29,-1),"muž"),(CHOOSE(_xlfn.ARABIC($H127),MATCH(M127+1,'[1]Normy VP'!$K$10:$N$10,-1),MATCH(M127+1,'[1]Normy VP'!$K$11:$N$11,-1),MATCH(M127+1,'[1]Normy VP'!$K$12:$N$12,-1),MATCH(M127+1,'[1]Normy VP'!$K$13:$N$13,-1),MATCH(M127+1,'[1]Normy VP'!$K$14:$N$14,-1),"")))),"O")</f>
        <v>N</v>
      </c>
      <c r="T127" s="34" t="str">
        <f t="shared" si="6"/>
        <v>N</v>
      </c>
      <c r="U127" s="24" t="str">
        <f>IF(OR($J127="",$J127="odešel"),IF(N127="","N",IF($F127="žena",CHOOSE(_xlfn.ARABIC($H127),MATCH(N127+1,'[1]Normy VP'!$K$25:$N$25,-1),MATCH(N127+1,'[1]Normy VP'!$K$26:$N$26,-1),MATCH(N127+1,'[1]Normy VP'!$K$27:$N$27,-1),MATCH(N127+1,'[1]Normy VP'!$K$28:$N$28,-1),MATCH(N127+1,'[1]Normy VP'!$K$29:$N$29,-1),MATCH(N127+1,'[1]Normy VP'!$K$30:$N$30,-1)),CHOOSE(_xlfn.ARABIC($H127),MATCH(N127+1,'[1]Normy VP'!$O$10:$R$10,-1),MATCH(N127+1,'[1]Normy VP'!$O$11:$R$11,-1),MATCH(N127+1,'[1]Normy VP'!$O$12:$R$12,-1),MATCH(N127+1,'[1]Normy VP'!$O$13:$R$13,-1),MATCH(N127+1,'[1]Normy VP'!$O$14:$R$14,-1),MATCH(N127+1,'[1]Normy VP'!$O$15:$R$15,-1)))),"O")</f>
        <v>N</v>
      </c>
      <c r="V127" s="26" t="str">
        <f>IF(OR($J127="",$J127="odešel"),IF(O127="","N",IF($F127="žena",CHOOSE(_xlfn.ARABIC($H127),MATCH(O127-1,'[1]Normy VP'!$O$25:$R$25),MATCH(O127-1,'[1]Normy VP'!$O$26:$R$26),MATCH(O127-1,'[1]Normy VP'!$O$27:$R$27),MATCH(O127-1,'[1]Normy VP'!$O$28:$R$28),MATCH(O127-1,'[1]Normy VP'!$O$29:$R$29),MATCH(O127-1,'[1]Normy VP'!$O$30:$R$30)),CHOOSE(_xlfn.ARABIC($H127),MATCH(O127-1,'[1]Normy VP'!$S$10:$V$10),MATCH(O127-1,'[1]Normy VP'!$S$11:$V$11),MATCH(O127-1,'[1]Normy VP'!$S$12:$V$12),MATCH(O127-1,'[1]Normy VP'!$S$13:$V$13),MATCH(O127-1,'[1]Normy VP'!$S$14:$V$14),MATCH(O127-1,'[1]Normy VP'!$S$15:$V$15)))),"O")</f>
        <v>N</v>
      </c>
      <c r="W127" s="34" t="str">
        <f t="shared" si="7"/>
        <v>N</v>
      </c>
      <c r="X127" s="27" t="str">
        <f>IF(COUNTIF(B127:G127,"")&gt;0,"",IF(COUNTIF([1]PP!$A:$A,A127)=0,"neni v PP",IF(OR(Y127="odešel",VLOOKUP(A127,[1]PP!$A:$W,22,FALSE)="odešel"),"odešel",IF(OR(Y127="N",VLOOKUP(A127,[1]PP!$A:$W,22,FALSE)="N"),"N",IF(OR(Y127="C",VLOOKUP(A127,[1]PP!$A:$W,22,FALSE)="C"),"C",IF(OR(Y127="DZO",VLOOKUP(A127,[1]PP!$A:$W,22,FALSE)="DZO"),"DZO",IF(OR(Y127="mise",Y127="disp.",Y127="končí",Y127="DSC",VLOOKUP(A127,[1]PP!$A:$W,22,FALSE)="mise",VLOOKUP(A127,[1]PP!$A:$W,22,FALSE)="disp.",VLOOKUP(A127,[1]PP!$A:$W,22,FALSE)="končí",VLOOKUP(A127,[1]PP!$A:$W,22,FALSE)="DSC"),"jiné",IF(OR(Y127=4,VLOOKUP(A127,[1]PP!$A:$W,22,FALSE)=4),4,IF(OR(Y127=3,VLOOKUP(A127,[1]PP!$A:$W,22,FALSE)=3),3,IF(OR(Y127=2,VLOOKUP(A127,[1]PP!$A:$W,22,FALSE)=2),2,IF(AND(Y127=1,VLOOKUP(A127,[1]PP!$A:$W,22,FALSE)=1),1)))))))))))</f>
        <v/>
      </c>
      <c r="Y127" s="28" t="str">
        <f>IF(COUNTIF(B127:G127,"")&gt;0,"",IF(COUNTIF([1]PP!$A:$A,A127)=0,"neni v PP",IF(VLOOKUP(A127,[1]PP!$A:$W,8,FALSE)="odešel","odešel",IF(F127="","",IF(J127="",IF(OR(T127=4,W127=4),4,IF(AND(T127="N",W127="N"),"N",IF(OR(T127="N",W127="N"),4,ROUND(AVERAGE(T127,W127),0)))),J127)))))</f>
        <v/>
      </c>
      <c r="Z127" s="29" t="str">
        <f>IF(COUNTIF(B127:G127,"")=0,IF(X127="neni v PP",CONCATENATE("ID: &lt;",A127,"&gt; se neshoduje s žádným IDem v kartě PP"),IF(COUNTIF($A:$A,A127)&gt;1,CONCATENATE("ID: &lt;",A127,"&gt; se v kartě VP opakuje. Je nutné tyto IDy od sebe odlišit, např. mezerou za příjmením."),IF(COUNTIF([1]PP!A:A,A127)&gt;1,CONCATENATE("ID: &lt;",A127,"&gt; se v kartě PP opakuje. Je nutné tyto IDy od sebe odlišit, např. mezerou za příjmením."),IF(VLOOKUP(A127,[1]PP!$A:$W,5,FALSE)&lt;&gt;E127,CONCATENATE($E$4," &lt;",E127,"&gt; se neshoduje s jednotkou v kartě PP"," &lt;",VLOOKUP(A127,[1]PP!$A:$W,5,FALSE),"&gt;"),IF(AND(COUNTIF(K127:O127,"")&lt;5,J127="",I127=""),CONCATENATE("Doplň: ",$I$4),IF(AND(YEAR(I127)&lt;&gt;$E$2,COUNTIF(I127,"")=0),CONCATENATE("špatně uveden &lt;",$D$2,"&gt; nebo &lt;",$I$4,"&gt;"),IF(OR(AND(OR(COUNTIF(C127,"*a"),COUNTIF(C127,"*ie"),COUNTIF(C127,"*ine"),COUNTIF(D127,"*Á")),F127="muž"),AND(AND(COUNTIF(C127,"&lt;&gt;"&amp;"*a"),COUNTIF(C127,"&lt;&gt;"&amp;"*ie"),COUNTIF(C127,"&lt;&gt;"&amp;"*ine"),COUNTIF(D127,"&lt;&gt;"&amp;"*Á")),F127="žena")),CONCATENATE(C127," ",D127," je ",F127,"?"),""))))))),IF(COUNTIF(B127:O127,"")=14,"",CONCATENATE("Doplň: ",IF(B127="",CONCATENATE($B$4,IF(COUNTIF(C127:G127,"")=0,"",", ")),""),IF(C127="",CONCATENATE($C$4,IF(COUNTIF(D127:G127,"")=0,"",", ")),""),IF(D127="",CONCATENATE($D$4,IF(COUNTIF(E127:G127,"")=0,"",", ")),""),IF(E127="",CONCATENATE($E$4,IF(COUNTIF(F127:G127,"")=0,"",", ")),""),IF(F127="",CONCATENATE($F$4,IF(G127="",", ","")),""),IF(G127="",$G$4,""))))</f>
        <v/>
      </c>
      <c r="AA127" s="30"/>
    </row>
    <row r="128" spans="1:27" ht="16" x14ac:dyDescent="0.35">
      <c r="A128" s="14" t="str">
        <f t="shared" si="4"/>
        <v xml:space="preserve">  </v>
      </c>
      <c r="B128" s="15"/>
      <c r="C128" s="31"/>
      <c r="D128" s="31"/>
      <c r="E128" s="17"/>
      <c r="F128" s="18"/>
      <c r="G128" s="32"/>
      <c r="H128" s="33" t="str">
        <f>IF(G128="","",IF(F128="žena",ROMAN(MATCH(G128+1,'[1]Normy VP'!$Y$27:$Y$33,-1)),ROMAN(MATCH(G128+1,'[1]Normy VP'!$Y$19:$Y$25,-1))))</f>
        <v/>
      </c>
      <c r="I128" s="21"/>
      <c r="J128" s="22"/>
      <c r="K128" s="23"/>
      <c r="L128" s="23"/>
      <c r="M128" s="23"/>
      <c r="N128" s="22"/>
      <c r="O128" s="22"/>
      <c r="P128" s="24" t="str">
        <f>IF(OR($J128="",$J128="odešel"),IF(K128="","",IF($F128="žena",CHOOSE(_xlfn.ARABIC($H128),MATCH(K128+1,'[1]Normy VP'!$C$25:$F$25,-1),MATCH(K128+1,'[1]Normy VP'!$C$26:$F$26,-1),MATCH(K128+1,'[1]Normy VP'!$C$27:$F$27,-1),MATCH(K128+1,'[1]Normy VP'!$C$28:$F$28,-1),MATCH(K128+1,'[1]Normy VP'!$C$29:$F$29,-1),"muž"),CHOOSE(_xlfn.ARABIC($H128),MATCH(K128+1,'[1]Normy VP'!$C$10:$F$10,-1),MATCH(K128+1,'[1]Normy VP'!$C$11:$F$11,-1),MATCH(K128+1,'[1]Normy VP'!$C$12:$F$12,-1),MATCH(K128+1,'[1]Normy VP'!$C$13:$F$13,-1),MATCH(K128+1,'[1]Normy VP'!$C$14:$F$14,-1),""))),"O")</f>
        <v/>
      </c>
      <c r="Q128" s="24" t="str">
        <f>IF(OR($J128="",$J128="odešel"),IF($F128="žena","",IF(L128="","",(CHOOSE(_xlfn.ARABIC($H128),MATCH(L128+1,'[1]Normy VP'!$G$10:$J$10,-1),MATCH(L128+1,'[1]Normy VP'!$G$11:$J$11,-1),MATCH(L128+1,'[1]Normy VP'!$G$12:$J$12,-1),MATCH(L128+1,'[1]Normy VP'!$G$13:$J$13,-1),MATCH(L128+1,'[1]Normy VP'!$G$14:$J$14,-1),"")))),"O")</f>
        <v/>
      </c>
      <c r="R128" s="34" t="str">
        <f t="shared" si="5"/>
        <v>N</v>
      </c>
      <c r="S128" s="24" t="str">
        <f>IF(OR($J128="",$J128="odešel"),IF(M128="","N",IF($F128="žena",CHOOSE(_xlfn.ARABIC($H128),MATCH(M128+1,'[1]Normy VP'!$G$25:$J$25,-1),MATCH(M128+1,'[1]Normy VP'!$G$26:$J$26,-1),MATCH(M128+1,'[1]Normy VP'!$G$27:$J$27,-1),MATCH(M128+1,'[1]Normy VP'!$G$28:$J$28,-1),MATCH(M128+1,'[1]Normy VP'!$G$29:$J$29,-1),"muž"),(CHOOSE(_xlfn.ARABIC($H128),MATCH(M128+1,'[1]Normy VP'!$K$10:$N$10,-1),MATCH(M128+1,'[1]Normy VP'!$K$11:$N$11,-1),MATCH(M128+1,'[1]Normy VP'!$K$12:$N$12,-1),MATCH(M128+1,'[1]Normy VP'!$K$13:$N$13,-1),MATCH(M128+1,'[1]Normy VP'!$K$14:$N$14,-1),"")))),"O")</f>
        <v>N</v>
      </c>
      <c r="T128" s="34" t="str">
        <f t="shared" si="6"/>
        <v>N</v>
      </c>
      <c r="U128" s="24" t="str">
        <f>IF(OR($J128="",$J128="odešel"),IF(N128="","N",IF($F128="žena",CHOOSE(_xlfn.ARABIC($H128),MATCH(N128+1,'[1]Normy VP'!$K$25:$N$25,-1),MATCH(N128+1,'[1]Normy VP'!$K$26:$N$26,-1),MATCH(N128+1,'[1]Normy VP'!$K$27:$N$27,-1),MATCH(N128+1,'[1]Normy VP'!$K$28:$N$28,-1),MATCH(N128+1,'[1]Normy VP'!$K$29:$N$29,-1),MATCH(N128+1,'[1]Normy VP'!$K$30:$N$30,-1)),CHOOSE(_xlfn.ARABIC($H128),MATCH(N128+1,'[1]Normy VP'!$O$10:$R$10,-1),MATCH(N128+1,'[1]Normy VP'!$O$11:$R$11,-1),MATCH(N128+1,'[1]Normy VP'!$O$12:$R$12,-1),MATCH(N128+1,'[1]Normy VP'!$O$13:$R$13,-1),MATCH(N128+1,'[1]Normy VP'!$O$14:$R$14,-1),MATCH(N128+1,'[1]Normy VP'!$O$15:$R$15,-1)))),"O")</f>
        <v>N</v>
      </c>
      <c r="V128" s="26" t="str">
        <f>IF(OR($J128="",$J128="odešel"),IF(O128="","N",IF($F128="žena",CHOOSE(_xlfn.ARABIC($H128),MATCH(O128-1,'[1]Normy VP'!$O$25:$R$25),MATCH(O128-1,'[1]Normy VP'!$O$26:$R$26),MATCH(O128-1,'[1]Normy VP'!$O$27:$R$27),MATCH(O128-1,'[1]Normy VP'!$O$28:$R$28),MATCH(O128-1,'[1]Normy VP'!$O$29:$R$29),MATCH(O128-1,'[1]Normy VP'!$O$30:$R$30)),CHOOSE(_xlfn.ARABIC($H128),MATCH(O128-1,'[1]Normy VP'!$S$10:$V$10),MATCH(O128-1,'[1]Normy VP'!$S$11:$V$11),MATCH(O128-1,'[1]Normy VP'!$S$12:$V$12),MATCH(O128-1,'[1]Normy VP'!$S$13:$V$13),MATCH(O128-1,'[1]Normy VP'!$S$14:$V$14),MATCH(O128-1,'[1]Normy VP'!$S$15:$V$15)))),"O")</f>
        <v>N</v>
      </c>
      <c r="W128" s="34" t="str">
        <f t="shared" si="7"/>
        <v>N</v>
      </c>
      <c r="X128" s="27" t="str">
        <f>IF(COUNTIF(B128:G128,"")&gt;0,"",IF(COUNTIF([1]PP!$A:$A,A128)=0,"neni v PP",IF(OR(Y128="odešel",VLOOKUP(A128,[1]PP!$A:$W,22,FALSE)="odešel"),"odešel",IF(OR(Y128="N",VLOOKUP(A128,[1]PP!$A:$W,22,FALSE)="N"),"N",IF(OR(Y128="C",VLOOKUP(A128,[1]PP!$A:$W,22,FALSE)="C"),"C",IF(OR(Y128="DZO",VLOOKUP(A128,[1]PP!$A:$W,22,FALSE)="DZO"),"DZO",IF(OR(Y128="mise",Y128="disp.",Y128="končí",Y128="DSC",VLOOKUP(A128,[1]PP!$A:$W,22,FALSE)="mise",VLOOKUP(A128,[1]PP!$A:$W,22,FALSE)="disp.",VLOOKUP(A128,[1]PP!$A:$W,22,FALSE)="končí",VLOOKUP(A128,[1]PP!$A:$W,22,FALSE)="DSC"),"jiné",IF(OR(Y128=4,VLOOKUP(A128,[1]PP!$A:$W,22,FALSE)=4),4,IF(OR(Y128=3,VLOOKUP(A128,[1]PP!$A:$W,22,FALSE)=3),3,IF(OR(Y128=2,VLOOKUP(A128,[1]PP!$A:$W,22,FALSE)=2),2,IF(AND(Y128=1,VLOOKUP(A128,[1]PP!$A:$W,22,FALSE)=1),1)))))))))))</f>
        <v/>
      </c>
      <c r="Y128" s="28" t="str">
        <f>IF(COUNTIF(B128:G128,"")&gt;0,"",IF(COUNTIF([1]PP!$A:$A,A128)=0,"neni v PP",IF(VLOOKUP(A128,[1]PP!$A:$W,8,FALSE)="odešel","odešel",IF(F128="","",IF(J128="",IF(OR(T128=4,W128=4),4,IF(AND(T128="N",W128="N"),"N",IF(OR(T128="N",W128="N"),4,ROUND(AVERAGE(T128,W128),0)))),J128)))))</f>
        <v/>
      </c>
      <c r="Z128" s="29" t="str">
        <f>IF(COUNTIF(B128:G128,"")=0,IF(X128="neni v PP",CONCATENATE("ID: &lt;",A128,"&gt; se neshoduje s žádným IDem v kartě PP"),IF(COUNTIF($A:$A,A128)&gt;1,CONCATENATE("ID: &lt;",A128,"&gt; se v kartě VP opakuje. Je nutné tyto IDy od sebe odlišit, např. mezerou za příjmením."),IF(COUNTIF([1]PP!A:A,A128)&gt;1,CONCATENATE("ID: &lt;",A128,"&gt; se v kartě PP opakuje. Je nutné tyto IDy od sebe odlišit, např. mezerou za příjmením."),IF(VLOOKUP(A128,[1]PP!$A:$W,5,FALSE)&lt;&gt;E128,CONCATENATE($E$4," &lt;",E128,"&gt; se neshoduje s jednotkou v kartě PP"," &lt;",VLOOKUP(A128,[1]PP!$A:$W,5,FALSE),"&gt;"),IF(AND(COUNTIF(K128:O128,"")&lt;5,J128="",I128=""),CONCATENATE("Doplň: ",$I$4),IF(AND(YEAR(I128)&lt;&gt;$E$2,COUNTIF(I128,"")=0),CONCATENATE("špatně uveden &lt;",$D$2,"&gt; nebo &lt;",$I$4,"&gt;"),IF(OR(AND(OR(COUNTIF(C128,"*a"),COUNTIF(C128,"*ie"),COUNTIF(C128,"*ine"),COUNTIF(D128,"*Á")),F128="muž"),AND(AND(COUNTIF(C128,"&lt;&gt;"&amp;"*a"),COUNTIF(C128,"&lt;&gt;"&amp;"*ie"),COUNTIF(C128,"&lt;&gt;"&amp;"*ine"),COUNTIF(D128,"&lt;&gt;"&amp;"*Á")),F128="žena")),CONCATENATE(C128," ",D128," je ",F128,"?"),""))))))),IF(COUNTIF(B128:O128,"")=14,"",CONCATENATE("Doplň: ",IF(B128="",CONCATENATE($B$4,IF(COUNTIF(C128:G128,"")=0,"",", ")),""),IF(C128="",CONCATENATE($C$4,IF(COUNTIF(D128:G128,"")=0,"",", ")),""),IF(D128="",CONCATENATE($D$4,IF(COUNTIF(E128:G128,"")=0,"",", ")),""),IF(E128="",CONCATENATE($E$4,IF(COUNTIF(F128:G128,"")=0,"",", ")),""),IF(F128="",CONCATENATE($F$4,IF(G128="",", ","")),""),IF(G128="",$G$4,""))))</f>
        <v/>
      </c>
      <c r="AA128" s="30"/>
    </row>
    <row r="129" spans="1:27" ht="16" x14ac:dyDescent="0.35">
      <c r="A129" s="14" t="str">
        <f t="shared" si="4"/>
        <v xml:space="preserve">  </v>
      </c>
      <c r="B129" s="15"/>
      <c r="C129" s="31"/>
      <c r="D129" s="31"/>
      <c r="E129" s="17"/>
      <c r="F129" s="18"/>
      <c r="G129" s="32"/>
      <c r="H129" s="33" t="str">
        <f>IF(G129="","",IF(F129="žena",ROMAN(MATCH(G129+1,'[1]Normy VP'!$Y$27:$Y$33,-1)),ROMAN(MATCH(G129+1,'[1]Normy VP'!$Y$19:$Y$25,-1))))</f>
        <v/>
      </c>
      <c r="I129" s="21"/>
      <c r="J129" s="22"/>
      <c r="K129" s="23"/>
      <c r="L129" s="23"/>
      <c r="M129" s="23"/>
      <c r="N129" s="22"/>
      <c r="O129" s="22"/>
      <c r="P129" s="24" t="str">
        <f>IF(OR($J129="",$J129="odešel"),IF(K129="","",IF($F129="žena",CHOOSE(_xlfn.ARABIC($H129),MATCH(K129+1,'[1]Normy VP'!$C$25:$F$25,-1),MATCH(K129+1,'[1]Normy VP'!$C$26:$F$26,-1),MATCH(K129+1,'[1]Normy VP'!$C$27:$F$27,-1),MATCH(K129+1,'[1]Normy VP'!$C$28:$F$28,-1),MATCH(K129+1,'[1]Normy VP'!$C$29:$F$29,-1),"muž"),CHOOSE(_xlfn.ARABIC($H129),MATCH(K129+1,'[1]Normy VP'!$C$10:$F$10,-1),MATCH(K129+1,'[1]Normy VP'!$C$11:$F$11,-1),MATCH(K129+1,'[1]Normy VP'!$C$12:$F$12,-1),MATCH(K129+1,'[1]Normy VP'!$C$13:$F$13,-1),MATCH(K129+1,'[1]Normy VP'!$C$14:$F$14,-1),""))),"O")</f>
        <v/>
      </c>
      <c r="Q129" s="24" t="str">
        <f>IF(OR($J129="",$J129="odešel"),IF($F129="žena","",IF(L129="","",(CHOOSE(_xlfn.ARABIC($H129),MATCH(L129+1,'[1]Normy VP'!$G$10:$J$10,-1),MATCH(L129+1,'[1]Normy VP'!$G$11:$J$11,-1),MATCH(L129+1,'[1]Normy VP'!$G$12:$J$12,-1),MATCH(L129+1,'[1]Normy VP'!$G$13:$J$13,-1),MATCH(L129+1,'[1]Normy VP'!$G$14:$J$14,-1),"")))),"O")</f>
        <v/>
      </c>
      <c r="R129" s="34" t="str">
        <f t="shared" si="5"/>
        <v>N</v>
      </c>
      <c r="S129" s="24" t="str">
        <f>IF(OR($J129="",$J129="odešel"),IF(M129="","N",IF($F129="žena",CHOOSE(_xlfn.ARABIC($H129),MATCH(M129+1,'[1]Normy VP'!$G$25:$J$25,-1),MATCH(M129+1,'[1]Normy VP'!$G$26:$J$26,-1),MATCH(M129+1,'[1]Normy VP'!$G$27:$J$27,-1),MATCH(M129+1,'[1]Normy VP'!$G$28:$J$28,-1),MATCH(M129+1,'[1]Normy VP'!$G$29:$J$29,-1),"muž"),(CHOOSE(_xlfn.ARABIC($H129),MATCH(M129+1,'[1]Normy VP'!$K$10:$N$10,-1),MATCH(M129+1,'[1]Normy VP'!$K$11:$N$11,-1),MATCH(M129+1,'[1]Normy VP'!$K$12:$N$12,-1),MATCH(M129+1,'[1]Normy VP'!$K$13:$N$13,-1),MATCH(M129+1,'[1]Normy VP'!$K$14:$N$14,-1),"")))),"O")</f>
        <v>N</v>
      </c>
      <c r="T129" s="34" t="str">
        <f t="shared" si="6"/>
        <v>N</v>
      </c>
      <c r="U129" s="24" t="str">
        <f>IF(OR($J129="",$J129="odešel"),IF(N129="","N",IF($F129="žena",CHOOSE(_xlfn.ARABIC($H129),MATCH(N129+1,'[1]Normy VP'!$K$25:$N$25,-1),MATCH(N129+1,'[1]Normy VP'!$K$26:$N$26,-1),MATCH(N129+1,'[1]Normy VP'!$K$27:$N$27,-1),MATCH(N129+1,'[1]Normy VP'!$K$28:$N$28,-1),MATCH(N129+1,'[1]Normy VP'!$K$29:$N$29,-1),MATCH(N129+1,'[1]Normy VP'!$K$30:$N$30,-1)),CHOOSE(_xlfn.ARABIC($H129),MATCH(N129+1,'[1]Normy VP'!$O$10:$R$10,-1),MATCH(N129+1,'[1]Normy VP'!$O$11:$R$11,-1),MATCH(N129+1,'[1]Normy VP'!$O$12:$R$12,-1),MATCH(N129+1,'[1]Normy VP'!$O$13:$R$13,-1),MATCH(N129+1,'[1]Normy VP'!$O$14:$R$14,-1),MATCH(N129+1,'[1]Normy VP'!$O$15:$R$15,-1)))),"O")</f>
        <v>N</v>
      </c>
      <c r="V129" s="26" t="str">
        <f>IF(OR($J129="",$J129="odešel"),IF(O129="","N",IF($F129="žena",CHOOSE(_xlfn.ARABIC($H129),MATCH(O129-1,'[1]Normy VP'!$O$25:$R$25),MATCH(O129-1,'[1]Normy VP'!$O$26:$R$26),MATCH(O129-1,'[1]Normy VP'!$O$27:$R$27),MATCH(O129-1,'[1]Normy VP'!$O$28:$R$28),MATCH(O129-1,'[1]Normy VP'!$O$29:$R$29),MATCH(O129-1,'[1]Normy VP'!$O$30:$R$30)),CHOOSE(_xlfn.ARABIC($H129),MATCH(O129-1,'[1]Normy VP'!$S$10:$V$10),MATCH(O129-1,'[1]Normy VP'!$S$11:$V$11),MATCH(O129-1,'[1]Normy VP'!$S$12:$V$12),MATCH(O129-1,'[1]Normy VP'!$S$13:$V$13),MATCH(O129-1,'[1]Normy VP'!$S$14:$V$14),MATCH(O129-1,'[1]Normy VP'!$S$15:$V$15)))),"O")</f>
        <v>N</v>
      </c>
      <c r="W129" s="34" t="str">
        <f t="shared" si="7"/>
        <v>N</v>
      </c>
      <c r="X129" s="27" t="str">
        <f>IF(COUNTIF(B129:G129,"")&gt;0,"",IF(COUNTIF([1]PP!$A:$A,A129)=0,"neni v PP",IF(OR(Y129="odešel",VLOOKUP(A129,[1]PP!$A:$W,22,FALSE)="odešel"),"odešel",IF(OR(Y129="N",VLOOKUP(A129,[1]PP!$A:$W,22,FALSE)="N"),"N",IF(OR(Y129="C",VLOOKUP(A129,[1]PP!$A:$W,22,FALSE)="C"),"C",IF(OR(Y129="DZO",VLOOKUP(A129,[1]PP!$A:$W,22,FALSE)="DZO"),"DZO",IF(OR(Y129="mise",Y129="disp.",Y129="končí",Y129="DSC",VLOOKUP(A129,[1]PP!$A:$W,22,FALSE)="mise",VLOOKUP(A129,[1]PP!$A:$W,22,FALSE)="disp.",VLOOKUP(A129,[1]PP!$A:$W,22,FALSE)="končí",VLOOKUP(A129,[1]PP!$A:$W,22,FALSE)="DSC"),"jiné",IF(OR(Y129=4,VLOOKUP(A129,[1]PP!$A:$W,22,FALSE)=4),4,IF(OR(Y129=3,VLOOKUP(A129,[1]PP!$A:$W,22,FALSE)=3),3,IF(OR(Y129=2,VLOOKUP(A129,[1]PP!$A:$W,22,FALSE)=2),2,IF(AND(Y129=1,VLOOKUP(A129,[1]PP!$A:$W,22,FALSE)=1),1)))))))))))</f>
        <v/>
      </c>
      <c r="Y129" s="28" t="str">
        <f>IF(COUNTIF(B129:G129,"")&gt;0,"",IF(COUNTIF([1]PP!$A:$A,A129)=0,"neni v PP",IF(VLOOKUP(A129,[1]PP!$A:$W,8,FALSE)="odešel","odešel",IF(F129="","",IF(J129="",IF(OR(T129=4,W129=4),4,IF(AND(T129="N",W129="N"),"N",IF(OR(T129="N",W129="N"),4,ROUND(AVERAGE(T129,W129),0)))),J129)))))</f>
        <v/>
      </c>
      <c r="Z129" s="29" t="str">
        <f>IF(COUNTIF(B129:G129,"")=0,IF(X129="neni v PP",CONCATENATE("ID: &lt;",A129,"&gt; se neshoduje s žádným IDem v kartě PP"),IF(COUNTIF($A:$A,A129)&gt;1,CONCATENATE("ID: &lt;",A129,"&gt; se v kartě VP opakuje. Je nutné tyto IDy od sebe odlišit, např. mezerou za příjmením."),IF(COUNTIF([1]PP!A:A,A129)&gt;1,CONCATENATE("ID: &lt;",A129,"&gt; se v kartě PP opakuje. Je nutné tyto IDy od sebe odlišit, např. mezerou za příjmením."),IF(VLOOKUP(A129,[1]PP!$A:$W,5,FALSE)&lt;&gt;E129,CONCATENATE($E$4," &lt;",E129,"&gt; se neshoduje s jednotkou v kartě PP"," &lt;",VLOOKUP(A129,[1]PP!$A:$W,5,FALSE),"&gt;"),IF(AND(COUNTIF(K129:O129,"")&lt;5,J129="",I129=""),CONCATENATE("Doplň: ",$I$4),IF(AND(YEAR(I129)&lt;&gt;$E$2,COUNTIF(I129,"")=0),CONCATENATE("špatně uveden &lt;",$D$2,"&gt; nebo &lt;",$I$4,"&gt;"),IF(OR(AND(OR(COUNTIF(C129,"*a"),COUNTIF(C129,"*ie"),COUNTIF(C129,"*ine"),COUNTIF(D129,"*Á")),F129="muž"),AND(AND(COUNTIF(C129,"&lt;&gt;"&amp;"*a"),COUNTIF(C129,"&lt;&gt;"&amp;"*ie"),COUNTIF(C129,"&lt;&gt;"&amp;"*ine"),COUNTIF(D129,"&lt;&gt;"&amp;"*Á")),F129="žena")),CONCATENATE(C129," ",D129," je ",F129,"?"),""))))))),IF(COUNTIF(B129:O129,"")=14,"",CONCATENATE("Doplň: ",IF(B129="",CONCATENATE($B$4,IF(COUNTIF(C129:G129,"")=0,"",", ")),""),IF(C129="",CONCATENATE($C$4,IF(COUNTIF(D129:G129,"")=0,"",", ")),""),IF(D129="",CONCATENATE($D$4,IF(COUNTIF(E129:G129,"")=0,"",", ")),""),IF(E129="",CONCATENATE($E$4,IF(COUNTIF(F129:G129,"")=0,"",", ")),""),IF(F129="",CONCATENATE($F$4,IF(G129="",", ","")),""),IF(G129="",$G$4,""))))</f>
        <v/>
      </c>
      <c r="AA129" s="30"/>
    </row>
    <row r="130" spans="1:27" ht="16" x14ac:dyDescent="0.35">
      <c r="A130" s="14" t="str">
        <f t="shared" ref="A130:A193" si="8">CONCATENATE(B130," ",UPPER(D130)," ",C130)</f>
        <v xml:space="preserve">  </v>
      </c>
      <c r="B130" s="15"/>
      <c r="C130" s="31"/>
      <c r="D130" s="31"/>
      <c r="E130" s="17"/>
      <c r="F130" s="18"/>
      <c r="G130" s="32"/>
      <c r="H130" s="33" t="str">
        <f>IF(G130="","",IF(F130="žena",ROMAN(MATCH(G130+1,'[1]Normy VP'!$Y$27:$Y$33,-1)),ROMAN(MATCH(G130+1,'[1]Normy VP'!$Y$19:$Y$25,-1))))</f>
        <v/>
      </c>
      <c r="I130" s="21"/>
      <c r="J130" s="22"/>
      <c r="K130" s="23"/>
      <c r="L130" s="23"/>
      <c r="M130" s="23"/>
      <c r="N130" s="22"/>
      <c r="O130" s="22"/>
      <c r="P130" s="24" t="str">
        <f>IF(OR($J130="",$J130="odešel"),IF(K130="","",IF($F130="žena",CHOOSE(_xlfn.ARABIC($H130),MATCH(K130+1,'[1]Normy VP'!$C$25:$F$25,-1),MATCH(K130+1,'[1]Normy VP'!$C$26:$F$26,-1),MATCH(K130+1,'[1]Normy VP'!$C$27:$F$27,-1),MATCH(K130+1,'[1]Normy VP'!$C$28:$F$28,-1),MATCH(K130+1,'[1]Normy VP'!$C$29:$F$29,-1),"muž"),CHOOSE(_xlfn.ARABIC($H130),MATCH(K130+1,'[1]Normy VP'!$C$10:$F$10,-1),MATCH(K130+1,'[1]Normy VP'!$C$11:$F$11,-1),MATCH(K130+1,'[1]Normy VP'!$C$12:$F$12,-1),MATCH(K130+1,'[1]Normy VP'!$C$13:$F$13,-1),MATCH(K130+1,'[1]Normy VP'!$C$14:$F$14,-1),""))),"O")</f>
        <v/>
      </c>
      <c r="Q130" s="24" t="str">
        <f>IF(OR($J130="",$J130="odešel"),IF($F130="žena","",IF(L130="","",(CHOOSE(_xlfn.ARABIC($H130),MATCH(L130+1,'[1]Normy VP'!$G$10:$J$10,-1),MATCH(L130+1,'[1]Normy VP'!$G$11:$J$11,-1),MATCH(L130+1,'[1]Normy VP'!$G$12:$J$12,-1),MATCH(L130+1,'[1]Normy VP'!$G$13:$J$13,-1),MATCH(L130+1,'[1]Normy VP'!$G$14:$J$14,-1),"")))),"O")</f>
        <v/>
      </c>
      <c r="R130" s="34" t="str">
        <f t="shared" ref="R130:R193" si="9">IF(F130="žena",IF(P130="","N",P130),IF(AND(P130="",Q130=""),"N",IF(OR(P130="",Q130=""),4,MAX(P130,Q130))))</f>
        <v>N</v>
      </c>
      <c r="S130" s="24" t="str">
        <f>IF(OR($J130="",$J130="odešel"),IF(M130="","N",IF($F130="žena",CHOOSE(_xlfn.ARABIC($H130),MATCH(M130+1,'[1]Normy VP'!$G$25:$J$25,-1),MATCH(M130+1,'[1]Normy VP'!$G$26:$J$26,-1),MATCH(M130+1,'[1]Normy VP'!$G$27:$J$27,-1),MATCH(M130+1,'[1]Normy VP'!$G$28:$J$28,-1),MATCH(M130+1,'[1]Normy VP'!$G$29:$J$29,-1),"muž"),(CHOOSE(_xlfn.ARABIC($H130),MATCH(M130+1,'[1]Normy VP'!$K$10:$N$10,-1),MATCH(M130+1,'[1]Normy VP'!$K$11:$N$11,-1),MATCH(M130+1,'[1]Normy VP'!$K$12:$N$12,-1),MATCH(M130+1,'[1]Normy VP'!$K$13:$N$13,-1),MATCH(M130+1,'[1]Normy VP'!$K$14:$N$14,-1),"")))),"O")</f>
        <v>N</v>
      </c>
      <c r="T130" s="34" t="str">
        <f t="shared" ref="T130:T193" si="10">IF(_xlfn.ARABIC(H130)=6,W130,IF(AND(R130="N",S130="N"),"N",MIN(R130,S130)))</f>
        <v>N</v>
      </c>
      <c r="U130" s="24" t="str">
        <f>IF(OR($J130="",$J130="odešel"),IF(N130="","N",IF($F130="žena",CHOOSE(_xlfn.ARABIC($H130),MATCH(N130+1,'[1]Normy VP'!$K$25:$N$25,-1),MATCH(N130+1,'[1]Normy VP'!$K$26:$N$26,-1),MATCH(N130+1,'[1]Normy VP'!$K$27:$N$27,-1),MATCH(N130+1,'[1]Normy VP'!$K$28:$N$28,-1),MATCH(N130+1,'[1]Normy VP'!$K$29:$N$29,-1),MATCH(N130+1,'[1]Normy VP'!$K$30:$N$30,-1)),CHOOSE(_xlfn.ARABIC($H130),MATCH(N130+1,'[1]Normy VP'!$O$10:$R$10,-1),MATCH(N130+1,'[1]Normy VP'!$O$11:$R$11,-1),MATCH(N130+1,'[1]Normy VP'!$O$12:$R$12,-1),MATCH(N130+1,'[1]Normy VP'!$O$13:$R$13,-1),MATCH(N130+1,'[1]Normy VP'!$O$14:$R$14,-1),MATCH(N130+1,'[1]Normy VP'!$O$15:$R$15,-1)))),"O")</f>
        <v>N</v>
      </c>
      <c r="V130" s="26" t="str">
        <f>IF(OR($J130="",$J130="odešel"),IF(O130="","N",IF($F130="žena",CHOOSE(_xlfn.ARABIC($H130),MATCH(O130-1,'[1]Normy VP'!$O$25:$R$25),MATCH(O130-1,'[1]Normy VP'!$O$26:$R$26),MATCH(O130-1,'[1]Normy VP'!$O$27:$R$27),MATCH(O130-1,'[1]Normy VP'!$O$28:$R$28),MATCH(O130-1,'[1]Normy VP'!$O$29:$R$29),MATCH(O130-1,'[1]Normy VP'!$O$30:$R$30)),CHOOSE(_xlfn.ARABIC($H130),MATCH(O130-1,'[1]Normy VP'!$S$10:$V$10),MATCH(O130-1,'[1]Normy VP'!$S$11:$V$11),MATCH(O130-1,'[1]Normy VP'!$S$12:$V$12),MATCH(O130-1,'[1]Normy VP'!$S$13:$V$13),MATCH(O130-1,'[1]Normy VP'!$S$14:$V$14),MATCH(O130-1,'[1]Normy VP'!$S$15:$V$15)))),"O")</f>
        <v>N</v>
      </c>
      <c r="W130" s="34" t="str">
        <f t="shared" ref="W130:W193" si="11">IF(AND(U130="N",V130="N"),"N",MIN(U130,V130))</f>
        <v>N</v>
      </c>
      <c r="X130" s="27" t="str">
        <f>IF(COUNTIF(B130:G130,"")&gt;0,"",IF(COUNTIF([1]PP!$A:$A,A130)=0,"neni v PP",IF(OR(Y130="odešel",VLOOKUP(A130,[1]PP!$A:$W,22,FALSE)="odešel"),"odešel",IF(OR(Y130="N",VLOOKUP(A130,[1]PP!$A:$W,22,FALSE)="N"),"N",IF(OR(Y130="C",VLOOKUP(A130,[1]PP!$A:$W,22,FALSE)="C"),"C",IF(OR(Y130="DZO",VLOOKUP(A130,[1]PP!$A:$W,22,FALSE)="DZO"),"DZO",IF(OR(Y130="mise",Y130="disp.",Y130="končí",Y130="DSC",VLOOKUP(A130,[1]PP!$A:$W,22,FALSE)="mise",VLOOKUP(A130,[1]PP!$A:$W,22,FALSE)="disp.",VLOOKUP(A130,[1]PP!$A:$W,22,FALSE)="končí",VLOOKUP(A130,[1]PP!$A:$W,22,FALSE)="DSC"),"jiné",IF(OR(Y130=4,VLOOKUP(A130,[1]PP!$A:$W,22,FALSE)=4),4,IF(OR(Y130=3,VLOOKUP(A130,[1]PP!$A:$W,22,FALSE)=3),3,IF(OR(Y130=2,VLOOKUP(A130,[1]PP!$A:$W,22,FALSE)=2),2,IF(AND(Y130=1,VLOOKUP(A130,[1]PP!$A:$W,22,FALSE)=1),1)))))))))))</f>
        <v/>
      </c>
      <c r="Y130" s="28" t="str">
        <f>IF(COUNTIF(B130:G130,"")&gt;0,"",IF(COUNTIF([1]PP!$A:$A,A130)=0,"neni v PP",IF(VLOOKUP(A130,[1]PP!$A:$W,8,FALSE)="odešel","odešel",IF(F130="","",IF(J130="",IF(OR(T130=4,W130=4),4,IF(AND(T130="N",W130="N"),"N",IF(OR(T130="N",W130="N"),4,ROUND(AVERAGE(T130,W130),0)))),J130)))))</f>
        <v/>
      </c>
      <c r="Z130" s="29" t="str">
        <f>IF(COUNTIF(B130:G130,"")=0,IF(X130="neni v PP",CONCATENATE("ID: &lt;",A130,"&gt; se neshoduje s žádným IDem v kartě PP"),IF(COUNTIF($A:$A,A130)&gt;1,CONCATENATE("ID: &lt;",A130,"&gt; se v kartě VP opakuje. Je nutné tyto IDy od sebe odlišit, např. mezerou za příjmením."),IF(COUNTIF([1]PP!A:A,A130)&gt;1,CONCATENATE("ID: &lt;",A130,"&gt; se v kartě PP opakuje. Je nutné tyto IDy od sebe odlišit, např. mezerou za příjmením."),IF(VLOOKUP(A130,[1]PP!$A:$W,5,FALSE)&lt;&gt;E130,CONCATENATE($E$4," &lt;",E130,"&gt; se neshoduje s jednotkou v kartě PP"," &lt;",VLOOKUP(A130,[1]PP!$A:$W,5,FALSE),"&gt;"),IF(AND(COUNTIF(K130:O130,"")&lt;5,J130="",I130=""),CONCATENATE("Doplň: ",$I$4),IF(AND(YEAR(I130)&lt;&gt;$E$2,COUNTIF(I130,"")=0),CONCATENATE("špatně uveden &lt;",$D$2,"&gt; nebo &lt;",$I$4,"&gt;"),IF(OR(AND(OR(COUNTIF(C130,"*a"),COUNTIF(C130,"*ie"),COUNTIF(C130,"*ine"),COUNTIF(D130,"*Á")),F130="muž"),AND(AND(COUNTIF(C130,"&lt;&gt;"&amp;"*a"),COUNTIF(C130,"&lt;&gt;"&amp;"*ie"),COUNTIF(C130,"&lt;&gt;"&amp;"*ine"),COUNTIF(D130,"&lt;&gt;"&amp;"*Á")),F130="žena")),CONCATENATE(C130," ",D130," je ",F130,"?"),""))))))),IF(COUNTIF(B130:O130,"")=14,"",CONCATENATE("Doplň: ",IF(B130="",CONCATENATE($B$4,IF(COUNTIF(C130:G130,"")=0,"",", ")),""),IF(C130="",CONCATENATE($C$4,IF(COUNTIF(D130:G130,"")=0,"",", ")),""),IF(D130="",CONCATENATE($D$4,IF(COUNTIF(E130:G130,"")=0,"",", ")),""),IF(E130="",CONCATENATE($E$4,IF(COUNTIF(F130:G130,"")=0,"",", ")),""),IF(F130="",CONCATENATE($F$4,IF(G130="",", ","")),""),IF(G130="",$G$4,""))))</f>
        <v/>
      </c>
      <c r="AA130" s="30"/>
    </row>
    <row r="131" spans="1:27" ht="16" x14ac:dyDescent="0.35">
      <c r="A131" s="14" t="str">
        <f t="shared" si="8"/>
        <v xml:space="preserve">  </v>
      </c>
      <c r="B131" s="15"/>
      <c r="C131" s="31"/>
      <c r="D131" s="31"/>
      <c r="E131" s="17"/>
      <c r="F131" s="18"/>
      <c r="G131" s="32"/>
      <c r="H131" s="33" t="str">
        <f>IF(G131="","",IF(F131="žena",ROMAN(MATCH(G131+1,'[1]Normy VP'!$Y$27:$Y$33,-1)),ROMAN(MATCH(G131+1,'[1]Normy VP'!$Y$19:$Y$25,-1))))</f>
        <v/>
      </c>
      <c r="I131" s="21"/>
      <c r="J131" s="22"/>
      <c r="K131" s="23"/>
      <c r="L131" s="23"/>
      <c r="M131" s="23"/>
      <c r="N131" s="22"/>
      <c r="O131" s="22"/>
      <c r="P131" s="24" t="str">
        <f>IF(OR($J131="",$J131="odešel"),IF(K131="","",IF($F131="žena",CHOOSE(_xlfn.ARABIC($H131),MATCH(K131+1,'[1]Normy VP'!$C$25:$F$25,-1),MATCH(K131+1,'[1]Normy VP'!$C$26:$F$26,-1),MATCH(K131+1,'[1]Normy VP'!$C$27:$F$27,-1),MATCH(K131+1,'[1]Normy VP'!$C$28:$F$28,-1),MATCH(K131+1,'[1]Normy VP'!$C$29:$F$29,-1),"muž"),CHOOSE(_xlfn.ARABIC($H131),MATCH(K131+1,'[1]Normy VP'!$C$10:$F$10,-1),MATCH(K131+1,'[1]Normy VP'!$C$11:$F$11,-1),MATCH(K131+1,'[1]Normy VP'!$C$12:$F$12,-1),MATCH(K131+1,'[1]Normy VP'!$C$13:$F$13,-1),MATCH(K131+1,'[1]Normy VP'!$C$14:$F$14,-1),""))),"O")</f>
        <v/>
      </c>
      <c r="Q131" s="24" t="str">
        <f>IF(OR($J131="",$J131="odešel"),IF($F131="žena","",IF(L131="","",(CHOOSE(_xlfn.ARABIC($H131),MATCH(L131+1,'[1]Normy VP'!$G$10:$J$10,-1),MATCH(L131+1,'[1]Normy VP'!$G$11:$J$11,-1),MATCH(L131+1,'[1]Normy VP'!$G$12:$J$12,-1),MATCH(L131+1,'[1]Normy VP'!$G$13:$J$13,-1),MATCH(L131+1,'[1]Normy VP'!$G$14:$J$14,-1),"")))),"O")</f>
        <v/>
      </c>
      <c r="R131" s="34" t="str">
        <f t="shared" si="9"/>
        <v>N</v>
      </c>
      <c r="S131" s="24" t="str">
        <f>IF(OR($J131="",$J131="odešel"),IF(M131="","N",IF($F131="žena",CHOOSE(_xlfn.ARABIC($H131),MATCH(M131+1,'[1]Normy VP'!$G$25:$J$25,-1),MATCH(M131+1,'[1]Normy VP'!$G$26:$J$26,-1),MATCH(M131+1,'[1]Normy VP'!$G$27:$J$27,-1),MATCH(M131+1,'[1]Normy VP'!$G$28:$J$28,-1),MATCH(M131+1,'[1]Normy VP'!$G$29:$J$29,-1),"muž"),(CHOOSE(_xlfn.ARABIC($H131),MATCH(M131+1,'[1]Normy VP'!$K$10:$N$10,-1),MATCH(M131+1,'[1]Normy VP'!$K$11:$N$11,-1),MATCH(M131+1,'[1]Normy VP'!$K$12:$N$12,-1),MATCH(M131+1,'[1]Normy VP'!$K$13:$N$13,-1),MATCH(M131+1,'[1]Normy VP'!$K$14:$N$14,-1),"")))),"O")</f>
        <v>N</v>
      </c>
      <c r="T131" s="34" t="str">
        <f t="shared" si="10"/>
        <v>N</v>
      </c>
      <c r="U131" s="24" t="str">
        <f>IF(OR($J131="",$J131="odešel"),IF(N131="","N",IF($F131="žena",CHOOSE(_xlfn.ARABIC($H131),MATCH(N131+1,'[1]Normy VP'!$K$25:$N$25,-1),MATCH(N131+1,'[1]Normy VP'!$K$26:$N$26,-1),MATCH(N131+1,'[1]Normy VP'!$K$27:$N$27,-1),MATCH(N131+1,'[1]Normy VP'!$K$28:$N$28,-1),MATCH(N131+1,'[1]Normy VP'!$K$29:$N$29,-1),MATCH(N131+1,'[1]Normy VP'!$K$30:$N$30,-1)),CHOOSE(_xlfn.ARABIC($H131),MATCH(N131+1,'[1]Normy VP'!$O$10:$R$10,-1),MATCH(N131+1,'[1]Normy VP'!$O$11:$R$11,-1),MATCH(N131+1,'[1]Normy VP'!$O$12:$R$12,-1),MATCH(N131+1,'[1]Normy VP'!$O$13:$R$13,-1),MATCH(N131+1,'[1]Normy VP'!$O$14:$R$14,-1),MATCH(N131+1,'[1]Normy VP'!$O$15:$R$15,-1)))),"O")</f>
        <v>N</v>
      </c>
      <c r="V131" s="26" t="str">
        <f>IF(OR($J131="",$J131="odešel"),IF(O131="","N",IF($F131="žena",CHOOSE(_xlfn.ARABIC($H131),MATCH(O131-1,'[1]Normy VP'!$O$25:$R$25),MATCH(O131-1,'[1]Normy VP'!$O$26:$R$26),MATCH(O131-1,'[1]Normy VP'!$O$27:$R$27),MATCH(O131-1,'[1]Normy VP'!$O$28:$R$28),MATCH(O131-1,'[1]Normy VP'!$O$29:$R$29),MATCH(O131-1,'[1]Normy VP'!$O$30:$R$30)),CHOOSE(_xlfn.ARABIC($H131),MATCH(O131-1,'[1]Normy VP'!$S$10:$V$10),MATCH(O131-1,'[1]Normy VP'!$S$11:$V$11),MATCH(O131-1,'[1]Normy VP'!$S$12:$V$12),MATCH(O131-1,'[1]Normy VP'!$S$13:$V$13),MATCH(O131-1,'[1]Normy VP'!$S$14:$V$14),MATCH(O131-1,'[1]Normy VP'!$S$15:$V$15)))),"O")</f>
        <v>N</v>
      </c>
      <c r="W131" s="34" t="str">
        <f t="shared" si="11"/>
        <v>N</v>
      </c>
      <c r="X131" s="27" t="str">
        <f>IF(COUNTIF(B131:G131,"")&gt;0,"",IF(COUNTIF([1]PP!$A:$A,A131)=0,"neni v PP",IF(OR(Y131="odešel",VLOOKUP(A131,[1]PP!$A:$W,22,FALSE)="odešel"),"odešel",IF(OR(Y131="N",VLOOKUP(A131,[1]PP!$A:$W,22,FALSE)="N"),"N",IF(OR(Y131="C",VLOOKUP(A131,[1]PP!$A:$W,22,FALSE)="C"),"C",IF(OR(Y131="DZO",VLOOKUP(A131,[1]PP!$A:$W,22,FALSE)="DZO"),"DZO",IF(OR(Y131="mise",Y131="disp.",Y131="končí",Y131="DSC",VLOOKUP(A131,[1]PP!$A:$W,22,FALSE)="mise",VLOOKUP(A131,[1]PP!$A:$W,22,FALSE)="disp.",VLOOKUP(A131,[1]PP!$A:$W,22,FALSE)="končí",VLOOKUP(A131,[1]PP!$A:$W,22,FALSE)="DSC"),"jiné",IF(OR(Y131=4,VLOOKUP(A131,[1]PP!$A:$W,22,FALSE)=4),4,IF(OR(Y131=3,VLOOKUP(A131,[1]PP!$A:$W,22,FALSE)=3),3,IF(OR(Y131=2,VLOOKUP(A131,[1]PP!$A:$W,22,FALSE)=2),2,IF(AND(Y131=1,VLOOKUP(A131,[1]PP!$A:$W,22,FALSE)=1),1)))))))))))</f>
        <v/>
      </c>
      <c r="Y131" s="28" t="str">
        <f>IF(COUNTIF(B131:G131,"")&gt;0,"",IF(COUNTIF([1]PP!$A:$A,A131)=0,"neni v PP",IF(VLOOKUP(A131,[1]PP!$A:$W,8,FALSE)="odešel","odešel",IF(F131="","",IF(J131="",IF(OR(T131=4,W131=4),4,IF(AND(T131="N",W131="N"),"N",IF(OR(T131="N",W131="N"),4,ROUND(AVERAGE(T131,W131),0)))),J131)))))</f>
        <v/>
      </c>
      <c r="Z131" s="29" t="str">
        <f>IF(COUNTIF(B131:G131,"")=0,IF(X131="neni v PP",CONCATENATE("ID: &lt;",A131,"&gt; se neshoduje s žádným IDem v kartě PP"),IF(COUNTIF($A:$A,A131)&gt;1,CONCATENATE("ID: &lt;",A131,"&gt; se v kartě VP opakuje. Je nutné tyto IDy od sebe odlišit, např. mezerou za příjmením."),IF(COUNTIF([1]PP!A:A,A131)&gt;1,CONCATENATE("ID: &lt;",A131,"&gt; se v kartě PP opakuje. Je nutné tyto IDy od sebe odlišit, např. mezerou za příjmením."),IF(VLOOKUP(A131,[1]PP!$A:$W,5,FALSE)&lt;&gt;E131,CONCATENATE($E$4," &lt;",E131,"&gt; se neshoduje s jednotkou v kartě PP"," &lt;",VLOOKUP(A131,[1]PP!$A:$W,5,FALSE),"&gt;"),IF(AND(COUNTIF(K131:O131,"")&lt;5,J131="",I131=""),CONCATENATE("Doplň: ",$I$4),IF(AND(YEAR(I131)&lt;&gt;$E$2,COUNTIF(I131,"")=0),CONCATENATE("špatně uveden &lt;",$D$2,"&gt; nebo &lt;",$I$4,"&gt;"),IF(OR(AND(OR(COUNTIF(C131,"*a"),COUNTIF(C131,"*ie"),COUNTIF(C131,"*ine"),COUNTIF(D131,"*Á")),F131="muž"),AND(AND(COUNTIF(C131,"&lt;&gt;"&amp;"*a"),COUNTIF(C131,"&lt;&gt;"&amp;"*ie"),COUNTIF(C131,"&lt;&gt;"&amp;"*ine"),COUNTIF(D131,"&lt;&gt;"&amp;"*Á")),F131="žena")),CONCATENATE(C131," ",D131," je ",F131,"?"),""))))))),IF(COUNTIF(B131:O131,"")=14,"",CONCATENATE("Doplň: ",IF(B131="",CONCATENATE($B$4,IF(COUNTIF(C131:G131,"")=0,"",", ")),""),IF(C131="",CONCATENATE($C$4,IF(COUNTIF(D131:G131,"")=0,"",", ")),""),IF(D131="",CONCATENATE($D$4,IF(COUNTIF(E131:G131,"")=0,"",", ")),""),IF(E131="",CONCATENATE($E$4,IF(COUNTIF(F131:G131,"")=0,"",", ")),""),IF(F131="",CONCATENATE($F$4,IF(G131="",", ","")),""),IF(G131="",$G$4,""))))</f>
        <v/>
      </c>
      <c r="AA131" s="30"/>
    </row>
    <row r="132" spans="1:27" ht="16" x14ac:dyDescent="0.35">
      <c r="A132" s="14" t="str">
        <f t="shared" si="8"/>
        <v xml:space="preserve">  </v>
      </c>
      <c r="B132" s="15"/>
      <c r="C132" s="31"/>
      <c r="D132" s="31"/>
      <c r="E132" s="17"/>
      <c r="F132" s="18"/>
      <c r="G132" s="32"/>
      <c r="H132" s="33" t="str">
        <f>IF(G132="","",IF(F132="žena",ROMAN(MATCH(G132+1,'[1]Normy VP'!$Y$27:$Y$33,-1)),ROMAN(MATCH(G132+1,'[1]Normy VP'!$Y$19:$Y$25,-1))))</f>
        <v/>
      </c>
      <c r="I132" s="21"/>
      <c r="J132" s="22"/>
      <c r="K132" s="23"/>
      <c r="L132" s="23"/>
      <c r="M132" s="23"/>
      <c r="N132" s="22"/>
      <c r="O132" s="22"/>
      <c r="P132" s="24" t="str">
        <f>IF(OR($J132="",$J132="odešel"),IF(K132="","",IF($F132="žena",CHOOSE(_xlfn.ARABIC($H132),MATCH(K132+1,'[1]Normy VP'!$C$25:$F$25,-1),MATCH(K132+1,'[1]Normy VP'!$C$26:$F$26,-1),MATCH(K132+1,'[1]Normy VP'!$C$27:$F$27,-1),MATCH(K132+1,'[1]Normy VP'!$C$28:$F$28,-1),MATCH(K132+1,'[1]Normy VP'!$C$29:$F$29,-1),"muž"),CHOOSE(_xlfn.ARABIC($H132),MATCH(K132+1,'[1]Normy VP'!$C$10:$F$10,-1),MATCH(K132+1,'[1]Normy VP'!$C$11:$F$11,-1),MATCH(K132+1,'[1]Normy VP'!$C$12:$F$12,-1),MATCH(K132+1,'[1]Normy VP'!$C$13:$F$13,-1),MATCH(K132+1,'[1]Normy VP'!$C$14:$F$14,-1),""))),"O")</f>
        <v/>
      </c>
      <c r="Q132" s="24" t="str">
        <f>IF(OR($J132="",$J132="odešel"),IF($F132="žena","",IF(L132="","",(CHOOSE(_xlfn.ARABIC($H132),MATCH(L132+1,'[1]Normy VP'!$G$10:$J$10,-1),MATCH(L132+1,'[1]Normy VP'!$G$11:$J$11,-1),MATCH(L132+1,'[1]Normy VP'!$G$12:$J$12,-1),MATCH(L132+1,'[1]Normy VP'!$G$13:$J$13,-1),MATCH(L132+1,'[1]Normy VP'!$G$14:$J$14,-1),"")))),"O")</f>
        <v/>
      </c>
      <c r="R132" s="34" t="str">
        <f t="shared" si="9"/>
        <v>N</v>
      </c>
      <c r="S132" s="24" t="str">
        <f>IF(OR($J132="",$J132="odešel"),IF(M132="","N",IF($F132="žena",CHOOSE(_xlfn.ARABIC($H132),MATCH(M132+1,'[1]Normy VP'!$G$25:$J$25,-1),MATCH(M132+1,'[1]Normy VP'!$G$26:$J$26,-1),MATCH(M132+1,'[1]Normy VP'!$G$27:$J$27,-1),MATCH(M132+1,'[1]Normy VP'!$G$28:$J$28,-1),MATCH(M132+1,'[1]Normy VP'!$G$29:$J$29,-1),"muž"),(CHOOSE(_xlfn.ARABIC($H132),MATCH(M132+1,'[1]Normy VP'!$K$10:$N$10,-1),MATCH(M132+1,'[1]Normy VP'!$K$11:$N$11,-1),MATCH(M132+1,'[1]Normy VP'!$K$12:$N$12,-1),MATCH(M132+1,'[1]Normy VP'!$K$13:$N$13,-1),MATCH(M132+1,'[1]Normy VP'!$K$14:$N$14,-1),"")))),"O")</f>
        <v>N</v>
      </c>
      <c r="T132" s="34" t="str">
        <f t="shared" si="10"/>
        <v>N</v>
      </c>
      <c r="U132" s="24" t="str">
        <f>IF(OR($J132="",$J132="odešel"),IF(N132="","N",IF($F132="žena",CHOOSE(_xlfn.ARABIC($H132),MATCH(N132+1,'[1]Normy VP'!$K$25:$N$25,-1),MATCH(N132+1,'[1]Normy VP'!$K$26:$N$26,-1),MATCH(N132+1,'[1]Normy VP'!$K$27:$N$27,-1),MATCH(N132+1,'[1]Normy VP'!$K$28:$N$28,-1),MATCH(N132+1,'[1]Normy VP'!$K$29:$N$29,-1),MATCH(N132+1,'[1]Normy VP'!$K$30:$N$30,-1)),CHOOSE(_xlfn.ARABIC($H132),MATCH(N132+1,'[1]Normy VP'!$O$10:$R$10,-1),MATCH(N132+1,'[1]Normy VP'!$O$11:$R$11,-1),MATCH(N132+1,'[1]Normy VP'!$O$12:$R$12,-1),MATCH(N132+1,'[1]Normy VP'!$O$13:$R$13,-1),MATCH(N132+1,'[1]Normy VP'!$O$14:$R$14,-1),MATCH(N132+1,'[1]Normy VP'!$O$15:$R$15,-1)))),"O")</f>
        <v>N</v>
      </c>
      <c r="V132" s="26" t="str">
        <f>IF(OR($J132="",$J132="odešel"),IF(O132="","N",IF($F132="žena",CHOOSE(_xlfn.ARABIC($H132),MATCH(O132-1,'[1]Normy VP'!$O$25:$R$25),MATCH(O132-1,'[1]Normy VP'!$O$26:$R$26),MATCH(O132-1,'[1]Normy VP'!$O$27:$R$27),MATCH(O132-1,'[1]Normy VP'!$O$28:$R$28),MATCH(O132-1,'[1]Normy VP'!$O$29:$R$29),MATCH(O132-1,'[1]Normy VP'!$O$30:$R$30)),CHOOSE(_xlfn.ARABIC($H132),MATCH(O132-1,'[1]Normy VP'!$S$10:$V$10),MATCH(O132-1,'[1]Normy VP'!$S$11:$V$11),MATCH(O132-1,'[1]Normy VP'!$S$12:$V$12),MATCH(O132-1,'[1]Normy VP'!$S$13:$V$13),MATCH(O132-1,'[1]Normy VP'!$S$14:$V$14),MATCH(O132-1,'[1]Normy VP'!$S$15:$V$15)))),"O")</f>
        <v>N</v>
      </c>
      <c r="W132" s="34" t="str">
        <f t="shared" si="11"/>
        <v>N</v>
      </c>
      <c r="X132" s="27" t="str">
        <f>IF(COUNTIF(B132:G132,"")&gt;0,"",IF(COUNTIF([1]PP!$A:$A,A132)=0,"neni v PP",IF(OR(Y132="odešel",VLOOKUP(A132,[1]PP!$A:$W,22,FALSE)="odešel"),"odešel",IF(OR(Y132="N",VLOOKUP(A132,[1]PP!$A:$W,22,FALSE)="N"),"N",IF(OR(Y132="C",VLOOKUP(A132,[1]PP!$A:$W,22,FALSE)="C"),"C",IF(OR(Y132="DZO",VLOOKUP(A132,[1]PP!$A:$W,22,FALSE)="DZO"),"DZO",IF(OR(Y132="mise",Y132="disp.",Y132="končí",Y132="DSC",VLOOKUP(A132,[1]PP!$A:$W,22,FALSE)="mise",VLOOKUP(A132,[1]PP!$A:$W,22,FALSE)="disp.",VLOOKUP(A132,[1]PP!$A:$W,22,FALSE)="končí",VLOOKUP(A132,[1]PP!$A:$W,22,FALSE)="DSC"),"jiné",IF(OR(Y132=4,VLOOKUP(A132,[1]PP!$A:$W,22,FALSE)=4),4,IF(OR(Y132=3,VLOOKUP(A132,[1]PP!$A:$W,22,FALSE)=3),3,IF(OR(Y132=2,VLOOKUP(A132,[1]PP!$A:$W,22,FALSE)=2),2,IF(AND(Y132=1,VLOOKUP(A132,[1]PP!$A:$W,22,FALSE)=1),1)))))))))))</f>
        <v/>
      </c>
      <c r="Y132" s="28" t="str">
        <f>IF(COUNTIF(B132:G132,"")&gt;0,"",IF(COUNTIF([1]PP!$A:$A,A132)=0,"neni v PP",IF(VLOOKUP(A132,[1]PP!$A:$W,8,FALSE)="odešel","odešel",IF(F132="","",IF(J132="",IF(OR(T132=4,W132=4),4,IF(AND(T132="N",W132="N"),"N",IF(OR(T132="N",W132="N"),4,ROUND(AVERAGE(T132,W132),0)))),J132)))))</f>
        <v/>
      </c>
      <c r="Z132" s="29" t="str">
        <f>IF(COUNTIF(B132:G132,"")=0,IF(X132="neni v PP",CONCATENATE("ID: &lt;",A132,"&gt; se neshoduje s žádným IDem v kartě PP"),IF(COUNTIF($A:$A,A132)&gt;1,CONCATENATE("ID: &lt;",A132,"&gt; se v kartě VP opakuje. Je nutné tyto IDy od sebe odlišit, např. mezerou za příjmením."),IF(COUNTIF([1]PP!A:A,A132)&gt;1,CONCATENATE("ID: &lt;",A132,"&gt; se v kartě PP opakuje. Je nutné tyto IDy od sebe odlišit, např. mezerou za příjmením."),IF(VLOOKUP(A132,[1]PP!$A:$W,5,FALSE)&lt;&gt;E132,CONCATENATE($E$4," &lt;",E132,"&gt; se neshoduje s jednotkou v kartě PP"," &lt;",VLOOKUP(A132,[1]PP!$A:$W,5,FALSE),"&gt;"),IF(AND(COUNTIF(K132:O132,"")&lt;5,J132="",I132=""),CONCATENATE("Doplň: ",$I$4),IF(AND(YEAR(I132)&lt;&gt;$E$2,COUNTIF(I132,"")=0),CONCATENATE("špatně uveden &lt;",$D$2,"&gt; nebo &lt;",$I$4,"&gt;"),IF(OR(AND(OR(COUNTIF(C132,"*a"),COUNTIF(C132,"*ie"),COUNTIF(C132,"*ine"),COUNTIF(D132,"*Á")),F132="muž"),AND(AND(COUNTIF(C132,"&lt;&gt;"&amp;"*a"),COUNTIF(C132,"&lt;&gt;"&amp;"*ie"),COUNTIF(C132,"&lt;&gt;"&amp;"*ine"),COUNTIF(D132,"&lt;&gt;"&amp;"*Á")),F132="žena")),CONCATENATE(C132," ",D132," je ",F132,"?"),""))))))),IF(COUNTIF(B132:O132,"")=14,"",CONCATENATE("Doplň: ",IF(B132="",CONCATENATE($B$4,IF(COUNTIF(C132:G132,"")=0,"",", ")),""),IF(C132="",CONCATENATE($C$4,IF(COUNTIF(D132:G132,"")=0,"",", ")),""),IF(D132="",CONCATENATE($D$4,IF(COUNTIF(E132:G132,"")=0,"",", ")),""),IF(E132="",CONCATENATE($E$4,IF(COUNTIF(F132:G132,"")=0,"",", ")),""),IF(F132="",CONCATENATE($F$4,IF(G132="",", ","")),""),IF(G132="",$G$4,""))))</f>
        <v/>
      </c>
      <c r="AA132" s="30"/>
    </row>
    <row r="133" spans="1:27" ht="16" x14ac:dyDescent="0.35">
      <c r="A133" s="14" t="str">
        <f t="shared" si="8"/>
        <v xml:space="preserve">  </v>
      </c>
      <c r="B133" s="15"/>
      <c r="C133" s="31"/>
      <c r="D133" s="31"/>
      <c r="E133" s="17"/>
      <c r="F133" s="18"/>
      <c r="G133" s="32"/>
      <c r="H133" s="33" t="str">
        <f>IF(G133="","",IF(F133="žena",ROMAN(MATCH(G133+1,'[1]Normy VP'!$Y$27:$Y$33,-1)),ROMAN(MATCH(G133+1,'[1]Normy VP'!$Y$19:$Y$25,-1))))</f>
        <v/>
      </c>
      <c r="I133" s="21"/>
      <c r="J133" s="22"/>
      <c r="K133" s="23"/>
      <c r="L133" s="23"/>
      <c r="M133" s="23"/>
      <c r="N133" s="22"/>
      <c r="O133" s="22"/>
      <c r="P133" s="24" t="str">
        <f>IF(OR($J133="",$J133="odešel"),IF(K133="","",IF($F133="žena",CHOOSE(_xlfn.ARABIC($H133),MATCH(K133+1,'[1]Normy VP'!$C$25:$F$25,-1),MATCH(K133+1,'[1]Normy VP'!$C$26:$F$26,-1),MATCH(K133+1,'[1]Normy VP'!$C$27:$F$27,-1),MATCH(K133+1,'[1]Normy VP'!$C$28:$F$28,-1),MATCH(K133+1,'[1]Normy VP'!$C$29:$F$29,-1),"muž"),CHOOSE(_xlfn.ARABIC($H133),MATCH(K133+1,'[1]Normy VP'!$C$10:$F$10,-1),MATCH(K133+1,'[1]Normy VP'!$C$11:$F$11,-1),MATCH(K133+1,'[1]Normy VP'!$C$12:$F$12,-1),MATCH(K133+1,'[1]Normy VP'!$C$13:$F$13,-1),MATCH(K133+1,'[1]Normy VP'!$C$14:$F$14,-1),""))),"O")</f>
        <v/>
      </c>
      <c r="Q133" s="24" t="str">
        <f>IF(OR($J133="",$J133="odešel"),IF($F133="žena","",IF(L133="","",(CHOOSE(_xlfn.ARABIC($H133),MATCH(L133+1,'[1]Normy VP'!$G$10:$J$10,-1),MATCH(L133+1,'[1]Normy VP'!$G$11:$J$11,-1),MATCH(L133+1,'[1]Normy VP'!$G$12:$J$12,-1),MATCH(L133+1,'[1]Normy VP'!$G$13:$J$13,-1),MATCH(L133+1,'[1]Normy VP'!$G$14:$J$14,-1),"")))),"O")</f>
        <v/>
      </c>
      <c r="R133" s="34" t="str">
        <f t="shared" si="9"/>
        <v>N</v>
      </c>
      <c r="S133" s="24" t="str">
        <f>IF(OR($J133="",$J133="odešel"),IF(M133="","N",IF($F133="žena",CHOOSE(_xlfn.ARABIC($H133),MATCH(M133+1,'[1]Normy VP'!$G$25:$J$25,-1),MATCH(M133+1,'[1]Normy VP'!$G$26:$J$26,-1),MATCH(M133+1,'[1]Normy VP'!$G$27:$J$27,-1),MATCH(M133+1,'[1]Normy VP'!$G$28:$J$28,-1),MATCH(M133+1,'[1]Normy VP'!$G$29:$J$29,-1),"muž"),(CHOOSE(_xlfn.ARABIC($H133),MATCH(M133+1,'[1]Normy VP'!$K$10:$N$10,-1),MATCH(M133+1,'[1]Normy VP'!$K$11:$N$11,-1),MATCH(M133+1,'[1]Normy VP'!$K$12:$N$12,-1),MATCH(M133+1,'[1]Normy VP'!$K$13:$N$13,-1),MATCH(M133+1,'[1]Normy VP'!$K$14:$N$14,-1),"")))),"O")</f>
        <v>N</v>
      </c>
      <c r="T133" s="34" t="str">
        <f t="shared" si="10"/>
        <v>N</v>
      </c>
      <c r="U133" s="24" t="str">
        <f>IF(OR($J133="",$J133="odešel"),IF(N133="","N",IF($F133="žena",CHOOSE(_xlfn.ARABIC($H133),MATCH(N133+1,'[1]Normy VP'!$K$25:$N$25,-1),MATCH(N133+1,'[1]Normy VP'!$K$26:$N$26,-1),MATCH(N133+1,'[1]Normy VP'!$K$27:$N$27,-1),MATCH(N133+1,'[1]Normy VP'!$K$28:$N$28,-1),MATCH(N133+1,'[1]Normy VP'!$K$29:$N$29,-1),MATCH(N133+1,'[1]Normy VP'!$K$30:$N$30,-1)),CHOOSE(_xlfn.ARABIC($H133),MATCH(N133+1,'[1]Normy VP'!$O$10:$R$10,-1),MATCH(N133+1,'[1]Normy VP'!$O$11:$R$11,-1),MATCH(N133+1,'[1]Normy VP'!$O$12:$R$12,-1),MATCH(N133+1,'[1]Normy VP'!$O$13:$R$13,-1),MATCH(N133+1,'[1]Normy VP'!$O$14:$R$14,-1),MATCH(N133+1,'[1]Normy VP'!$O$15:$R$15,-1)))),"O")</f>
        <v>N</v>
      </c>
      <c r="V133" s="26" t="str">
        <f>IF(OR($J133="",$J133="odešel"),IF(O133="","N",IF($F133="žena",CHOOSE(_xlfn.ARABIC($H133),MATCH(O133-1,'[1]Normy VP'!$O$25:$R$25),MATCH(O133-1,'[1]Normy VP'!$O$26:$R$26),MATCH(O133-1,'[1]Normy VP'!$O$27:$R$27),MATCH(O133-1,'[1]Normy VP'!$O$28:$R$28),MATCH(O133-1,'[1]Normy VP'!$O$29:$R$29),MATCH(O133-1,'[1]Normy VP'!$O$30:$R$30)),CHOOSE(_xlfn.ARABIC($H133),MATCH(O133-1,'[1]Normy VP'!$S$10:$V$10),MATCH(O133-1,'[1]Normy VP'!$S$11:$V$11),MATCH(O133-1,'[1]Normy VP'!$S$12:$V$12),MATCH(O133-1,'[1]Normy VP'!$S$13:$V$13),MATCH(O133-1,'[1]Normy VP'!$S$14:$V$14),MATCH(O133-1,'[1]Normy VP'!$S$15:$V$15)))),"O")</f>
        <v>N</v>
      </c>
      <c r="W133" s="34" t="str">
        <f t="shared" si="11"/>
        <v>N</v>
      </c>
      <c r="X133" s="27" t="str">
        <f>IF(COUNTIF(B133:G133,"")&gt;0,"",IF(COUNTIF([1]PP!$A:$A,A133)=0,"neni v PP",IF(OR(Y133="odešel",VLOOKUP(A133,[1]PP!$A:$W,22,FALSE)="odešel"),"odešel",IF(OR(Y133="N",VLOOKUP(A133,[1]PP!$A:$W,22,FALSE)="N"),"N",IF(OR(Y133="C",VLOOKUP(A133,[1]PP!$A:$W,22,FALSE)="C"),"C",IF(OR(Y133="DZO",VLOOKUP(A133,[1]PP!$A:$W,22,FALSE)="DZO"),"DZO",IF(OR(Y133="mise",Y133="disp.",Y133="končí",Y133="DSC",VLOOKUP(A133,[1]PP!$A:$W,22,FALSE)="mise",VLOOKUP(A133,[1]PP!$A:$W,22,FALSE)="disp.",VLOOKUP(A133,[1]PP!$A:$W,22,FALSE)="končí",VLOOKUP(A133,[1]PP!$A:$W,22,FALSE)="DSC"),"jiné",IF(OR(Y133=4,VLOOKUP(A133,[1]PP!$A:$W,22,FALSE)=4),4,IF(OR(Y133=3,VLOOKUP(A133,[1]PP!$A:$W,22,FALSE)=3),3,IF(OR(Y133=2,VLOOKUP(A133,[1]PP!$A:$W,22,FALSE)=2),2,IF(AND(Y133=1,VLOOKUP(A133,[1]PP!$A:$W,22,FALSE)=1),1)))))))))))</f>
        <v/>
      </c>
      <c r="Y133" s="28" t="str">
        <f>IF(COUNTIF(B133:G133,"")&gt;0,"",IF(COUNTIF([1]PP!$A:$A,A133)=0,"neni v PP",IF(VLOOKUP(A133,[1]PP!$A:$W,8,FALSE)="odešel","odešel",IF(F133="","",IF(J133="",IF(OR(T133=4,W133=4),4,IF(AND(T133="N",W133="N"),"N",IF(OR(T133="N",W133="N"),4,ROUND(AVERAGE(T133,W133),0)))),J133)))))</f>
        <v/>
      </c>
      <c r="Z133" s="29" t="str">
        <f>IF(COUNTIF(B133:G133,"")=0,IF(X133="neni v PP",CONCATENATE("ID: &lt;",A133,"&gt; se neshoduje s žádným IDem v kartě PP"),IF(COUNTIF($A:$A,A133)&gt;1,CONCATENATE("ID: &lt;",A133,"&gt; se v kartě VP opakuje. Je nutné tyto IDy od sebe odlišit, např. mezerou za příjmením."),IF(COUNTIF([1]PP!A:A,A133)&gt;1,CONCATENATE("ID: &lt;",A133,"&gt; se v kartě PP opakuje. Je nutné tyto IDy od sebe odlišit, např. mezerou za příjmením."),IF(VLOOKUP(A133,[1]PP!$A:$W,5,FALSE)&lt;&gt;E133,CONCATENATE($E$4," &lt;",E133,"&gt; se neshoduje s jednotkou v kartě PP"," &lt;",VLOOKUP(A133,[1]PP!$A:$W,5,FALSE),"&gt;"),IF(AND(COUNTIF(K133:O133,"")&lt;5,J133="",I133=""),CONCATENATE("Doplň: ",$I$4),IF(AND(YEAR(I133)&lt;&gt;$E$2,COUNTIF(I133,"")=0),CONCATENATE("špatně uveden &lt;",$D$2,"&gt; nebo &lt;",$I$4,"&gt;"),IF(OR(AND(OR(COUNTIF(C133,"*a"),COUNTIF(C133,"*ie"),COUNTIF(C133,"*ine"),COUNTIF(D133,"*Á")),F133="muž"),AND(AND(COUNTIF(C133,"&lt;&gt;"&amp;"*a"),COUNTIF(C133,"&lt;&gt;"&amp;"*ie"),COUNTIF(C133,"&lt;&gt;"&amp;"*ine"),COUNTIF(D133,"&lt;&gt;"&amp;"*Á")),F133="žena")),CONCATENATE(C133," ",D133," je ",F133,"?"),""))))))),IF(COUNTIF(B133:O133,"")=14,"",CONCATENATE("Doplň: ",IF(B133="",CONCATENATE($B$4,IF(COUNTIF(C133:G133,"")=0,"",", ")),""),IF(C133="",CONCATENATE($C$4,IF(COUNTIF(D133:G133,"")=0,"",", ")),""),IF(D133="",CONCATENATE($D$4,IF(COUNTIF(E133:G133,"")=0,"",", ")),""),IF(E133="",CONCATENATE($E$4,IF(COUNTIF(F133:G133,"")=0,"",", ")),""),IF(F133="",CONCATENATE($F$4,IF(G133="",", ","")),""),IF(G133="",$G$4,""))))</f>
        <v/>
      </c>
      <c r="AA133" s="30"/>
    </row>
    <row r="134" spans="1:27" ht="16" x14ac:dyDescent="0.35">
      <c r="A134" s="14" t="str">
        <f t="shared" si="8"/>
        <v xml:space="preserve">  </v>
      </c>
      <c r="B134" s="15"/>
      <c r="C134" s="31"/>
      <c r="D134" s="31"/>
      <c r="E134" s="17"/>
      <c r="F134" s="18"/>
      <c r="G134" s="32"/>
      <c r="H134" s="33" t="str">
        <f>IF(G134="","",IF(F134="žena",ROMAN(MATCH(G134+1,'[1]Normy VP'!$Y$27:$Y$33,-1)),ROMAN(MATCH(G134+1,'[1]Normy VP'!$Y$19:$Y$25,-1))))</f>
        <v/>
      </c>
      <c r="I134" s="21"/>
      <c r="J134" s="22"/>
      <c r="K134" s="23"/>
      <c r="L134" s="23"/>
      <c r="M134" s="23"/>
      <c r="N134" s="22"/>
      <c r="O134" s="22"/>
      <c r="P134" s="24" t="str">
        <f>IF(OR($J134="",$J134="odešel"),IF(K134="","",IF($F134="žena",CHOOSE(_xlfn.ARABIC($H134),MATCH(K134+1,'[1]Normy VP'!$C$25:$F$25,-1),MATCH(K134+1,'[1]Normy VP'!$C$26:$F$26,-1),MATCH(K134+1,'[1]Normy VP'!$C$27:$F$27,-1),MATCH(K134+1,'[1]Normy VP'!$C$28:$F$28,-1),MATCH(K134+1,'[1]Normy VP'!$C$29:$F$29,-1),"muž"),CHOOSE(_xlfn.ARABIC($H134),MATCH(K134+1,'[1]Normy VP'!$C$10:$F$10,-1),MATCH(K134+1,'[1]Normy VP'!$C$11:$F$11,-1),MATCH(K134+1,'[1]Normy VP'!$C$12:$F$12,-1),MATCH(K134+1,'[1]Normy VP'!$C$13:$F$13,-1),MATCH(K134+1,'[1]Normy VP'!$C$14:$F$14,-1),""))),"O")</f>
        <v/>
      </c>
      <c r="Q134" s="24" t="str">
        <f>IF(OR($J134="",$J134="odešel"),IF($F134="žena","",IF(L134="","",(CHOOSE(_xlfn.ARABIC($H134),MATCH(L134+1,'[1]Normy VP'!$G$10:$J$10,-1),MATCH(L134+1,'[1]Normy VP'!$G$11:$J$11,-1),MATCH(L134+1,'[1]Normy VP'!$G$12:$J$12,-1),MATCH(L134+1,'[1]Normy VP'!$G$13:$J$13,-1),MATCH(L134+1,'[1]Normy VP'!$G$14:$J$14,-1),"")))),"O")</f>
        <v/>
      </c>
      <c r="R134" s="34" t="str">
        <f t="shared" si="9"/>
        <v>N</v>
      </c>
      <c r="S134" s="24" t="str">
        <f>IF(OR($J134="",$J134="odešel"),IF(M134="","N",IF($F134="žena",CHOOSE(_xlfn.ARABIC($H134),MATCH(M134+1,'[1]Normy VP'!$G$25:$J$25,-1),MATCH(M134+1,'[1]Normy VP'!$G$26:$J$26,-1),MATCH(M134+1,'[1]Normy VP'!$G$27:$J$27,-1),MATCH(M134+1,'[1]Normy VP'!$G$28:$J$28,-1),MATCH(M134+1,'[1]Normy VP'!$G$29:$J$29,-1),"muž"),(CHOOSE(_xlfn.ARABIC($H134),MATCH(M134+1,'[1]Normy VP'!$K$10:$N$10,-1),MATCH(M134+1,'[1]Normy VP'!$K$11:$N$11,-1),MATCH(M134+1,'[1]Normy VP'!$K$12:$N$12,-1),MATCH(M134+1,'[1]Normy VP'!$K$13:$N$13,-1),MATCH(M134+1,'[1]Normy VP'!$K$14:$N$14,-1),"")))),"O")</f>
        <v>N</v>
      </c>
      <c r="T134" s="34" t="str">
        <f t="shared" si="10"/>
        <v>N</v>
      </c>
      <c r="U134" s="24" t="str">
        <f>IF(OR($J134="",$J134="odešel"),IF(N134="","N",IF($F134="žena",CHOOSE(_xlfn.ARABIC($H134),MATCH(N134+1,'[1]Normy VP'!$K$25:$N$25,-1),MATCH(N134+1,'[1]Normy VP'!$K$26:$N$26,-1),MATCH(N134+1,'[1]Normy VP'!$K$27:$N$27,-1),MATCH(N134+1,'[1]Normy VP'!$K$28:$N$28,-1),MATCH(N134+1,'[1]Normy VP'!$K$29:$N$29,-1),MATCH(N134+1,'[1]Normy VP'!$K$30:$N$30,-1)),CHOOSE(_xlfn.ARABIC($H134),MATCH(N134+1,'[1]Normy VP'!$O$10:$R$10,-1),MATCH(N134+1,'[1]Normy VP'!$O$11:$R$11,-1),MATCH(N134+1,'[1]Normy VP'!$O$12:$R$12,-1),MATCH(N134+1,'[1]Normy VP'!$O$13:$R$13,-1),MATCH(N134+1,'[1]Normy VP'!$O$14:$R$14,-1),MATCH(N134+1,'[1]Normy VP'!$O$15:$R$15,-1)))),"O")</f>
        <v>N</v>
      </c>
      <c r="V134" s="26" t="str">
        <f>IF(OR($J134="",$J134="odešel"),IF(O134="","N",IF($F134="žena",CHOOSE(_xlfn.ARABIC($H134),MATCH(O134-1,'[1]Normy VP'!$O$25:$R$25),MATCH(O134-1,'[1]Normy VP'!$O$26:$R$26),MATCH(O134-1,'[1]Normy VP'!$O$27:$R$27),MATCH(O134-1,'[1]Normy VP'!$O$28:$R$28),MATCH(O134-1,'[1]Normy VP'!$O$29:$R$29),MATCH(O134-1,'[1]Normy VP'!$O$30:$R$30)),CHOOSE(_xlfn.ARABIC($H134),MATCH(O134-1,'[1]Normy VP'!$S$10:$V$10),MATCH(O134-1,'[1]Normy VP'!$S$11:$V$11),MATCH(O134-1,'[1]Normy VP'!$S$12:$V$12),MATCH(O134-1,'[1]Normy VP'!$S$13:$V$13),MATCH(O134-1,'[1]Normy VP'!$S$14:$V$14),MATCH(O134-1,'[1]Normy VP'!$S$15:$V$15)))),"O")</f>
        <v>N</v>
      </c>
      <c r="W134" s="34" t="str">
        <f t="shared" si="11"/>
        <v>N</v>
      </c>
      <c r="X134" s="27" t="str">
        <f>IF(COUNTIF(B134:G134,"")&gt;0,"",IF(COUNTIF([1]PP!$A:$A,A134)=0,"neni v PP",IF(OR(Y134="odešel",VLOOKUP(A134,[1]PP!$A:$W,22,FALSE)="odešel"),"odešel",IF(OR(Y134="N",VLOOKUP(A134,[1]PP!$A:$W,22,FALSE)="N"),"N",IF(OR(Y134="C",VLOOKUP(A134,[1]PP!$A:$W,22,FALSE)="C"),"C",IF(OR(Y134="DZO",VLOOKUP(A134,[1]PP!$A:$W,22,FALSE)="DZO"),"DZO",IF(OR(Y134="mise",Y134="disp.",Y134="končí",Y134="DSC",VLOOKUP(A134,[1]PP!$A:$W,22,FALSE)="mise",VLOOKUP(A134,[1]PP!$A:$W,22,FALSE)="disp.",VLOOKUP(A134,[1]PP!$A:$W,22,FALSE)="končí",VLOOKUP(A134,[1]PP!$A:$W,22,FALSE)="DSC"),"jiné",IF(OR(Y134=4,VLOOKUP(A134,[1]PP!$A:$W,22,FALSE)=4),4,IF(OR(Y134=3,VLOOKUP(A134,[1]PP!$A:$W,22,FALSE)=3),3,IF(OR(Y134=2,VLOOKUP(A134,[1]PP!$A:$W,22,FALSE)=2),2,IF(AND(Y134=1,VLOOKUP(A134,[1]PP!$A:$W,22,FALSE)=1),1)))))))))))</f>
        <v/>
      </c>
      <c r="Y134" s="28" t="str">
        <f>IF(COUNTIF(B134:G134,"")&gt;0,"",IF(COUNTIF([1]PP!$A:$A,A134)=0,"neni v PP",IF(VLOOKUP(A134,[1]PP!$A:$W,8,FALSE)="odešel","odešel",IF(F134="","",IF(J134="",IF(OR(T134=4,W134=4),4,IF(AND(T134="N",W134="N"),"N",IF(OR(T134="N",W134="N"),4,ROUND(AVERAGE(T134,W134),0)))),J134)))))</f>
        <v/>
      </c>
      <c r="Z134" s="29" t="str">
        <f>IF(COUNTIF(B134:G134,"")=0,IF(X134="neni v PP",CONCATENATE("ID: &lt;",A134,"&gt; se neshoduje s žádným IDem v kartě PP"),IF(COUNTIF($A:$A,A134)&gt;1,CONCATENATE("ID: &lt;",A134,"&gt; se v kartě VP opakuje. Je nutné tyto IDy od sebe odlišit, např. mezerou za příjmením."),IF(COUNTIF([1]PP!A:A,A134)&gt;1,CONCATENATE("ID: &lt;",A134,"&gt; se v kartě PP opakuje. Je nutné tyto IDy od sebe odlišit, např. mezerou za příjmením."),IF(VLOOKUP(A134,[1]PP!$A:$W,5,FALSE)&lt;&gt;E134,CONCATENATE($E$4," &lt;",E134,"&gt; se neshoduje s jednotkou v kartě PP"," &lt;",VLOOKUP(A134,[1]PP!$A:$W,5,FALSE),"&gt;"),IF(AND(COUNTIF(K134:O134,"")&lt;5,J134="",I134=""),CONCATENATE("Doplň: ",$I$4),IF(AND(YEAR(I134)&lt;&gt;$E$2,COUNTIF(I134,"")=0),CONCATENATE("špatně uveden &lt;",$D$2,"&gt; nebo &lt;",$I$4,"&gt;"),IF(OR(AND(OR(COUNTIF(C134,"*a"),COUNTIF(C134,"*ie"),COUNTIF(C134,"*ine"),COUNTIF(D134,"*Á")),F134="muž"),AND(AND(COUNTIF(C134,"&lt;&gt;"&amp;"*a"),COUNTIF(C134,"&lt;&gt;"&amp;"*ie"),COUNTIF(C134,"&lt;&gt;"&amp;"*ine"),COUNTIF(D134,"&lt;&gt;"&amp;"*Á")),F134="žena")),CONCATENATE(C134," ",D134," je ",F134,"?"),""))))))),IF(COUNTIF(B134:O134,"")=14,"",CONCATENATE("Doplň: ",IF(B134="",CONCATENATE($B$4,IF(COUNTIF(C134:G134,"")=0,"",", ")),""),IF(C134="",CONCATENATE($C$4,IF(COUNTIF(D134:G134,"")=0,"",", ")),""),IF(D134="",CONCATENATE($D$4,IF(COUNTIF(E134:G134,"")=0,"",", ")),""),IF(E134="",CONCATENATE($E$4,IF(COUNTIF(F134:G134,"")=0,"",", ")),""),IF(F134="",CONCATENATE($F$4,IF(G134="",", ","")),""),IF(G134="",$G$4,""))))</f>
        <v/>
      </c>
      <c r="AA134" s="30"/>
    </row>
    <row r="135" spans="1:27" ht="16" x14ac:dyDescent="0.35">
      <c r="A135" s="14" t="str">
        <f t="shared" si="8"/>
        <v xml:space="preserve">  </v>
      </c>
      <c r="B135" s="15"/>
      <c r="C135" s="31"/>
      <c r="D135" s="31"/>
      <c r="E135" s="17"/>
      <c r="F135" s="18"/>
      <c r="G135" s="32"/>
      <c r="H135" s="33" t="str">
        <f>IF(G135="","",IF(F135="žena",ROMAN(MATCH(G135+1,'[1]Normy VP'!$Y$27:$Y$33,-1)),ROMAN(MATCH(G135+1,'[1]Normy VP'!$Y$19:$Y$25,-1))))</f>
        <v/>
      </c>
      <c r="I135" s="21"/>
      <c r="J135" s="22"/>
      <c r="K135" s="23"/>
      <c r="L135" s="23"/>
      <c r="M135" s="23"/>
      <c r="N135" s="22"/>
      <c r="O135" s="22"/>
      <c r="P135" s="24" t="str">
        <f>IF(OR($J135="",$J135="odešel"),IF(K135="","",IF($F135="žena",CHOOSE(_xlfn.ARABIC($H135),MATCH(K135+1,'[1]Normy VP'!$C$25:$F$25,-1),MATCH(K135+1,'[1]Normy VP'!$C$26:$F$26,-1),MATCH(K135+1,'[1]Normy VP'!$C$27:$F$27,-1),MATCH(K135+1,'[1]Normy VP'!$C$28:$F$28,-1),MATCH(K135+1,'[1]Normy VP'!$C$29:$F$29,-1),"muž"),CHOOSE(_xlfn.ARABIC($H135),MATCH(K135+1,'[1]Normy VP'!$C$10:$F$10,-1),MATCH(K135+1,'[1]Normy VP'!$C$11:$F$11,-1),MATCH(K135+1,'[1]Normy VP'!$C$12:$F$12,-1),MATCH(K135+1,'[1]Normy VP'!$C$13:$F$13,-1),MATCH(K135+1,'[1]Normy VP'!$C$14:$F$14,-1),""))),"O")</f>
        <v/>
      </c>
      <c r="Q135" s="24" t="str">
        <f>IF(OR($J135="",$J135="odešel"),IF($F135="žena","",IF(L135="","",(CHOOSE(_xlfn.ARABIC($H135),MATCH(L135+1,'[1]Normy VP'!$G$10:$J$10,-1),MATCH(L135+1,'[1]Normy VP'!$G$11:$J$11,-1),MATCH(L135+1,'[1]Normy VP'!$G$12:$J$12,-1),MATCH(L135+1,'[1]Normy VP'!$G$13:$J$13,-1),MATCH(L135+1,'[1]Normy VP'!$G$14:$J$14,-1),"")))),"O")</f>
        <v/>
      </c>
      <c r="R135" s="34" t="str">
        <f t="shared" si="9"/>
        <v>N</v>
      </c>
      <c r="S135" s="24" t="str">
        <f>IF(OR($J135="",$J135="odešel"),IF(M135="","N",IF($F135="žena",CHOOSE(_xlfn.ARABIC($H135),MATCH(M135+1,'[1]Normy VP'!$G$25:$J$25,-1),MATCH(M135+1,'[1]Normy VP'!$G$26:$J$26,-1),MATCH(M135+1,'[1]Normy VP'!$G$27:$J$27,-1),MATCH(M135+1,'[1]Normy VP'!$G$28:$J$28,-1),MATCH(M135+1,'[1]Normy VP'!$G$29:$J$29,-1),"muž"),(CHOOSE(_xlfn.ARABIC($H135),MATCH(M135+1,'[1]Normy VP'!$K$10:$N$10,-1),MATCH(M135+1,'[1]Normy VP'!$K$11:$N$11,-1),MATCH(M135+1,'[1]Normy VP'!$K$12:$N$12,-1),MATCH(M135+1,'[1]Normy VP'!$K$13:$N$13,-1),MATCH(M135+1,'[1]Normy VP'!$K$14:$N$14,-1),"")))),"O")</f>
        <v>N</v>
      </c>
      <c r="T135" s="34" t="str">
        <f t="shared" si="10"/>
        <v>N</v>
      </c>
      <c r="U135" s="24" t="str">
        <f>IF(OR($J135="",$J135="odešel"),IF(N135="","N",IF($F135="žena",CHOOSE(_xlfn.ARABIC($H135),MATCH(N135+1,'[1]Normy VP'!$K$25:$N$25,-1),MATCH(N135+1,'[1]Normy VP'!$K$26:$N$26,-1),MATCH(N135+1,'[1]Normy VP'!$K$27:$N$27,-1),MATCH(N135+1,'[1]Normy VP'!$K$28:$N$28,-1),MATCH(N135+1,'[1]Normy VP'!$K$29:$N$29,-1),MATCH(N135+1,'[1]Normy VP'!$K$30:$N$30,-1)),CHOOSE(_xlfn.ARABIC($H135),MATCH(N135+1,'[1]Normy VP'!$O$10:$R$10,-1),MATCH(N135+1,'[1]Normy VP'!$O$11:$R$11,-1),MATCH(N135+1,'[1]Normy VP'!$O$12:$R$12,-1),MATCH(N135+1,'[1]Normy VP'!$O$13:$R$13,-1),MATCH(N135+1,'[1]Normy VP'!$O$14:$R$14,-1),MATCH(N135+1,'[1]Normy VP'!$O$15:$R$15,-1)))),"O")</f>
        <v>N</v>
      </c>
      <c r="V135" s="26" t="str">
        <f>IF(OR($J135="",$J135="odešel"),IF(O135="","N",IF($F135="žena",CHOOSE(_xlfn.ARABIC($H135),MATCH(O135-1,'[1]Normy VP'!$O$25:$R$25),MATCH(O135-1,'[1]Normy VP'!$O$26:$R$26),MATCH(O135-1,'[1]Normy VP'!$O$27:$R$27),MATCH(O135-1,'[1]Normy VP'!$O$28:$R$28),MATCH(O135-1,'[1]Normy VP'!$O$29:$R$29),MATCH(O135-1,'[1]Normy VP'!$O$30:$R$30)),CHOOSE(_xlfn.ARABIC($H135),MATCH(O135-1,'[1]Normy VP'!$S$10:$V$10),MATCH(O135-1,'[1]Normy VP'!$S$11:$V$11),MATCH(O135-1,'[1]Normy VP'!$S$12:$V$12),MATCH(O135-1,'[1]Normy VP'!$S$13:$V$13),MATCH(O135-1,'[1]Normy VP'!$S$14:$V$14),MATCH(O135-1,'[1]Normy VP'!$S$15:$V$15)))),"O")</f>
        <v>N</v>
      </c>
      <c r="W135" s="34" t="str">
        <f t="shared" si="11"/>
        <v>N</v>
      </c>
      <c r="X135" s="27" t="str">
        <f>IF(COUNTIF(B135:G135,"")&gt;0,"",IF(COUNTIF([1]PP!$A:$A,A135)=0,"neni v PP",IF(OR(Y135="odešel",VLOOKUP(A135,[1]PP!$A:$W,22,FALSE)="odešel"),"odešel",IF(OR(Y135="N",VLOOKUP(A135,[1]PP!$A:$W,22,FALSE)="N"),"N",IF(OR(Y135="C",VLOOKUP(A135,[1]PP!$A:$W,22,FALSE)="C"),"C",IF(OR(Y135="DZO",VLOOKUP(A135,[1]PP!$A:$W,22,FALSE)="DZO"),"DZO",IF(OR(Y135="mise",Y135="disp.",Y135="končí",Y135="DSC",VLOOKUP(A135,[1]PP!$A:$W,22,FALSE)="mise",VLOOKUP(A135,[1]PP!$A:$W,22,FALSE)="disp.",VLOOKUP(A135,[1]PP!$A:$W,22,FALSE)="končí",VLOOKUP(A135,[1]PP!$A:$W,22,FALSE)="DSC"),"jiné",IF(OR(Y135=4,VLOOKUP(A135,[1]PP!$A:$W,22,FALSE)=4),4,IF(OR(Y135=3,VLOOKUP(A135,[1]PP!$A:$W,22,FALSE)=3),3,IF(OR(Y135=2,VLOOKUP(A135,[1]PP!$A:$W,22,FALSE)=2),2,IF(AND(Y135=1,VLOOKUP(A135,[1]PP!$A:$W,22,FALSE)=1),1)))))))))))</f>
        <v/>
      </c>
      <c r="Y135" s="28" t="str">
        <f>IF(COUNTIF(B135:G135,"")&gt;0,"",IF(COUNTIF([1]PP!$A:$A,A135)=0,"neni v PP",IF(VLOOKUP(A135,[1]PP!$A:$W,8,FALSE)="odešel","odešel",IF(F135="","",IF(J135="",IF(OR(T135=4,W135=4),4,IF(AND(T135="N",W135="N"),"N",IF(OR(T135="N",W135="N"),4,ROUND(AVERAGE(T135,W135),0)))),J135)))))</f>
        <v/>
      </c>
      <c r="Z135" s="29" t="str">
        <f>IF(COUNTIF(B135:G135,"")=0,IF(X135="neni v PP",CONCATENATE("ID: &lt;",A135,"&gt; se neshoduje s žádným IDem v kartě PP"),IF(COUNTIF($A:$A,A135)&gt;1,CONCATENATE("ID: &lt;",A135,"&gt; se v kartě VP opakuje. Je nutné tyto IDy od sebe odlišit, např. mezerou za příjmením."),IF(COUNTIF([1]PP!A:A,A135)&gt;1,CONCATENATE("ID: &lt;",A135,"&gt; se v kartě PP opakuje. Je nutné tyto IDy od sebe odlišit, např. mezerou za příjmením."),IF(VLOOKUP(A135,[1]PP!$A:$W,5,FALSE)&lt;&gt;E135,CONCATENATE($E$4," &lt;",E135,"&gt; se neshoduje s jednotkou v kartě PP"," &lt;",VLOOKUP(A135,[1]PP!$A:$W,5,FALSE),"&gt;"),IF(AND(COUNTIF(K135:O135,"")&lt;5,J135="",I135=""),CONCATENATE("Doplň: ",$I$4),IF(AND(YEAR(I135)&lt;&gt;$E$2,COUNTIF(I135,"")=0),CONCATENATE("špatně uveden &lt;",$D$2,"&gt; nebo &lt;",$I$4,"&gt;"),IF(OR(AND(OR(COUNTIF(C135,"*a"),COUNTIF(C135,"*ie"),COUNTIF(C135,"*ine"),COUNTIF(D135,"*Á")),F135="muž"),AND(AND(COUNTIF(C135,"&lt;&gt;"&amp;"*a"),COUNTIF(C135,"&lt;&gt;"&amp;"*ie"),COUNTIF(C135,"&lt;&gt;"&amp;"*ine"),COUNTIF(D135,"&lt;&gt;"&amp;"*Á")),F135="žena")),CONCATENATE(C135," ",D135," je ",F135,"?"),""))))))),IF(COUNTIF(B135:O135,"")=14,"",CONCATENATE("Doplň: ",IF(B135="",CONCATENATE($B$4,IF(COUNTIF(C135:G135,"")=0,"",", ")),""),IF(C135="",CONCATENATE($C$4,IF(COUNTIF(D135:G135,"")=0,"",", ")),""),IF(D135="",CONCATENATE($D$4,IF(COUNTIF(E135:G135,"")=0,"",", ")),""),IF(E135="",CONCATENATE($E$4,IF(COUNTIF(F135:G135,"")=0,"",", ")),""),IF(F135="",CONCATENATE($F$4,IF(G135="",", ","")),""),IF(G135="",$G$4,""))))</f>
        <v/>
      </c>
      <c r="AA135" s="30"/>
    </row>
    <row r="136" spans="1:27" ht="16" x14ac:dyDescent="0.35">
      <c r="A136" s="14" t="str">
        <f t="shared" si="8"/>
        <v xml:space="preserve">  </v>
      </c>
      <c r="B136" s="15"/>
      <c r="C136" s="31"/>
      <c r="D136" s="31"/>
      <c r="E136" s="17"/>
      <c r="F136" s="18"/>
      <c r="G136" s="32"/>
      <c r="H136" s="33" t="str">
        <f>IF(G136="","",IF(F136="žena",ROMAN(MATCH(G136+1,'[1]Normy VP'!$Y$27:$Y$33,-1)),ROMAN(MATCH(G136+1,'[1]Normy VP'!$Y$19:$Y$25,-1))))</f>
        <v/>
      </c>
      <c r="I136" s="21"/>
      <c r="J136" s="22"/>
      <c r="K136" s="23"/>
      <c r="L136" s="23"/>
      <c r="M136" s="23"/>
      <c r="N136" s="22"/>
      <c r="O136" s="22"/>
      <c r="P136" s="24" t="str">
        <f>IF(OR($J136="",$J136="odešel"),IF(K136="","",IF($F136="žena",CHOOSE(_xlfn.ARABIC($H136),MATCH(K136+1,'[1]Normy VP'!$C$25:$F$25,-1),MATCH(K136+1,'[1]Normy VP'!$C$26:$F$26,-1),MATCH(K136+1,'[1]Normy VP'!$C$27:$F$27,-1),MATCH(K136+1,'[1]Normy VP'!$C$28:$F$28,-1),MATCH(K136+1,'[1]Normy VP'!$C$29:$F$29,-1),"muž"),CHOOSE(_xlfn.ARABIC($H136),MATCH(K136+1,'[1]Normy VP'!$C$10:$F$10,-1),MATCH(K136+1,'[1]Normy VP'!$C$11:$F$11,-1),MATCH(K136+1,'[1]Normy VP'!$C$12:$F$12,-1),MATCH(K136+1,'[1]Normy VP'!$C$13:$F$13,-1),MATCH(K136+1,'[1]Normy VP'!$C$14:$F$14,-1),""))),"O")</f>
        <v/>
      </c>
      <c r="Q136" s="24" t="str">
        <f>IF(OR($J136="",$J136="odešel"),IF($F136="žena","",IF(L136="","",(CHOOSE(_xlfn.ARABIC($H136),MATCH(L136+1,'[1]Normy VP'!$G$10:$J$10,-1),MATCH(L136+1,'[1]Normy VP'!$G$11:$J$11,-1),MATCH(L136+1,'[1]Normy VP'!$G$12:$J$12,-1),MATCH(L136+1,'[1]Normy VP'!$G$13:$J$13,-1),MATCH(L136+1,'[1]Normy VP'!$G$14:$J$14,-1),"")))),"O")</f>
        <v/>
      </c>
      <c r="R136" s="34" t="str">
        <f t="shared" si="9"/>
        <v>N</v>
      </c>
      <c r="S136" s="24" t="str">
        <f>IF(OR($J136="",$J136="odešel"),IF(M136="","N",IF($F136="žena",CHOOSE(_xlfn.ARABIC($H136),MATCH(M136+1,'[1]Normy VP'!$G$25:$J$25,-1),MATCH(M136+1,'[1]Normy VP'!$G$26:$J$26,-1),MATCH(M136+1,'[1]Normy VP'!$G$27:$J$27,-1),MATCH(M136+1,'[1]Normy VP'!$G$28:$J$28,-1),MATCH(M136+1,'[1]Normy VP'!$G$29:$J$29,-1),"muž"),(CHOOSE(_xlfn.ARABIC($H136),MATCH(M136+1,'[1]Normy VP'!$K$10:$N$10,-1),MATCH(M136+1,'[1]Normy VP'!$K$11:$N$11,-1),MATCH(M136+1,'[1]Normy VP'!$K$12:$N$12,-1),MATCH(M136+1,'[1]Normy VP'!$K$13:$N$13,-1),MATCH(M136+1,'[1]Normy VP'!$K$14:$N$14,-1),"")))),"O")</f>
        <v>N</v>
      </c>
      <c r="T136" s="34" t="str">
        <f t="shared" si="10"/>
        <v>N</v>
      </c>
      <c r="U136" s="24" t="str">
        <f>IF(OR($J136="",$J136="odešel"),IF(N136="","N",IF($F136="žena",CHOOSE(_xlfn.ARABIC($H136),MATCH(N136+1,'[1]Normy VP'!$K$25:$N$25,-1),MATCH(N136+1,'[1]Normy VP'!$K$26:$N$26,-1),MATCH(N136+1,'[1]Normy VP'!$K$27:$N$27,-1),MATCH(N136+1,'[1]Normy VP'!$K$28:$N$28,-1),MATCH(N136+1,'[1]Normy VP'!$K$29:$N$29,-1),MATCH(N136+1,'[1]Normy VP'!$K$30:$N$30,-1)),CHOOSE(_xlfn.ARABIC($H136),MATCH(N136+1,'[1]Normy VP'!$O$10:$R$10,-1),MATCH(N136+1,'[1]Normy VP'!$O$11:$R$11,-1),MATCH(N136+1,'[1]Normy VP'!$O$12:$R$12,-1),MATCH(N136+1,'[1]Normy VP'!$O$13:$R$13,-1),MATCH(N136+1,'[1]Normy VP'!$O$14:$R$14,-1),MATCH(N136+1,'[1]Normy VP'!$O$15:$R$15,-1)))),"O")</f>
        <v>N</v>
      </c>
      <c r="V136" s="26" t="str">
        <f>IF(OR($J136="",$J136="odešel"),IF(O136="","N",IF($F136="žena",CHOOSE(_xlfn.ARABIC($H136),MATCH(O136-1,'[1]Normy VP'!$O$25:$R$25),MATCH(O136-1,'[1]Normy VP'!$O$26:$R$26),MATCH(O136-1,'[1]Normy VP'!$O$27:$R$27),MATCH(O136-1,'[1]Normy VP'!$O$28:$R$28),MATCH(O136-1,'[1]Normy VP'!$O$29:$R$29),MATCH(O136-1,'[1]Normy VP'!$O$30:$R$30)),CHOOSE(_xlfn.ARABIC($H136),MATCH(O136-1,'[1]Normy VP'!$S$10:$V$10),MATCH(O136-1,'[1]Normy VP'!$S$11:$V$11),MATCH(O136-1,'[1]Normy VP'!$S$12:$V$12),MATCH(O136-1,'[1]Normy VP'!$S$13:$V$13),MATCH(O136-1,'[1]Normy VP'!$S$14:$V$14),MATCH(O136-1,'[1]Normy VP'!$S$15:$V$15)))),"O")</f>
        <v>N</v>
      </c>
      <c r="W136" s="34" t="str">
        <f t="shared" si="11"/>
        <v>N</v>
      </c>
      <c r="X136" s="27" t="str">
        <f>IF(COUNTIF(B136:G136,"")&gt;0,"",IF(COUNTIF([1]PP!$A:$A,A136)=0,"neni v PP",IF(OR(Y136="odešel",VLOOKUP(A136,[1]PP!$A:$W,22,FALSE)="odešel"),"odešel",IF(OR(Y136="N",VLOOKUP(A136,[1]PP!$A:$W,22,FALSE)="N"),"N",IF(OR(Y136="C",VLOOKUP(A136,[1]PP!$A:$W,22,FALSE)="C"),"C",IF(OR(Y136="DZO",VLOOKUP(A136,[1]PP!$A:$W,22,FALSE)="DZO"),"DZO",IF(OR(Y136="mise",Y136="disp.",Y136="končí",Y136="DSC",VLOOKUP(A136,[1]PP!$A:$W,22,FALSE)="mise",VLOOKUP(A136,[1]PP!$A:$W,22,FALSE)="disp.",VLOOKUP(A136,[1]PP!$A:$W,22,FALSE)="končí",VLOOKUP(A136,[1]PP!$A:$W,22,FALSE)="DSC"),"jiné",IF(OR(Y136=4,VLOOKUP(A136,[1]PP!$A:$W,22,FALSE)=4),4,IF(OR(Y136=3,VLOOKUP(A136,[1]PP!$A:$W,22,FALSE)=3),3,IF(OR(Y136=2,VLOOKUP(A136,[1]PP!$A:$W,22,FALSE)=2),2,IF(AND(Y136=1,VLOOKUP(A136,[1]PP!$A:$W,22,FALSE)=1),1)))))))))))</f>
        <v/>
      </c>
      <c r="Y136" s="28" t="str">
        <f>IF(COUNTIF(B136:G136,"")&gt;0,"",IF(COUNTIF([1]PP!$A:$A,A136)=0,"neni v PP",IF(VLOOKUP(A136,[1]PP!$A:$W,8,FALSE)="odešel","odešel",IF(F136="","",IF(J136="",IF(OR(T136=4,W136=4),4,IF(AND(T136="N",W136="N"),"N",IF(OR(T136="N",W136="N"),4,ROUND(AVERAGE(T136,W136),0)))),J136)))))</f>
        <v/>
      </c>
      <c r="Z136" s="29" t="str">
        <f>IF(COUNTIF(B136:G136,"")=0,IF(X136="neni v PP",CONCATENATE("ID: &lt;",A136,"&gt; se neshoduje s žádným IDem v kartě PP"),IF(COUNTIF($A:$A,A136)&gt;1,CONCATENATE("ID: &lt;",A136,"&gt; se v kartě VP opakuje. Je nutné tyto IDy od sebe odlišit, např. mezerou za příjmením."),IF(COUNTIF([1]PP!A:A,A136)&gt;1,CONCATENATE("ID: &lt;",A136,"&gt; se v kartě PP opakuje. Je nutné tyto IDy od sebe odlišit, např. mezerou za příjmením."),IF(VLOOKUP(A136,[1]PP!$A:$W,5,FALSE)&lt;&gt;E136,CONCATENATE($E$4," &lt;",E136,"&gt; se neshoduje s jednotkou v kartě PP"," &lt;",VLOOKUP(A136,[1]PP!$A:$W,5,FALSE),"&gt;"),IF(AND(COUNTIF(K136:O136,"")&lt;5,J136="",I136=""),CONCATENATE("Doplň: ",$I$4),IF(AND(YEAR(I136)&lt;&gt;$E$2,COUNTIF(I136,"")=0),CONCATENATE("špatně uveden &lt;",$D$2,"&gt; nebo &lt;",$I$4,"&gt;"),IF(OR(AND(OR(COUNTIF(C136,"*a"),COUNTIF(C136,"*ie"),COUNTIF(C136,"*ine"),COUNTIF(D136,"*Á")),F136="muž"),AND(AND(COUNTIF(C136,"&lt;&gt;"&amp;"*a"),COUNTIF(C136,"&lt;&gt;"&amp;"*ie"),COUNTIF(C136,"&lt;&gt;"&amp;"*ine"),COUNTIF(D136,"&lt;&gt;"&amp;"*Á")),F136="žena")),CONCATENATE(C136," ",D136," je ",F136,"?"),""))))))),IF(COUNTIF(B136:O136,"")=14,"",CONCATENATE("Doplň: ",IF(B136="",CONCATENATE($B$4,IF(COUNTIF(C136:G136,"")=0,"",", ")),""),IF(C136="",CONCATENATE($C$4,IF(COUNTIF(D136:G136,"")=0,"",", ")),""),IF(D136="",CONCATENATE($D$4,IF(COUNTIF(E136:G136,"")=0,"",", ")),""),IF(E136="",CONCATENATE($E$4,IF(COUNTIF(F136:G136,"")=0,"",", ")),""),IF(F136="",CONCATENATE($F$4,IF(G136="",", ","")),""),IF(G136="",$G$4,""))))</f>
        <v/>
      </c>
      <c r="AA136" s="30"/>
    </row>
    <row r="137" spans="1:27" ht="16" x14ac:dyDescent="0.35">
      <c r="A137" s="14" t="str">
        <f t="shared" si="8"/>
        <v xml:space="preserve">  </v>
      </c>
      <c r="B137" s="15"/>
      <c r="C137" s="31"/>
      <c r="D137" s="31"/>
      <c r="E137" s="17"/>
      <c r="F137" s="18"/>
      <c r="G137" s="32"/>
      <c r="H137" s="33" t="str">
        <f>IF(G137="","",IF(F137="žena",ROMAN(MATCH(G137+1,'[1]Normy VP'!$Y$27:$Y$33,-1)),ROMAN(MATCH(G137+1,'[1]Normy VP'!$Y$19:$Y$25,-1))))</f>
        <v/>
      </c>
      <c r="I137" s="21"/>
      <c r="J137" s="22"/>
      <c r="K137" s="23"/>
      <c r="L137" s="23"/>
      <c r="M137" s="23"/>
      <c r="N137" s="22"/>
      <c r="O137" s="22"/>
      <c r="P137" s="24" t="str">
        <f>IF(OR($J137="",$J137="odešel"),IF(K137="","",IF($F137="žena",CHOOSE(_xlfn.ARABIC($H137),MATCH(K137+1,'[1]Normy VP'!$C$25:$F$25,-1),MATCH(K137+1,'[1]Normy VP'!$C$26:$F$26,-1),MATCH(K137+1,'[1]Normy VP'!$C$27:$F$27,-1),MATCH(K137+1,'[1]Normy VP'!$C$28:$F$28,-1),MATCH(K137+1,'[1]Normy VP'!$C$29:$F$29,-1),"muž"),CHOOSE(_xlfn.ARABIC($H137),MATCH(K137+1,'[1]Normy VP'!$C$10:$F$10,-1),MATCH(K137+1,'[1]Normy VP'!$C$11:$F$11,-1),MATCH(K137+1,'[1]Normy VP'!$C$12:$F$12,-1),MATCH(K137+1,'[1]Normy VP'!$C$13:$F$13,-1),MATCH(K137+1,'[1]Normy VP'!$C$14:$F$14,-1),""))),"O")</f>
        <v/>
      </c>
      <c r="Q137" s="24" t="str">
        <f>IF(OR($J137="",$J137="odešel"),IF($F137="žena","",IF(L137="","",(CHOOSE(_xlfn.ARABIC($H137),MATCH(L137+1,'[1]Normy VP'!$G$10:$J$10,-1),MATCH(L137+1,'[1]Normy VP'!$G$11:$J$11,-1),MATCH(L137+1,'[1]Normy VP'!$G$12:$J$12,-1),MATCH(L137+1,'[1]Normy VP'!$G$13:$J$13,-1),MATCH(L137+1,'[1]Normy VP'!$G$14:$J$14,-1),"")))),"O")</f>
        <v/>
      </c>
      <c r="R137" s="34" t="str">
        <f t="shared" si="9"/>
        <v>N</v>
      </c>
      <c r="S137" s="24" t="str">
        <f>IF(OR($J137="",$J137="odešel"),IF(M137="","N",IF($F137="žena",CHOOSE(_xlfn.ARABIC($H137),MATCH(M137+1,'[1]Normy VP'!$G$25:$J$25,-1),MATCH(M137+1,'[1]Normy VP'!$G$26:$J$26,-1),MATCH(M137+1,'[1]Normy VP'!$G$27:$J$27,-1),MATCH(M137+1,'[1]Normy VP'!$G$28:$J$28,-1),MATCH(M137+1,'[1]Normy VP'!$G$29:$J$29,-1),"muž"),(CHOOSE(_xlfn.ARABIC($H137),MATCH(M137+1,'[1]Normy VP'!$K$10:$N$10,-1),MATCH(M137+1,'[1]Normy VP'!$K$11:$N$11,-1),MATCH(M137+1,'[1]Normy VP'!$K$12:$N$12,-1),MATCH(M137+1,'[1]Normy VP'!$K$13:$N$13,-1),MATCH(M137+1,'[1]Normy VP'!$K$14:$N$14,-1),"")))),"O")</f>
        <v>N</v>
      </c>
      <c r="T137" s="34" t="str">
        <f t="shared" si="10"/>
        <v>N</v>
      </c>
      <c r="U137" s="24" t="str">
        <f>IF(OR($J137="",$J137="odešel"),IF(N137="","N",IF($F137="žena",CHOOSE(_xlfn.ARABIC($H137),MATCH(N137+1,'[1]Normy VP'!$K$25:$N$25,-1),MATCH(N137+1,'[1]Normy VP'!$K$26:$N$26,-1),MATCH(N137+1,'[1]Normy VP'!$K$27:$N$27,-1),MATCH(N137+1,'[1]Normy VP'!$K$28:$N$28,-1),MATCH(N137+1,'[1]Normy VP'!$K$29:$N$29,-1),MATCH(N137+1,'[1]Normy VP'!$K$30:$N$30,-1)),CHOOSE(_xlfn.ARABIC($H137),MATCH(N137+1,'[1]Normy VP'!$O$10:$R$10,-1),MATCH(N137+1,'[1]Normy VP'!$O$11:$R$11,-1),MATCH(N137+1,'[1]Normy VP'!$O$12:$R$12,-1),MATCH(N137+1,'[1]Normy VP'!$O$13:$R$13,-1),MATCH(N137+1,'[1]Normy VP'!$O$14:$R$14,-1),MATCH(N137+1,'[1]Normy VP'!$O$15:$R$15,-1)))),"O")</f>
        <v>N</v>
      </c>
      <c r="V137" s="26" t="str">
        <f>IF(OR($J137="",$J137="odešel"),IF(O137="","N",IF($F137="žena",CHOOSE(_xlfn.ARABIC($H137),MATCH(O137-1,'[1]Normy VP'!$O$25:$R$25),MATCH(O137-1,'[1]Normy VP'!$O$26:$R$26),MATCH(O137-1,'[1]Normy VP'!$O$27:$R$27),MATCH(O137-1,'[1]Normy VP'!$O$28:$R$28),MATCH(O137-1,'[1]Normy VP'!$O$29:$R$29),MATCH(O137-1,'[1]Normy VP'!$O$30:$R$30)),CHOOSE(_xlfn.ARABIC($H137),MATCH(O137-1,'[1]Normy VP'!$S$10:$V$10),MATCH(O137-1,'[1]Normy VP'!$S$11:$V$11),MATCH(O137-1,'[1]Normy VP'!$S$12:$V$12),MATCH(O137-1,'[1]Normy VP'!$S$13:$V$13),MATCH(O137-1,'[1]Normy VP'!$S$14:$V$14),MATCH(O137-1,'[1]Normy VP'!$S$15:$V$15)))),"O")</f>
        <v>N</v>
      </c>
      <c r="W137" s="34" t="str">
        <f t="shared" si="11"/>
        <v>N</v>
      </c>
      <c r="X137" s="27" t="str">
        <f>IF(COUNTIF(B137:G137,"")&gt;0,"",IF(COUNTIF([1]PP!$A:$A,A137)=0,"neni v PP",IF(OR(Y137="odešel",VLOOKUP(A137,[1]PP!$A:$W,22,FALSE)="odešel"),"odešel",IF(OR(Y137="N",VLOOKUP(A137,[1]PP!$A:$W,22,FALSE)="N"),"N",IF(OR(Y137="C",VLOOKUP(A137,[1]PP!$A:$W,22,FALSE)="C"),"C",IF(OR(Y137="DZO",VLOOKUP(A137,[1]PP!$A:$W,22,FALSE)="DZO"),"DZO",IF(OR(Y137="mise",Y137="disp.",Y137="končí",Y137="DSC",VLOOKUP(A137,[1]PP!$A:$W,22,FALSE)="mise",VLOOKUP(A137,[1]PP!$A:$W,22,FALSE)="disp.",VLOOKUP(A137,[1]PP!$A:$W,22,FALSE)="končí",VLOOKUP(A137,[1]PP!$A:$W,22,FALSE)="DSC"),"jiné",IF(OR(Y137=4,VLOOKUP(A137,[1]PP!$A:$W,22,FALSE)=4),4,IF(OR(Y137=3,VLOOKUP(A137,[1]PP!$A:$W,22,FALSE)=3),3,IF(OR(Y137=2,VLOOKUP(A137,[1]PP!$A:$W,22,FALSE)=2),2,IF(AND(Y137=1,VLOOKUP(A137,[1]PP!$A:$W,22,FALSE)=1),1)))))))))))</f>
        <v/>
      </c>
      <c r="Y137" s="28" t="str">
        <f>IF(COUNTIF(B137:G137,"")&gt;0,"",IF(COUNTIF([1]PP!$A:$A,A137)=0,"neni v PP",IF(VLOOKUP(A137,[1]PP!$A:$W,8,FALSE)="odešel","odešel",IF(F137="","",IF(J137="",IF(OR(T137=4,W137=4),4,IF(AND(T137="N",W137="N"),"N",IF(OR(T137="N",W137="N"),4,ROUND(AVERAGE(T137,W137),0)))),J137)))))</f>
        <v/>
      </c>
      <c r="Z137" s="29" t="str">
        <f>IF(COUNTIF(B137:G137,"")=0,IF(X137="neni v PP",CONCATENATE("ID: &lt;",A137,"&gt; se neshoduje s žádným IDem v kartě PP"),IF(COUNTIF($A:$A,A137)&gt;1,CONCATENATE("ID: &lt;",A137,"&gt; se v kartě VP opakuje. Je nutné tyto IDy od sebe odlišit, např. mezerou za příjmením."),IF(COUNTIF([1]PP!A:A,A137)&gt;1,CONCATENATE("ID: &lt;",A137,"&gt; se v kartě PP opakuje. Je nutné tyto IDy od sebe odlišit, např. mezerou za příjmením."),IF(VLOOKUP(A137,[1]PP!$A:$W,5,FALSE)&lt;&gt;E137,CONCATENATE($E$4," &lt;",E137,"&gt; se neshoduje s jednotkou v kartě PP"," &lt;",VLOOKUP(A137,[1]PP!$A:$W,5,FALSE),"&gt;"),IF(AND(COUNTIF(K137:O137,"")&lt;5,J137="",I137=""),CONCATENATE("Doplň: ",$I$4),IF(AND(YEAR(I137)&lt;&gt;$E$2,COUNTIF(I137,"")=0),CONCATENATE("špatně uveden &lt;",$D$2,"&gt; nebo &lt;",$I$4,"&gt;"),IF(OR(AND(OR(COUNTIF(C137,"*a"),COUNTIF(C137,"*ie"),COUNTIF(C137,"*ine"),COUNTIF(D137,"*Á")),F137="muž"),AND(AND(COUNTIF(C137,"&lt;&gt;"&amp;"*a"),COUNTIF(C137,"&lt;&gt;"&amp;"*ie"),COUNTIF(C137,"&lt;&gt;"&amp;"*ine"),COUNTIF(D137,"&lt;&gt;"&amp;"*Á")),F137="žena")),CONCATENATE(C137," ",D137," je ",F137,"?"),""))))))),IF(COUNTIF(B137:O137,"")=14,"",CONCATENATE("Doplň: ",IF(B137="",CONCATENATE($B$4,IF(COUNTIF(C137:G137,"")=0,"",", ")),""),IF(C137="",CONCATENATE($C$4,IF(COUNTIF(D137:G137,"")=0,"",", ")),""),IF(D137="",CONCATENATE($D$4,IF(COUNTIF(E137:G137,"")=0,"",", ")),""),IF(E137="",CONCATENATE($E$4,IF(COUNTIF(F137:G137,"")=0,"",", ")),""),IF(F137="",CONCATENATE($F$4,IF(G137="",", ","")),""),IF(G137="",$G$4,""))))</f>
        <v/>
      </c>
      <c r="AA137" s="30"/>
    </row>
    <row r="138" spans="1:27" ht="16" x14ac:dyDescent="0.35">
      <c r="A138" s="14" t="str">
        <f t="shared" si="8"/>
        <v xml:space="preserve">  </v>
      </c>
      <c r="B138" s="15"/>
      <c r="C138" s="31"/>
      <c r="D138" s="31"/>
      <c r="E138" s="17"/>
      <c r="F138" s="18"/>
      <c r="G138" s="32"/>
      <c r="H138" s="33" t="str">
        <f>IF(G138="","",IF(F138="žena",ROMAN(MATCH(G138+1,'[1]Normy VP'!$Y$27:$Y$33,-1)),ROMAN(MATCH(G138+1,'[1]Normy VP'!$Y$19:$Y$25,-1))))</f>
        <v/>
      </c>
      <c r="I138" s="21"/>
      <c r="J138" s="22"/>
      <c r="K138" s="23"/>
      <c r="L138" s="23"/>
      <c r="M138" s="23"/>
      <c r="N138" s="22"/>
      <c r="O138" s="22"/>
      <c r="P138" s="24" t="str">
        <f>IF(OR($J138="",$J138="odešel"),IF(K138="","",IF($F138="žena",CHOOSE(_xlfn.ARABIC($H138),MATCH(K138+1,'[1]Normy VP'!$C$25:$F$25,-1),MATCH(K138+1,'[1]Normy VP'!$C$26:$F$26,-1),MATCH(K138+1,'[1]Normy VP'!$C$27:$F$27,-1),MATCH(K138+1,'[1]Normy VP'!$C$28:$F$28,-1),MATCH(K138+1,'[1]Normy VP'!$C$29:$F$29,-1),"muž"),CHOOSE(_xlfn.ARABIC($H138),MATCH(K138+1,'[1]Normy VP'!$C$10:$F$10,-1),MATCH(K138+1,'[1]Normy VP'!$C$11:$F$11,-1),MATCH(K138+1,'[1]Normy VP'!$C$12:$F$12,-1),MATCH(K138+1,'[1]Normy VP'!$C$13:$F$13,-1),MATCH(K138+1,'[1]Normy VP'!$C$14:$F$14,-1),""))),"O")</f>
        <v/>
      </c>
      <c r="Q138" s="24" t="str">
        <f>IF(OR($J138="",$J138="odešel"),IF($F138="žena","",IF(L138="","",(CHOOSE(_xlfn.ARABIC($H138),MATCH(L138+1,'[1]Normy VP'!$G$10:$J$10,-1),MATCH(L138+1,'[1]Normy VP'!$G$11:$J$11,-1),MATCH(L138+1,'[1]Normy VP'!$G$12:$J$12,-1),MATCH(L138+1,'[1]Normy VP'!$G$13:$J$13,-1),MATCH(L138+1,'[1]Normy VP'!$G$14:$J$14,-1),"")))),"O")</f>
        <v/>
      </c>
      <c r="R138" s="34" t="str">
        <f t="shared" si="9"/>
        <v>N</v>
      </c>
      <c r="S138" s="24" t="str">
        <f>IF(OR($J138="",$J138="odešel"),IF(M138="","N",IF($F138="žena",CHOOSE(_xlfn.ARABIC($H138),MATCH(M138+1,'[1]Normy VP'!$G$25:$J$25,-1),MATCH(M138+1,'[1]Normy VP'!$G$26:$J$26,-1),MATCH(M138+1,'[1]Normy VP'!$G$27:$J$27,-1),MATCH(M138+1,'[1]Normy VP'!$G$28:$J$28,-1),MATCH(M138+1,'[1]Normy VP'!$G$29:$J$29,-1),"muž"),(CHOOSE(_xlfn.ARABIC($H138),MATCH(M138+1,'[1]Normy VP'!$K$10:$N$10,-1),MATCH(M138+1,'[1]Normy VP'!$K$11:$N$11,-1),MATCH(M138+1,'[1]Normy VP'!$K$12:$N$12,-1),MATCH(M138+1,'[1]Normy VP'!$K$13:$N$13,-1),MATCH(M138+1,'[1]Normy VP'!$K$14:$N$14,-1),"")))),"O")</f>
        <v>N</v>
      </c>
      <c r="T138" s="34" t="str">
        <f t="shared" si="10"/>
        <v>N</v>
      </c>
      <c r="U138" s="24" t="str">
        <f>IF(OR($J138="",$J138="odešel"),IF(N138="","N",IF($F138="žena",CHOOSE(_xlfn.ARABIC($H138),MATCH(N138+1,'[1]Normy VP'!$K$25:$N$25,-1),MATCH(N138+1,'[1]Normy VP'!$K$26:$N$26,-1),MATCH(N138+1,'[1]Normy VP'!$K$27:$N$27,-1),MATCH(N138+1,'[1]Normy VP'!$K$28:$N$28,-1),MATCH(N138+1,'[1]Normy VP'!$K$29:$N$29,-1),MATCH(N138+1,'[1]Normy VP'!$K$30:$N$30,-1)),CHOOSE(_xlfn.ARABIC($H138),MATCH(N138+1,'[1]Normy VP'!$O$10:$R$10,-1),MATCH(N138+1,'[1]Normy VP'!$O$11:$R$11,-1),MATCH(N138+1,'[1]Normy VP'!$O$12:$R$12,-1),MATCH(N138+1,'[1]Normy VP'!$O$13:$R$13,-1),MATCH(N138+1,'[1]Normy VP'!$O$14:$R$14,-1),MATCH(N138+1,'[1]Normy VP'!$O$15:$R$15,-1)))),"O")</f>
        <v>N</v>
      </c>
      <c r="V138" s="26" t="str">
        <f>IF(OR($J138="",$J138="odešel"),IF(O138="","N",IF($F138="žena",CHOOSE(_xlfn.ARABIC($H138),MATCH(O138-1,'[1]Normy VP'!$O$25:$R$25),MATCH(O138-1,'[1]Normy VP'!$O$26:$R$26),MATCH(O138-1,'[1]Normy VP'!$O$27:$R$27),MATCH(O138-1,'[1]Normy VP'!$O$28:$R$28),MATCH(O138-1,'[1]Normy VP'!$O$29:$R$29),MATCH(O138-1,'[1]Normy VP'!$O$30:$R$30)),CHOOSE(_xlfn.ARABIC($H138),MATCH(O138-1,'[1]Normy VP'!$S$10:$V$10),MATCH(O138-1,'[1]Normy VP'!$S$11:$V$11),MATCH(O138-1,'[1]Normy VP'!$S$12:$V$12),MATCH(O138-1,'[1]Normy VP'!$S$13:$V$13),MATCH(O138-1,'[1]Normy VP'!$S$14:$V$14),MATCH(O138-1,'[1]Normy VP'!$S$15:$V$15)))),"O")</f>
        <v>N</v>
      </c>
      <c r="W138" s="34" t="str">
        <f t="shared" si="11"/>
        <v>N</v>
      </c>
      <c r="X138" s="27" t="str">
        <f>IF(COUNTIF(B138:G138,"")&gt;0,"",IF(COUNTIF([1]PP!$A:$A,A138)=0,"neni v PP",IF(OR(Y138="odešel",VLOOKUP(A138,[1]PP!$A:$W,22,FALSE)="odešel"),"odešel",IF(OR(Y138="N",VLOOKUP(A138,[1]PP!$A:$W,22,FALSE)="N"),"N",IF(OR(Y138="C",VLOOKUP(A138,[1]PP!$A:$W,22,FALSE)="C"),"C",IF(OR(Y138="DZO",VLOOKUP(A138,[1]PP!$A:$W,22,FALSE)="DZO"),"DZO",IF(OR(Y138="mise",Y138="disp.",Y138="končí",Y138="DSC",VLOOKUP(A138,[1]PP!$A:$W,22,FALSE)="mise",VLOOKUP(A138,[1]PP!$A:$W,22,FALSE)="disp.",VLOOKUP(A138,[1]PP!$A:$W,22,FALSE)="končí",VLOOKUP(A138,[1]PP!$A:$W,22,FALSE)="DSC"),"jiné",IF(OR(Y138=4,VLOOKUP(A138,[1]PP!$A:$W,22,FALSE)=4),4,IF(OR(Y138=3,VLOOKUP(A138,[1]PP!$A:$W,22,FALSE)=3),3,IF(OR(Y138=2,VLOOKUP(A138,[1]PP!$A:$W,22,FALSE)=2),2,IF(AND(Y138=1,VLOOKUP(A138,[1]PP!$A:$W,22,FALSE)=1),1)))))))))))</f>
        <v/>
      </c>
      <c r="Y138" s="28" t="str">
        <f>IF(COUNTIF(B138:G138,"")&gt;0,"",IF(COUNTIF([1]PP!$A:$A,A138)=0,"neni v PP",IF(VLOOKUP(A138,[1]PP!$A:$W,8,FALSE)="odešel","odešel",IF(F138="","",IF(J138="",IF(OR(T138=4,W138=4),4,IF(AND(T138="N",W138="N"),"N",IF(OR(T138="N",W138="N"),4,ROUND(AVERAGE(T138,W138),0)))),J138)))))</f>
        <v/>
      </c>
      <c r="Z138" s="29" t="str">
        <f>IF(COUNTIF(B138:G138,"")=0,IF(X138="neni v PP",CONCATENATE("ID: &lt;",A138,"&gt; se neshoduje s žádným IDem v kartě PP"),IF(COUNTIF($A:$A,A138)&gt;1,CONCATENATE("ID: &lt;",A138,"&gt; se v kartě VP opakuje. Je nutné tyto IDy od sebe odlišit, např. mezerou za příjmením."),IF(COUNTIF([1]PP!A:A,A138)&gt;1,CONCATENATE("ID: &lt;",A138,"&gt; se v kartě PP opakuje. Je nutné tyto IDy od sebe odlišit, např. mezerou za příjmením."),IF(VLOOKUP(A138,[1]PP!$A:$W,5,FALSE)&lt;&gt;E138,CONCATENATE($E$4," &lt;",E138,"&gt; se neshoduje s jednotkou v kartě PP"," &lt;",VLOOKUP(A138,[1]PP!$A:$W,5,FALSE),"&gt;"),IF(AND(COUNTIF(K138:O138,"")&lt;5,J138="",I138=""),CONCATENATE("Doplň: ",$I$4),IF(AND(YEAR(I138)&lt;&gt;$E$2,COUNTIF(I138,"")=0),CONCATENATE("špatně uveden &lt;",$D$2,"&gt; nebo &lt;",$I$4,"&gt;"),IF(OR(AND(OR(COUNTIF(C138,"*a"),COUNTIF(C138,"*ie"),COUNTIF(C138,"*ine"),COUNTIF(D138,"*Á")),F138="muž"),AND(AND(COUNTIF(C138,"&lt;&gt;"&amp;"*a"),COUNTIF(C138,"&lt;&gt;"&amp;"*ie"),COUNTIF(C138,"&lt;&gt;"&amp;"*ine"),COUNTIF(D138,"&lt;&gt;"&amp;"*Á")),F138="žena")),CONCATENATE(C138," ",D138," je ",F138,"?"),""))))))),IF(COUNTIF(B138:O138,"")=14,"",CONCATENATE("Doplň: ",IF(B138="",CONCATENATE($B$4,IF(COUNTIF(C138:G138,"")=0,"",", ")),""),IF(C138="",CONCATENATE($C$4,IF(COUNTIF(D138:G138,"")=0,"",", ")),""),IF(D138="",CONCATENATE($D$4,IF(COUNTIF(E138:G138,"")=0,"",", ")),""),IF(E138="",CONCATENATE($E$4,IF(COUNTIF(F138:G138,"")=0,"",", ")),""),IF(F138="",CONCATENATE($F$4,IF(G138="",", ","")),""),IF(G138="",$G$4,""))))</f>
        <v/>
      </c>
      <c r="AA138" s="30"/>
    </row>
    <row r="139" spans="1:27" ht="16" x14ac:dyDescent="0.35">
      <c r="A139" s="14" t="str">
        <f t="shared" si="8"/>
        <v xml:space="preserve">  </v>
      </c>
      <c r="B139" s="15"/>
      <c r="C139" s="31"/>
      <c r="D139" s="31"/>
      <c r="E139" s="17"/>
      <c r="F139" s="18"/>
      <c r="G139" s="32"/>
      <c r="H139" s="33" t="str">
        <f>IF(G139="","",IF(F139="žena",ROMAN(MATCH(G139+1,'[1]Normy VP'!$Y$27:$Y$33,-1)),ROMAN(MATCH(G139+1,'[1]Normy VP'!$Y$19:$Y$25,-1))))</f>
        <v/>
      </c>
      <c r="I139" s="21"/>
      <c r="J139" s="22"/>
      <c r="K139" s="23"/>
      <c r="L139" s="23"/>
      <c r="M139" s="23"/>
      <c r="N139" s="22"/>
      <c r="O139" s="22"/>
      <c r="P139" s="24" t="str">
        <f>IF(OR($J139="",$J139="odešel"),IF(K139="","",IF($F139="žena",CHOOSE(_xlfn.ARABIC($H139),MATCH(K139+1,'[1]Normy VP'!$C$25:$F$25,-1),MATCH(K139+1,'[1]Normy VP'!$C$26:$F$26,-1),MATCH(K139+1,'[1]Normy VP'!$C$27:$F$27,-1),MATCH(K139+1,'[1]Normy VP'!$C$28:$F$28,-1),MATCH(K139+1,'[1]Normy VP'!$C$29:$F$29,-1),"muž"),CHOOSE(_xlfn.ARABIC($H139),MATCH(K139+1,'[1]Normy VP'!$C$10:$F$10,-1),MATCH(K139+1,'[1]Normy VP'!$C$11:$F$11,-1),MATCH(K139+1,'[1]Normy VP'!$C$12:$F$12,-1),MATCH(K139+1,'[1]Normy VP'!$C$13:$F$13,-1),MATCH(K139+1,'[1]Normy VP'!$C$14:$F$14,-1),""))),"O")</f>
        <v/>
      </c>
      <c r="Q139" s="24" t="str">
        <f>IF(OR($J139="",$J139="odešel"),IF($F139="žena","",IF(L139="","",(CHOOSE(_xlfn.ARABIC($H139),MATCH(L139+1,'[1]Normy VP'!$G$10:$J$10,-1),MATCH(L139+1,'[1]Normy VP'!$G$11:$J$11,-1),MATCH(L139+1,'[1]Normy VP'!$G$12:$J$12,-1),MATCH(L139+1,'[1]Normy VP'!$G$13:$J$13,-1),MATCH(L139+1,'[1]Normy VP'!$G$14:$J$14,-1),"")))),"O")</f>
        <v/>
      </c>
      <c r="R139" s="34" t="str">
        <f t="shared" si="9"/>
        <v>N</v>
      </c>
      <c r="S139" s="24" t="str">
        <f>IF(OR($J139="",$J139="odešel"),IF(M139="","N",IF($F139="žena",CHOOSE(_xlfn.ARABIC($H139),MATCH(M139+1,'[1]Normy VP'!$G$25:$J$25,-1),MATCH(M139+1,'[1]Normy VP'!$G$26:$J$26,-1),MATCH(M139+1,'[1]Normy VP'!$G$27:$J$27,-1),MATCH(M139+1,'[1]Normy VP'!$G$28:$J$28,-1),MATCH(M139+1,'[1]Normy VP'!$G$29:$J$29,-1),"muž"),(CHOOSE(_xlfn.ARABIC($H139),MATCH(M139+1,'[1]Normy VP'!$K$10:$N$10,-1),MATCH(M139+1,'[1]Normy VP'!$K$11:$N$11,-1),MATCH(M139+1,'[1]Normy VP'!$K$12:$N$12,-1),MATCH(M139+1,'[1]Normy VP'!$K$13:$N$13,-1),MATCH(M139+1,'[1]Normy VP'!$K$14:$N$14,-1),"")))),"O")</f>
        <v>N</v>
      </c>
      <c r="T139" s="34" t="str">
        <f t="shared" si="10"/>
        <v>N</v>
      </c>
      <c r="U139" s="24" t="str">
        <f>IF(OR($J139="",$J139="odešel"),IF(N139="","N",IF($F139="žena",CHOOSE(_xlfn.ARABIC($H139),MATCH(N139+1,'[1]Normy VP'!$K$25:$N$25,-1),MATCH(N139+1,'[1]Normy VP'!$K$26:$N$26,-1),MATCH(N139+1,'[1]Normy VP'!$K$27:$N$27,-1),MATCH(N139+1,'[1]Normy VP'!$K$28:$N$28,-1),MATCH(N139+1,'[1]Normy VP'!$K$29:$N$29,-1),MATCH(N139+1,'[1]Normy VP'!$K$30:$N$30,-1)),CHOOSE(_xlfn.ARABIC($H139),MATCH(N139+1,'[1]Normy VP'!$O$10:$R$10,-1),MATCH(N139+1,'[1]Normy VP'!$O$11:$R$11,-1),MATCH(N139+1,'[1]Normy VP'!$O$12:$R$12,-1),MATCH(N139+1,'[1]Normy VP'!$O$13:$R$13,-1),MATCH(N139+1,'[1]Normy VP'!$O$14:$R$14,-1),MATCH(N139+1,'[1]Normy VP'!$O$15:$R$15,-1)))),"O")</f>
        <v>N</v>
      </c>
      <c r="V139" s="26" t="str">
        <f>IF(OR($J139="",$J139="odešel"),IF(O139="","N",IF($F139="žena",CHOOSE(_xlfn.ARABIC($H139),MATCH(O139-1,'[1]Normy VP'!$O$25:$R$25),MATCH(O139-1,'[1]Normy VP'!$O$26:$R$26),MATCH(O139-1,'[1]Normy VP'!$O$27:$R$27),MATCH(O139-1,'[1]Normy VP'!$O$28:$R$28),MATCH(O139-1,'[1]Normy VP'!$O$29:$R$29),MATCH(O139-1,'[1]Normy VP'!$O$30:$R$30)),CHOOSE(_xlfn.ARABIC($H139),MATCH(O139-1,'[1]Normy VP'!$S$10:$V$10),MATCH(O139-1,'[1]Normy VP'!$S$11:$V$11),MATCH(O139-1,'[1]Normy VP'!$S$12:$V$12),MATCH(O139-1,'[1]Normy VP'!$S$13:$V$13),MATCH(O139-1,'[1]Normy VP'!$S$14:$V$14),MATCH(O139-1,'[1]Normy VP'!$S$15:$V$15)))),"O")</f>
        <v>N</v>
      </c>
      <c r="W139" s="34" t="str">
        <f t="shared" si="11"/>
        <v>N</v>
      </c>
      <c r="X139" s="27" t="str">
        <f>IF(COUNTIF(B139:G139,"")&gt;0,"",IF(COUNTIF([1]PP!$A:$A,A139)=0,"neni v PP",IF(OR(Y139="odešel",VLOOKUP(A139,[1]PP!$A:$W,22,FALSE)="odešel"),"odešel",IF(OR(Y139="N",VLOOKUP(A139,[1]PP!$A:$W,22,FALSE)="N"),"N",IF(OR(Y139="C",VLOOKUP(A139,[1]PP!$A:$W,22,FALSE)="C"),"C",IF(OR(Y139="DZO",VLOOKUP(A139,[1]PP!$A:$W,22,FALSE)="DZO"),"DZO",IF(OR(Y139="mise",Y139="disp.",Y139="končí",Y139="DSC",VLOOKUP(A139,[1]PP!$A:$W,22,FALSE)="mise",VLOOKUP(A139,[1]PP!$A:$W,22,FALSE)="disp.",VLOOKUP(A139,[1]PP!$A:$W,22,FALSE)="končí",VLOOKUP(A139,[1]PP!$A:$W,22,FALSE)="DSC"),"jiné",IF(OR(Y139=4,VLOOKUP(A139,[1]PP!$A:$W,22,FALSE)=4),4,IF(OR(Y139=3,VLOOKUP(A139,[1]PP!$A:$W,22,FALSE)=3),3,IF(OR(Y139=2,VLOOKUP(A139,[1]PP!$A:$W,22,FALSE)=2),2,IF(AND(Y139=1,VLOOKUP(A139,[1]PP!$A:$W,22,FALSE)=1),1)))))))))))</f>
        <v/>
      </c>
      <c r="Y139" s="28" t="str">
        <f>IF(COUNTIF(B139:G139,"")&gt;0,"",IF(COUNTIF([1]PP!$A:$A,A139)=0,"neni v PP",IF(VLOOKUP(A139,[1]PP!$A:$W,8,FALSE)="odešel","odešel",IF(F139="","",IF(J139="",IF(OR(T139=4,W139=4),4,IF(AND(T139="N",W139="N"),"N",IF(OR(T139="N",W139="N"),4,ROUND(AVERAGE(T139,W139),0)))),J139)))))</f>
        <v/>
      </c>
      <c r="Z139" s="29" t="str">
        <f>IF(COUNTIF(B139:G139,"")=0,IF(X139="neni v PP",CONCATENATE("ID: &lt;",A139,"&gt; se neshoduje s žádným IDem v kartě PP"),IF(COUNTIF($A:$A,A139)&gt;1,CONCATENATE("ID: &lt;",A139,"&gt; se v kartě VP opakuje. Je nutné tyto IDy od sebe odlišit, např. mezerou za příjmením."),IF(COUNTIF([1]PP!A:A,A139)&gt;1,CONCATENATE("ID: &lt;",A139,"&gt; se v kartě PP opakuje. Je nutné tyto IDy od sebe odlišit, např. mezerou za příjmením."),IF(VLOOKUP(A139,[1]PP!$A:$W,5,FALSE)&lt;&gt;E139,CONCATENATE($E$4," &lt;",E139,"&gt; se neshoduje s jednotkou v kartě PP"," &lt;",VLOOKUP(A139,[1]PP!$A:$W,5,FALSE),"&gt;"),IF(AND(COUNTIF(K139:O139,"")&lt;5,J139="",I139=""),CONCATENATE("Doplň: ",$I$4),IF(AND(YEAR(I139)&lt;&gt;$E$2,COUNTIF(I139,"")=0),CONCATENATE("špatně uveden &lt;",$D$2,"&gt; nebo &lt;",$I$4,"&gt;"),IF(OR(AND(OR(COUNTIF(C139,"*a"),COUNTIF(C139,"*ie"),COUNTIF(C139,"*ine"),COUNTIF(D139,"*Á")),F139="muž"),AND(AND(COUNTIF(C139,"&lt;&gt;"&amp;"*a"),COUNTIF(C139,"&lt;&gt;"&amp;"*ie"),COUNTIF(C139,"&lt;&gt;"&amp;"*ine"),COUNTIF(D139,"&lt;&gt;"&amp;"*Á")),F139="žena")),CONCATENATE(C139," ",D139," je ",F139,"?"),""))))))),IF(COUNTIF(B139:O139,"")=14,"",CONCATENATE("Doplň: ",IF(B139="",CONCATENATE($B$4,IF(COUNTIF(C139:G139,"")=0,"",", ")),""),IF(C139="",CONCATENATE($C$4,IF(COUNTIF(D139:G139,"")=0,"",", ")),""),IF(D139="",CONCATENATE($D$4,IF(COUNTIF(E139:G139,"")=0,"",", ")),""),IF(E139="",CONCATENATE($E$4,IF(COUNTIF(F139:G139,"")=0,"",", ")),""),IF(F139="",CONCATENATE($F$4,IF(G139="",", ","")),""),IF(G139="",$G$4,""))))</f>
        <v/>
      </c>
      <c r="AA139" s="30"/>
    </row>
    <row r="140" spans="1:27" ht="16" x14ac:dyDescent="0.35">
      <c r="A140" s="14" t="str">
        <f t="shared" si="8"/>
        <v xml:space="preserve">  </v>
      </c>
      <c r="B140" s="15"/>
      <c r="C140" s="31"/>
      <c r="D140" s="31"/>
      <c r="E140" s="17"/>
      <c r="F140" s="18"/>
      <c r="G140" s="32"/>
      <c r="H140" s="33" t="str">
        <f>IF(G140="","",IF(F140="žena",ROMAN(MATCH(G140+1,'[1]Normy VP'!$Y$27:$Y$33,-1)),ROMAN(MATCH(G140+1,'[1]Normy VP'!$Y$19:$Y$25,-1))))</f>
        <v/>
      </c>
      <c r="I140" s="21"/>
      <c r="J140" s="22"/>
      <c r="K140" s="23"/>
      <c r="L140" s="23"/>
      <c r="M140" s="23"/>
      <c r="N140" s="22"/>
      <c r="O140" s="22"/>
      <c r="P140" s="24" t="str">
        <f>IF(OR($J140="",$J140="odešel"),IF(K140="","",IF($F140="žena",CHOOSE(_xlfn.ARABIC($H140),MATCH(K140+1,'[1]Normy VP'!$C$25:$F$25,-1),MATCH(K140+1,'[1]Normy VP'!$C$26:$F$26,-1),MATCH(K140+1,'[1]Normy VP'!$C$27:$F$27,-1),MATCH(K140+1,'[1]Normy VP'!$C$28:$F$28,-1),MATCH(K140+1,'[1]Normy VP'!$C$29:$F$29,-1),"muž"),CHOOSE(_xlfn.ARABIC($H140),MATCH(K140+1,'[1]Normy VP'!$C$10:$F$10,-1),MATCH(K140+1,'[1]Normy VP'!$C$11:$F$11,-1),MATCH(K140+1,'[1]Normy VP'!$C$12:$F$12,-1),MATCH(K140+1,'[1]Normy VP'!$C$13:$F$13,-1),MATCH(K140+1,'[1]Normy VP'!$C$14:$F$14,-1),""))),"O")</f>
        <v/>
      </c>
      <c r="Q140" s="24" t="str">
        <f>IF(OR($J140="",$J140="odešel"),IF($F140="žena","",IF(L140="","",(CHOOSE(_xlfn.ARABIC($H140),MATCH(L140+1,'[1]Normy VP'!$G$10:$J$10,-1),MATCH(L140+1,'[1]Normy VP'!$G$11:$J$11,-1),MATCH(L140+1,'[1]Normy VP'!$G$12:$J$12,-1),MATCH(L140+1,'[1]Normy VP'!$G$13:$J$13,-1),MATCH(L140+1,'[1]Normy VP'!$G$14:$J$14,-1),"")))),"O")</f>
        <v/>
      </c>
      <c r="R140" s="34" t="str">
        <f t="shared" si="9"/>
        <v>N</v>
      </c>
      <c r="S140" s="24" t="str">
        <f>IF(OR($J140="",$J140="odešel"),IF(M140="","N",IF($F140="žena",CHOOSE(_xlfn.ARABIC($H140),MATCH(M140+1,'[1]Normy VP'!$G$25:$J$25,-1),MATCH(M140+1,'[1]Normy VP'!$G$26:$J$26,-1),MATCH(M140+1,'[1]Normy VP'!$G$27:$J$27,-1),MATCH(M140+1,'[1]Normy VP'!$G$28:$J$28,-1),MATCH(M140+1,'[1]Normy VP'!$G$29:$J$29,-1),"muž"),(CHOOSE(_xlfn.ARABIC($H140),MATCH(M140+1,'[1]Normy VP'!$K$10:$N$10,-1),MATCH(M140+1,'[1]Normy VP'!$K$11:$N$11,-1),MATCH(M140+1,'[1]Normy VP'!$K$12:$N$12,-1),MATCH(M140+1,'[1]Normy VP'!$K$13:$N$13,-1),MATCH(M140+1,'[1]Normy VP'!$K$14:$N$14,-1),"")))),"O")</f>
        <v>N</v>
      </c>
      <c r="T140" s="34" t="str">
        <f t="shared" si="10"/>
        <v>N</v>
      </c>
      <c r="U140" s="24" t="str">
        <f>IF(OR($J140="",$J140="odešel"),IF(N140="","N",IF($F140="žena",CHOOSE(_xlfn.ARABIC($H140),MATCH(N140+1,'[1]Normy VP'!$K$25:$N$25,-1),MATCH(N140+1,'[1]Normy VP'!$K$26:$N$26,-1),MATCH(N140+1,'[1]Normy VP'!$K$27:$N$27,-1),MATCH(N140+1,'[1]Normy VP'!$K$28:$N$28,-1),MATCH(N140+1,'[1]Normy VP'!$K$29:$N$29,-1),MATCH(N140+1,'[1]Normy VP'!$K$30:$N$30,-1)),CHOOSE(_xlfn.ARABIC($H140),MATCH(N140+1,'[1]Normy VP'!$O$10:$R$10,-1),MATCH(N140+1,'[1]Normy VP'!$O$11:$R$11,-1),MATCH(N140+1,'[1]Normy VP'!$O$12:$R$12,-1),MATCH(N140+1,'[1]Normy VP'!$O$13:$R$13,-1),MATCH(N140+1,'[1]Normy VP'!$O$14:$R$14,-1),MATCH(N140+1,'[1]Normy VP'!$O$15:$R$15,-1)))),"O")</f>
        <v>N</v>
      </c>
      <c r="V140" s="26" t="str">
        <f>IF(OR($J140="",$J140="odešel"),IF(O140="","N",IF($F140="žena",CHOOSE(_xlfn.ARABIC($H140),MATCH(O140-1,'[1]Normy VP'!$O$25:$R$25),MATCH(O140-1,'[1]Normy VP'!$O$26:$R$26),MATCH(O140-1,'[1]Normy VP'!$O$27:$R$27),MATCH(O140-1,'[1]Normy VP'!$O$28:$R$28),MATCH(O140-1,'[1]Normy VP'!$O$29:$R$29),MATCH(O140-1,'[1]Normy VP'!$O$30:$R$30)),CHOOSE(_xlfn.ARABIC($H140),MATCH(O140-1,'[1]Normy VP'!$S$10:$V$10),MATCH(O140-1,'[1]Normy VP'!$S$11:$V$11),MATCH(O140-1,'[1]Normy VP'!$S$12:$V$12),MATCH(O140-1,'[1]Normy VP'!$S$13:$V$13),MATCH(O140-1,'[1]Normy VP'!$S$14:$V$14),MATCH(O140-1,'[1]Normy VP'!$S$15:$V$15)))),"O")</f>
        <v>N</v>
      </c>
      <c r="W140" s="34" t="str">
        <f t="shared" si="11"/>
        <v>N</v>
      </c>
      <c r="X140" s="27" t="str">
        <f>IF(COUNTIF(B140:G140,"")&gt;0,"",IF(COUNTIF([1]PP!$A:$A,A140)=0,"neni v PP",IF(OR(Y140="odešel",VLOOKUP(A140,[1]PP!$A:$W,22,FALSE)="odešel"),"odešel",IF(OR(Y140="N",VLOOKUP(A140,[1]PP!$A:$W,22,FALSE)="N"),"N",IF(OR(Y140="C",VLOOKUP(A140,[1]PP!$A:$W,22,FALSE)="C"),"C",IF(OR(Y140="DZO",VLOOKUP(A140,[1]PP!$A:$W,22,FALSE)="DZO"),"DZO",IF(OR(Y140="mise",Y140="disp.",Y140="končí",Y140="DSC",VLOOKUP(A140,[1]PP!$A:$W,22,FALSE)="mise",VLOOKUP(A140,[1]PP!$A:$W,22,FALSE)="disp.",VLOOKUP(A140,[1]PP!$A:$W,22,FALSE)="končí",VLOOKUP(A140,[1]PP!$A:$W,22,FALSE)="DSC"),"jiné",IF(OR(Y140=4,VLOOKUP(A140,[1]PP!$A:$W,22,FALSE)=4),4,IF(OR(Y140=3,VLOOKUP(A140,[1]PP!$A:$W,22,FALSE)=3),3,IF(OR(Y140=2,VLOOKUP(A140,[1]PP!$A:$W,22,FALSE)=2),2,IF(AND(Y140=1,VLOOKUP(A140,[1]PP!$A:$W,22,FALSE)=1),1)))))))))))</f>
        <v/>
      </c>
      <c r="Y140" s="28" t="str">
        <f>IF(COUNTIF(B140:G140,"")&gt;0,"",IF(COUNTIF([1]PP!$A:$A,A140)=0,"neni v PP",IF(VLOOKUP(A140,[1]PP!$A:$W,8,FALSE)="odešel","odešel",IF(F140="","",IF(J140="",IF(OR(T140=4,W140=4),4,IF(AND(T140="N",W140="N"),"N",IF(OR(T140="N",W140="N"),4,ROUND(AVERAGE(T140,W140),0)))),J140)))))</f>
        <v/>
      </c>
      <c r="Z140" s="29" t="str">
        <f>IF(COUNTIF(B140:G140,"")=0,IF(X140="neni v PP",CONCATENATE("ID: &lt;",A140,"&gt; se neshoduje s žádným IDem v kartě PP"),IF(COUNTIF($A:$A,A140)&gt;1,CONCATENATE("ID: &lt;",A140,"&gt; se v kartě VP opakuje. Je nutné tyto IDy od sebe odlišit, např. mezerou za příjmením."),IF(COUNTIF([1]PP!A:A,A140)&gt;1,CONCATENATE("ID: &lt;",A140,"&gt; se v kartě PP opakuje. Je nutné tyto IDy od sebe odlišit, např. mezerou za příjmením."),IF(VLOOKUP(A140,[1]PP!$A:$W,5,FALSE)&lt;&gt;E140,CONCATENATE($E$4," &lt;",E140,"&gt; se neshoduje s jednotkou v kartě PP"," &lt;",VLOOKUP(A140,[1]PP!$A:$W,5,FALSE),"&gt;"),IF(AND(COUNTIF(K140:O140,"")&lt;5,J140="",I140=""),CONCATENATE("Doplň: ",$I$4),IF(AND(YEAR(I140)&lt;&gt;$E$2,COUNTIF(I140,"")=0),CONCATENATE("špatně uveden &lt;",$D$2,"&gt; nebo &lt;",$I$4,"&gt;"),IF(OR(AND(OR(COUNTIF(C140,"*a"),COUNTIF(C140,"*ie"),COUNTIF(C140,"*ine"),COUNTIF(D140,"*Á")),F140="muž"),AND(AND(COUNTIF(C140,"&lt;&gt;"&amp;"*a"),COUNTIF(C140,"&lt;&gt;"&amp;"*ie"),COUNTIF(C140,"&lt;&gt;"&amp;"*ine"),COUNTIF(D140,"&lt;&gt;"&amp;"*Á")),F140="žena")),CONCATENATE(C140," ",D140," je ",F140,"?"),""))))))),IF(COUNTIF(B140:O140,"")=14,"",CONCATENATE("Doplň: ",IF(B140="",CONCATENATE($B$4,IF(COUNTIF(C140:G140,"")=0,"",", ")),""),IF(C140="",CONCATENATE($C$4,IF(COUNTIF(D140:G140,"")=0,"",", ")),""),IF(D140="",CONCATENATE($D$4,IF(COUNTIF(E140:G140,"")=0,"",", ")),""),IF(E140="",CONCATENATE($E$4,IF(COUNTIF(F140:G140,"")=0,"",", ")),""),IF(F140="",CONCATENATE($F$4,IF(G140="",", ","")),""),IF(G140="",$G$4,""))))</f>
        <v/>
      </c>
      <c r="AA140" s="30"/>
    </row>
    <row r="141" spans="1:27" ht="16" x14ac:dyDescent="0.35">
      <c r="A141" s="14" t="str">
        <f t="shared" si="8"/>
        <v xml:space="preserve">  </v>
      </c>
      <c r="B141" s="15"/>
      <c r="C141" s="31"/>
      <c r="D141" s="31"/>
      <c r="E141" s="17"/>
      <c r="F141" s="18"/>
      <c r="G141" s="32"/>
      <c r="H141" s="33" t="str">
        <f>IF(G141="","",IF(F141="žena",ROMAN(MATCH(G141+1,'[1]Normy VP'!$Y$27:$Y$33,-1)),ROMAN(MATCH(G141+1,'[1]Normy VP'!$Y$19:$Y$25,-1))))</f>
        <v/>
      </c>
      <c r="I141" s="21"/>
      <c r="J141" s="22"/>
      <c r="K141" s="23"/>
      <c r="L141" s="23"/>
      <c r="M141" s="23"/>
      <c r="N141" s="22"/>
      <c r="O141" s="22"/>
      <c r="P141" s="24" t="str">
        <f>IF(OR($J141="",$J141="odešel"),IF(K141="","",IF($F141="žena",CHOOSE(_xlfn.ARABIC($H141),MATCH(K141+1,'[1]Normy VP'!$C$25:$F$25,-1),MATCH(K141+1,'[1]Normy VP'!$C$26:$F$26,-1),MATCH(K141+1,'[1]Normy VP'!$C$27:$F$27,-1),MATCH(K141+1,'[1]Normy VP'!$C$28:$F$28,-1),MATCH(K141+1,'[1]Normy VP'!$C$29:$F$29,-1),"muž"),CHOOSE(_xlfn.ARABIC($H141),MATCH(K141+1,'[1]Normy VP'!$C$10:$F$10,-1),MATCH(K141+1,'[1]Normy VP'!$C$11:$F$11,-1),MATCH(K141+1,'[1]Normy VP'!$C$12:$F$12,-1),MATCH(K141+1,'[1]Normy VP'!$C$13:$F$13,-1),MATCH(K141+1,'[1]Normy VP'!$C$14:$F$14,-1),""))),"O")</f>
        <v/>
      </c>
      <c r="Q141" s="24" t="str">
        <f>IF(OR($J141="",$J141="odešel"),IF($F141="žena","",IF(L141="","",(CHOOSE(_xlfn.ARABIC($H141),MATCH(L141+1,'[1]Normy VP'!$G$10:$J$10,-1),MATCH(L141+1,'[1]Normy VP'!$G$11:$J$11,-1),MATCH(L141+1,'[1]Normy VP'!$G$12:$J$12,-1),MATCH(L141+1,'[1]Normy VP'!$G$13:$J$13,-1),MATCH(L141+1,'[1]Normy VP'!$G$14:$J$14,-1),"")))),"O")</f>
        <v/>
      </c>
      <c r="R141" s="34" t="str">
        <f t="shared" si="9"/>
        <v>N</v>
      </c>
      <c r="S141" s="24" t="str">
        <f>IF(OR($J141="",$J141="odešel"),IF(M141="","N",IF($F141="žena",CHOOSE(_xlfn.ARABIC($H141),MATCH(M141+1,'[1]Normy VP'!$G$25:$J$25,-1),MATCH(M141+1,'[1]Normy VP'!$G$26:$J$26,-1),MATCH(M141+1,'[1]Normy VP'!$G$27:$J$27,-1),MATCH(M141+1,'[1]Normy VP'!$G$28:$J$28,-1),MATCH(M141+1,'[1]Normy VP'!$G$29:$J$29,-1),"muž"),(CHOOSE(_xlfn.ARABIC($H141),MATCH(M141+1,'[1]Normy VP'!$K$10:$N$10,-1),MATCH(M141+1,'[1]Normy VP'!$K$11:$N$11,-1),MATCH(M141+1,'[1]Normy VP'!$K$12:$N$12,-1),MATCH(M141+1,'[1]Normy VP'!$K$13:$N$13,-1),MATCH(M141+1,'[1]Normy VP'!$K$14:$N$14,-1),"")))),"O")</f>
        <v>N</v>
      </c>
      <c r="T141" s="34" t="str">
        <f t="shared" si="10"/>
        <v>N</v>
      </c>
      <c r="U141" s="24" t="str">
        <f>IF(OR($J141="",$J141="odešel"),IF(N141="","N",IF($F141="žena",CHOOSE(_xlfn.ARABIC($H141),MATCH(N141+1,'[1]Normy VP'!$K$25:$N$25,-1),MATCH(N141+1,'[1]Normy VP'!$K$26:$N$26,-1),MATCH(N141+1,'[1]Normy VP'!$K$27:$N$27,-1),MATCH(N141+1,'[1]Normy VP'!$K$28:$N$28,-1),MATCH(N141+1,'[1]Normy VP'!$K$29:$N$29,-1),MATCH(N141+1,'[1]Normy VP'!$K$30:$N$30,-1)),CHOOSE(_xlfn.ARABIC($H141),MATCH(N141+1,'[1]Normy VP'!$O$10:$R$10,-1),MATCH(N141+1,'[1]Normy VP'!$O$11:$R$11,-1),MATCH(N141+1,'[1]Normy VP'!$O$12:$R$12,-1),MATCH(N141+1,'[1]Normy VP'!$O$13:$R$13,-1),MATCH(N141+1,'[1]Normy VP'!$O$14:$R$14,-1),MATCH(N141+1,'[1]Normy VP'!$O$15:$R$15,-1)))),"O")</f>
        <v>N</v>
      </c>
      <c r="V141" s="26" t="str">
        <f>IF(OR($J141="",$J141="odešel"),IF(O141="","N",IF($F141="žena",CHOOSE(_xlfn.ARABIC($H141),MATCH(O141-1,'[1]Normy VP'!$O$25:$R$25),MATCH(O141-1,'[1]Normy VP'!$O$26:$R$26),MATCH(O141-1,'[1]Normy VP'!$O$27:$R$27),MATCH(O141-1,'[1]Normy VP'!$O$28:$R$28),MATCH(O141-1,'[1]Normy VP'!$O$29:$R$29),MATCH(O141-1,'[1]Normy VP'!$O$30:$R$30)),CHOOSE(_xlfn.ARABIC($H141),MATCH(O141-1,'[1]Normy VP'!$S$10:$V$10),MATCH(O141-1,'[1]Normy VP'!$S$11:$V$11),MATCH(O141-1,'[1]Normy VP'!$S$12:$V$12),MATCH(O141-1,'[1]Normy VP'!$S$13:$V$13),MATCH(O141-1,'[1]Normy VP'!$S$14:$V$14),MATCH(O141-1,'[1]Normy VP'!$S$15:$V$15)))),"O")</f>
        <v>N</v>
      </c>
      <c r="W141" s="34" t="str">
        <f t="shared" si="11"/>
        <v>N</v>
      </c>
      <c r="X141" s="27" t="str">
        <f>IF(COUNTIF(B141:G141,"")&gt;0,"",IF(COUNTIF([1]PP!$A:$A,A141)=0,"neni v PP",IF(OR(Y141="odešel",VLOOKUP(A141,[1]PP!$A:$W,22,FALSE)="odešel"),"odešel",IF(OR(Y141="N",VLOOKUP(A141,[1]PP!$A:$W,22,FALSE)="N"),"N",IF(OR(Y141="C",VLOOKUP(A141,[1]PP!$A:$W,22,FALSE)="C"),"C",IF(OR(Y141="DZO",VLOOKUP(A141,[1]PP!$A:$W,22,FALSE)="DZO"),"DZO",IF(OR(Y141="mise",Y141="disp.",Y141="končí",Y141="DSC",VLOOKUP(A141,[1]PP!$A:$W,22,FALSE)="mise",VLOOKUP(A141,[1]PP!$A:$W,22,FALSE)="disp.",VLOOKUP(A141,[1]PP!$A:$W,22,FALSE)="končí",VLOOKUP(A141,[1]PP!$A:$W,22,FALSE)="DSC"),"jiné",IF(OR(Y141=4,VLOOKUP(A141,[1]PP!$A:$W,22,FALSE)=4),4,IF(OR(Y141=3,VLOOKUP(A141,[1]PP!$A:$W,22,FALSE)=3),3,IF(OR(Y141=2,VLOOKUP(A141,[1]PP!$A:$W,22,FALSE)=2),2,IF(AND(Y141=1,VLOOKUP(A141,[1]PP!$A:$W,22,FALSE)=1),1)))))))))))</f>
        <v/>
      </c>
      <c r="Y141" s="28" t="str">
        <f>IF(COUNTIF(B141:G141,"")&gt;0,"",IF(COUNTIF([1]PP!$A:$A,A141)=0,"neni v PP",IF(VLOOKUP(A141,[1]PP!$A:$W,8,FALSE)="odešel","odešel",IF(F141="","",IF(J141="",IF(OR(T141=4,W141=4),4,IF(AND(T141="N",W141="N"),"N",IF(OR(T141="N",W141="N"),4,ROUND(AVERAGE(T141,W141),0)))),J141)))))</f>
        <v/>
      </c>
      <c r="Z141" s="29" t="str">
        <f>IF(COUNTIF(B141:G141,"")=0,IF(X141="neni v PP",CONCATENATE("ID: &lt;",A141,"&gt; se neshoduje s žádným IDem v kartě PP"),IF(COUNTIF($A:$A,A141)&gt;1,CONCATENATE("ID: &lt;",A141,"&gt; se v kartě VP opakuje. Je nutné tyto IDy od sebe odlišit, např. mezerou za příjmením."),IF(COUNTIF([1]PP!A:A,A141)&gt;1,CONCATENATE("ID: &lt;",A141,"&gt; se v kartě PP opakuje. Je nutné tyto IDy od sebe odlišit, např. mezerou za příjmením."),IF(VLOOKUP(A141,[1]PP!$A:$W,5,FALSE)&lt;&gt;E141,CONCATENATE($E$4," &lt;",E141,"&gt; se neshoduje s jednotkou v kartě PP"," &lt;",VLOOKUP(A141,[1]PP!$A:$W,5,FALSE),"&gt;"),IF(AND(COUNTIF(K141:O141,"")&lt;5,J141="",I141=""),CONCATENATE("Doplň: ",$I$4),IF(AND(YEAR(I141)&lt;&gt;$E$2,COUNTIF(I141,"")=0),CONCATENATE("špatně uveden &lt;",$D$2,"&gt; nebo &lt;",$I$4,"&gt;"),IF(OR(AND(OR(COUNTIF(C141,"*a"),COUNTIF(C141,"*ie"),COUNTIF(C141,"*ine"),COUNTIF(D141,"*Á")),F141="muž"),AND(AND(COUNTIF(C141,"&lt;&gt;"&amp;"*a"),COUNTIF(C141,"&lt;&gt;"&amp;"*ie"),COUNTIF(C141,"&lt;&gt;"&amp;"*ine"),COUNTIF(D141,"&lt;&gt;"&amp;"*Á")),F141="žena")),CONCATENATE(C141," ",D141," je ",F141,"?"),""))))))),IF(COUNTIF(B141:O141,"")=14,"",CONCATENATE("Doplň: ",IF(B141="",CONCATENATE($B$4,IF(COUNTIF(C141:G141,"")=0,"",", ")),""),IF(C141="",CONCATENATE($C$4,IF(COUNTIF(D141:G141,"")=0,"",", ")),""),IF(D141="",CONCATENATE($D$4,IF(COUNTIF(E141:G141,"")=0,"",", ")),""),IF(E141="",CONCATENATE($E$4,IF(COUNTIF(F141:G141,"")=0,"",", ")),""),IF(F141="",CONCATENATE($F$4,IF(G141="",", ","")),""),IF(G141="",$G$4,""))))</f>
        <v/>
      </c>
      <c r="AA141" s="30"/>
    </row>
    <row r="142" spans="1:27" ht="16" x14ac:dyDescent="0.35">
      <c r="A142" s="14" t="str">
        <f t="shared" si="8"/>
        <v xml:space="preserve">  </v>
      </c>
      <c r="B142" s="15"/>
      <c r="C142" s="31"/>
      <c r="D142" s="31"/>
      <c r="E142" s="17"/>
      <c r="F142" s="18"/>
      <c r="G142" s="32"/>
      <c r="H142" s="33" t="str">
        <f>IF(G142="","",IF(F142="žena",ROMAN(MATCH(G142+1,'[1]Normy VP'!$Y$27:$Y$33,-1)),ROMAN(MATCH(G142+1,'[1]Normy VP'!$Y$19:$Y$25,-1))))</f>
        <v/>
      </c>
      <c r="I142" s="21"/>
      <c r="J142" s="22"/>
      <c r="K142" s="23"/>
      <c r="L142" s="23"/>
      <c r="M142" s="23"/>
      <c r="N142" s="22"/>
      <c r="O142" s="22"/>
      <c r="P142" s="24" t="str">
        <f>IF(OR($J142="",$J142="odešel"),IF(K142="","",IF($F142="žena",CHOOSE(_xlfn.ARABIC($H142),MATCH(K142+1,'[1]Normy VP'!$C$25:$F$25,-1),MATCH(K142+1,'[1]Normy VP'!$C$26:$F$26,-1),MATCH(K142+1,'[1]Normy VP'!$C$27:$F$27,-1),MATCH(K142+1,'[1]Normy VP'!$C$28:$F$28,-1),MATCH(K142+1,'[1]Normy VP'!$C$29:$F$29,-1),"muž"),CHOOSE(_xlfn.ARABIC($H142),MATCH(K142+1,'[1]Normy VP'!$C$10:$F$10,-1),MATCH(K142+1,'[1]Normy VP'!$C$11:$F$11,-1),MATCH(K142+1,'[1]Normy VP'!$C$12:$F$12,-1),MATCH(K142+1,'[1]Normy VP'!$C$13:$F$13,-1),MATCH(K142+1,'[1]Normy VP'!$C$14:$F$14,-1),""))),"O")</f>
        <v/>
      </c>
      <c r="Q142" s="24" t="str">
        <f>IF(OR($J142="",$J142="odešel"),IF($F142="žena","",IF(L142="","",(CHOOSE(_xlfn.ARABIC($H142),MATCH(L142+1,'[1]Normy VP'!$G$10:$J$10,-1),MATCH(L142+1,'[1]Normy VP'!$G$11:$J$11,-1),MATCH(L142+1,'[1]Normy VP'!$G$12:$J$12,-1),MATCH(L142+1,'[1]Normy VP'!$G$13:$J$13,-1),MATCH(L142+1,'[1]Normy VP'!$G$14:$J$14,-1),"")))),"O")</f>
        <v/>
      </c>
      <c r="R142" s="34" t="str">
        <f t="shared" si="9"/>
        <v>N</v>
      </c>
      <c r="S142" s="24" t="str">
        <f>IF(OR($J142="",$J142="odešel"),IF(M142="","N",IF($F142="žena",CHOOSE(_xlfn.ARABIC($H142),MATCH(M142+1,'[1]Normy VP'!$G$25:$J$25,-1),MATCH(M142+1,'[1]Normy VP'!$G$26:$J$26,-1),MATCH(M142+1,'[1]Normy VP'!$G$27:$J$27,-1),MATCH(M142+1,'[1]Normy VP'!$G$28:$J$28,-1),MATCH(M142+1,'[1]Normy VP'!$G$29:$J$29,-1),"muž"),(CHOOSE(_xlfn.ARABIC($H142),MATCH(M142+1,'[1]Normy VP'!$K$10:$N$10,-1),MATCH(M142+1,'[1]Normy VP'!$K$11:$N$11,-1),MATCH(M142+1,'[1]Normy VP'!$K$12:$N$12,-1),MATCH(M142+1,'[1]Normy VP'!$K$13:$N$13,-1),MATCH(M142+1,'[1]Normy VP'!$K$14:$N$14,-1),"")))),"O")</f>
        <v>N</v>
      </c>
      <c r="T142" s="34" t="str">
        <f t="shared" si="10"/>
        <v>N</v>
      </c>
      <c r="U142" s="24" t="str">
        <f>IF(OR($J142="",$J142="odešel"),IF(N142="","N",IF($F142="žena",CHOOSE(_xlfn.ARABIC($H142),MATCH(N142+1,'[1]Normy VP'!$K$25:$N$25,-1),MATCH(N142+1,'[1]Normy VP'!$K$26:$N$26,-1),MATCH(N142+1,'[1]Normy VP'!$K$27:$N$27,-1),MATCH(N142+1,'[1]Normy VP'!$K$28:$N$28,-1),MATCH(N142+1,'[1]Normy VP'!$K$29:$N$29,-1),MATCH(N142+1,'[1]Normy VP'!$K$30:$N$30,-1)),CHOOSE(_xlfn.ARABIC($H142),MATCH(N142+1,'[1]Normy VP'!$O$10:$R$10,-1),MATCH(N142+1,'[1]Normy VP'!$O$11:$R$11,-1),MATCH(N142+1,'[1]Normy VP'!$O$12:$R$12,-1),MATCH(N142+1,'[1]Normy VP'!$O$13:$R$13,-1),MATCH(N142+1,'[1]Normy VP'!$O$14:$R$14,-1),MATCH(N142+1,'[1]Normy VP'!$O$15:$R$15,-1)))),"O")</f>
        <v>N</v>
      </c>
      <c r="V142" s="26" t="str">
        <f>IF(OR($J142="",$J142="odešel"),IF(O142="","N",IF($F142="žena",CHOOSE(_xlfn.ARABIC($H142),MATCH(O142-1,'[1]Normy VP'!$O$25:$R$25),MATCH(O142-1,'[1]Normy VP'!$O$26:$R$26),MATCH(O142-1,'[1]Normy VP'!$O$27:$R$27),MATCH(O142-1,'[1]Normy VP'!$O$28:$R$28),MATCH(O142-1,'[1]Normy VP'!$O$29:$R$29),MATCH(O142-1,'[1]Normy VP'!$O$30:$R$30)),CHOOSE(_xlfn.ARABIC($H142),MATCH(O142-1,'[1]Normy VP'!$S$10:$V$10),MATCH(O142-1,'[1]Normy VP'!$S$11:$V$11),MATCH(O142-1,'[1]Normy VP'!$S$12:$V$12),MATCH(O142-1,'[1]Normy VP'!$S$13:$V$13),MATCH(O142-1,'[1]Normy VP'!$S$14:$V$14),MATCH(O142-1,'[1]Normy VP'!$S$15:$V$15)))),"O")</f>
        <v>N</v>
      </c>
      <c r="W142" s="34" t="str">
        <f t="shared" si="11"/>
        <v>N</v>
      </c>
      <c r="X142" s="27" t="str">
        <f>IF(COUNTIF(B142:G142,"")&gt;0,"",IF(COUNTIF([1]PP!$A:$A,A142)=0,"neni v PP",IF(OR(Y142="odešel",VLOOKUP(A142,[1]PP!$A:$W,22,FALSE)="odešel"),"odešel",IF(OR(Y142="N",VLOOKUP(A142,[1]PP!$A:$W,22,FALSE)="N"),"N",IF(OR(Y142="C",VLOOKUP(A142,[1]PP!$A:$W,22,FALSE)="C"),"C",IF(OR(Y142="DZO",VLOOKUP(A142,[1]PP!$A:$W,22,FALSE)="DZO"),"DZO",IF(OR(Y142="mise",Y142="disp.",Y142="končí",Y142="DSC",VLOOKUP(A142,[1]PP!$A:$W,22,FALSE)="mise",VLOOKUP(A142,[1]PP!$A:$W,22,FALSE)="disp.",VLOOKUP(A142,[1]PP!$A:$W,22,FALSE)="končí",VLOOKUP(A142,[1]PP!$A:$W,22,FALSE)="DSC"),"jiné",IF(OR(Y142=4,VLOOKUP(A142,[1]PP!$A:$W,22,FALSE)=4),4,IF(OR(Y142=3,VLOOKUP(A142,[1]PP!$A:$W,22,FALSE)=3),3,IF(OR(Y142=2,VLOOKUP(A142,[1]PP!$A:$W,22,FALSE)=2),2,IF(AND(Y142=1,VLOOKUP(A142,[1]PP!$A:$W,22,FALSE)=1),1)))))))))))</f>
        <v/>
      </c>
      <c r="Y142" s="28" t="str">
        <f>IF(COUNTIF(B142:G142,"")&gt;0,"",IF(COUNTIF([1]PP!$A:$A,A142)=0,"neni v PP",IF(VLOOKUP(A142,[1]PP!$A:$W,8,FALSE)="odešel","odešel",IF(F142="","",IF(J142="",IF(OR(T142=4,W142=4),4,IF(AND(T142="N",W142="N"),"N",IF(OR(T142="N",W142="N"),4,ROUND(AVERAGE(T142,W142),0)))),J142)))))</f>
        <v/>
      </c>
      <c r="Z142" s="29" t="str">
        <f>IF(COUNTIF(B142:G142,"")=0,IF(X142="neni v PP",CONCATENATE("ID: &lt;",A142,"&gt; se neshoduje s žádným IDem v kartě PP"),IF(COUNTIF($A:$A,A142)&gt;1,CONCATENATE("ID: &lt;",A142,"&gt; se v kartě VP opakuje. Je nutné tyto IDy od sebe odlišit, např. mezerou za příjmením."),IF(COUNTIF([1]PP!A:A,A142)&gt;1,CONCATENATE("ID: &lt;",A142,"&gt; se v kartě PP opakuje. Je nutné tyto IDy od sebe odlišit, např. mezerou za příjmením."),IF(VLOOKUP(A142,[1]PP!$A:$W,5,FALSE)&lt;&gt;E142,CONCATENATE($E$4," &lt;",E142,"&gt; se neshoduje s jednotkou v kartě PP"," &lt;",VLOOKUP(A142,[1]PP!$A:$W,5,FALSE),"&gt;"),IF(AND(COUNTIF(K142:O142,"")&lt;5,J142="",I142=""),CONCATENATE("Doplň: ",$I$4),IF(AND(YEAR(I142)&lt;&gt;$E$2,COUNTIF(I142,"")=0),CONCATENATE("špatně uveden &lt;",$D$2,"&gt; nebo &lt;",$I$4,"&gt;"),IF(OR(AND(OR(COUNTIF(C142,"*a"),COUNTIF(C142,"*ie"),COUNTIF(C142,"*ine"),COUNTIF(D142,"*Á")),F142="muž"),AND(AND(COUNTIF(C142,"&lt;&gt;"&amp;"*a"),COUNTIF(C142,"&lt;&gt;"&amp;"*ie"),COUNTIF(C142,"&lt;&gt;"&amp;"*ine"),COUNTIF(D142,"&lt;&gt;"&amp;"*Á")),F142="žena")),CONCATENATE(C142," ",D142," je ",F142,"?"),""))))))),IF(COUNTIF(B142:O142,"")=14,"",CONCATENATE("Doplň: ",IF(B142="",CONCATENATE($B$4,IF(COUNTIF(C142:G142,"")=0,"",", ")),""),IF(C142="",CONCATENATE($C$4,IF(COUNTIF(D142:G142,"")=0,"",", ")),""),IF(D142="",CONCATENATE($D$4,IF(COUNTIF(E142:G142,"")=0,"",", ")),""),IF(E142="",CONCATENATE($E$4,IF(COUNTIF(F142:G142,"")=0,"",", ")),""),IF(F142="",CONCATENATE($F$4,IF(G142="",", ","")),""),IF(G142="",$G$4,""))))</f>
        <v/>
      </c>
      <c r="AA142" s="30"/>
    </row>
    <row r="143" spans="1:27" ht="16" x14ac:dyDescent="0.35">
      <c r="A143" s="14" t="str">
        <f t="shared" si="8"/>
        <v xml:space="preserve">  </v>
      </c>
      <c r="B143" s="15"/>
      <c r="C143" s="31"/>
      <c r="D143" s="31"/>
      <c r="E143" s="17"/>
      <c r="F143" s="18"/>
      <c r="G143" s="32"/>
      <c r="H143" s="33" t="str">
        <f>IF(G143="","",IF(F143="žena",ROMAN(MATCH(G143+1,'[1]Normy VP'!$Y$27:$Y$33,-1)),ROMAN(MATCH(G143+1,'[1]Normy VP'!$Y$19:$Y$25,-1))))</f>
        <v/>
      </c>
      <c r="I143" s="21"/>
      <c r="J143" s="22"/>
      <c r="K143" s="23"/>
      <c r="L143" s="23"/>
      <c r="M143" s="23"/>
      <c r="N143" s="22"/>
      <c r="O143" s="22"/>
      <c r="P143" s="24" t="str">
        <f>IF(OR($J143="",$J143="odešel"),IF(K143="","",IF($F143="žena",CHOOSE(_xlfn.ARABIC($H143),MATCH(K143+1,'[1]Normy VP'!$C$25:$F$25,-1),MATCH(K143+1,'[1]Normy VP'!$C$26:$F$26,-1),MATCH(K143+1,'[1]Normy VP'!$C$27:$F$27,-1),MATCH(K143+1,'[1]Normy VP'!$C$28:$F$28,-1),MATCH(K143+1,'[1]Normy VP'!$C$29:$F$29,-1),"muž"),CHOOSE(_xlfn.ARABIC($H143),MATCH(K143+1,'[1]Normy VP'!$C$10:$F$10,-1),MATCH(K143+1,'[1]Normy VP'!$C$11:$F$11,-1),MATCH(K143+1,'[1]Normy VP'!$C$12:$F$12,-1),MATCH(K143+1,'[1]Normy VP'!$C$13:$F$13,-1),MATCH(K143+1,'[1]Normy VP'!$C$14:$F$14,-1),""))),"O")</f>
        <v/>
      </c>
      <c r="Q143" s="24" t="str">
        <f>IF(OR($J143="",$J143="odešel"),IF($F143="žena","",IF(L143="","",(CHOOSE(_xlfn.ARABIC($H143),MATCH(L143+1,'[1]Normy VP'!$G$10:$J$10,-1),MATCH(L143+1,'[1]Normy VP'!$G$11:$J$11,-1),MATCH(L143+1,'[1]Normy VP'!$G$12:$J$12,-1),MATCH(L143+1,'[1]Normy VP'!$G$13:$J$13,-1),MATCH(L143+1,'[1]Normy VP'!$G$14:$J$14,-1),"")))),"O")</f>
        <v/>
      </c>
      <c r="R143" s="34" t="str">
        <f t="shared" si="9"/>
        <v>N</v>
      </c>
      <c r="S143" s="24" t="str">
        <f>IF(OR($J143="",$J143="odešel"),IF(M143="","N",IF($F143="žena",CHOOSE(_xlfn.ARABIC($H143),MATCH(M143+1,'[1]Normy VP'!$G$25:$J$25,-1),MATCH(M143+1,'[1]Normy VP'!$G$26:$J$26,-1),MATCH(M143+1,'[1]Normy VP'!$G$27:$J$27,-1),MATCH(M143+1,'[1]Normy VP'!$G$28:$J$28,-1),MATCH(M143+1,'[1]Normy VP'!$G$29:$J$29,-1),"muž"),(CHOOSE(_xlfn.ARABIC($H143),MATCH(M143+1,'[1]Normy VP'!$K$10:$N$10,-1),MATCH(M143+1,'[1]Normy VP'!$K$11:$N$11,-1),MATCH(M143+1,'[1]Normy VP'!$K$12:$N$12,-1),MATCH(M143+1,'[1]Normy VP'!$K$13:$N$13,-1),MATCH(M143+1,'[1]Normy VP'!$K$14:$N$14,-1),"")))),"O")</f>
        <v>N</v>
      </c>
      <c r="T143" s="34" t="str">
        <f t="shared" si="10"/>
        <v>N</v>
      </c>
      <c r="U143" s="24" t="str">
        <f>IF(OR($J143="",$J143="odešel"),IF(N143="","N",IF($F143="žena",CHOOSE(_xlfn.ARABIC($H143),MATCH(N143+1,'[1]Normy VP'!$K$25:$N$25,-1),MATCH(N143+1,'[1]Normy VP'!$K$26:$N$26,-1),MATCH(N143+1,'[1]Normy VP'!$K$27:$N$27,-1),MATCH(N143+1,'[1]Normy VP'!$K$28:$N$28,-1),MATCH(N143+1,'[1]Normy VP'!$K$29:$N$29,-1),MATCH(N143+1,'[1]Normy VP'!$K$30:$N$30,-1)),CHOOSE(_xlfn.ARABIC($H143),MATCH(N143+1,'[1]Normy VP'!$O$10:$R$10,-1),MATCH(N143+1,'[1]Normy VP'!$O$11:$R$11,-1),MATCH(N143+1,'[1]Normy VP'!$O$12:$R$12,-1),MATCH(N143+1,'[1]Normy VP'!$O$13:$R$13,-1),MATCH(N143+1,'[1]Normy VP'!$O$14:$R$14,-1),MATCH(N143+1,'[1]Normy VP'!$O$15:$R$15,-1)))),"O")</f>
        <v>N</v>
      </c>
      <c r="V143" s="26" t="str">
        <f>IF(OR($J143="",$J143="odešel"),IF(O143="","N",IF($F143="žena",CHOOSE(_xlfn.ARABIC($H143),MATCH(O143-1,'[1]Normy VP'!$O$25:$R$25),MATCH(O143-1,'[1]Normy VP'!$O$26:$R$26),MATCH(O143-1,'[1]Normy VP'!$O$27:$R$27),MATCH(O143-1,'[1]Normy VP'!$O$28:$R$28),MATCH(O143-1,'[1]Normy VP'!$O$29:$R$29),MATCH(O143-1,'[1]Normy VP'!$O$30:$R$30)),CHOOSE(_xlfn.ARABIC($H143),MATCH(O143-1,'[1]Normy VP'!$S$10:$V$10),MATCH(O143-1,'[1]Normy VP'!$S$11:$V$11),MATCH(O143-1,'[1]Normy VP'!$S$12:$V$12),MATCH(O143-1,'[1]Normy VP'!$S$13:$V$13),MATCH(O143-1,'[1]Normy VP'!$S$14:$V$14),MATCH(O143-1,'[1]Normy VP'!$S$15:$V$15)))),"O")</f>
        <v>N</v>
      </c>
      <c r="W143" s="34" t="str">
        <f t="shared" si="11"/>
        <v>N</v>
      </c>
      <c r="X143" s="27" t="str">
        <f>IF(COUNTIF(B143:G143,"")&gt;0,"",IF(COUNTIF([1]PP!$A:$A,A143)=0,"neni v PP",IF(OR(Y143="odešel",VLOOKUP(A143,[1]PP!$A:$W,22,FALSE)="odešel"),"odešel",IF(OR(Y143="N",VLOOKUP(A143,[1]PP!$A:$W,22,FALSE)="N"),"N",IF(OR(Y143="C",VLOOKUP(A143,[1]PP!$A:$W,22,FALSE)="C"),"C",IF(OR(Y143="DZO",VLOOKUP(A143,[1]PP!$A:$W,22,FALSE)="DZO"),"DZO",IF(OR(Y143="mise",Y143="disp.",Y143="končí",Y143="DSC",VLOOKUP(A143,[1]PP!$A:$W,22,FALSE)="mise",VLOOKUP(A143,[1]PP!$A:$W,22,FALSE)="disp.",VLOOKUP(A143,[1]PP!$A:$W,22,FALSE)="končí",VLOOKUP(A143,[1]PP!$A:$W,22,FALSE)="DSC"),"jiné",IF(OR(Y143=4,VLOOKUP(A143,[1]PP!$A:$W,22,FALSE)=4),4,IF(OR(Y143=3,VLOOKUP(A143,[1]PP!$A:$W,22,FALSE)=3),3,IF(OR(Y143=2,VLOOKUP(A143,[1]PP!$A:$W,22,FALSE)=2),2,IF(AND(Y143=1,VLOOKUP(A143,[1]PP!$A:$W,22,FALSE)=1),1)))))))))))</f>
        <v/>
      </c>
      <c r="Y143" s="28" t="str">
        <f>IF(COUNTIF(B143:G143,"")&gt;0,"",IF(COUNTIF([1]PP!$A:$A,A143)=0,"neni v PP",IF(VLOOKUP(A143,[1]PP!$A:$W,8,FALSE)="odešel","odešel",IF(F143="","",IF(J143="",IF(OR(T143=4,W143=4),4,IF(AND(T143="N",W143="N"),"N",IF(OR(T143="N",W143="N"),4,ROUND(AVERAGE(T143,W143),0)))),J143)))))</f>
        <v/>
      </c>
      <c r="Z143" s="29" t="str">
        <f>IF(COUNTIF(B143:G143,"")=0,IF(X143="neni v PP",CONCATENATE("ID: &lt;",A143,"&gt; se neshoduje s žádným IDem v kartě PP"),IF(COUNTIF($A:$A,A143)&gt;1,CONCATENATE("ID: &lt;",A143,"&gt; se v kartě VP opakuje. Je nutné tyto IDy od sebe odlišit, např. mezerou za příjmením."),IF(COUNTIF([1]PP!A:A,A143)&gt;1,CONCATENATE("ID: &lt;",A143,"&gt; se v kartě PP opakuje. Je nutné tyto IDy od sebe odlišit, např. mezerou za příjmením."),IF(VLOOKUP(A143,[1]PP!$A:$W,5,FALSE)&lt;&gt;E143,CONCATENATE($E$4," &lt;",E143,"&gt; se neshoduje s jednotkou v kartě PP"," &lt;",VLOOKUP(A143,[1]PP!$A:$W,5,FALSE),"&gt;"),IF(AND(COUNTIF(K143:O143,"")&lt;5,J143="",I143=""),CONCATENATE("Doplň: ",$I$4),IF(AND(YEAR(I143)&lt;&gt;$E$2,COUNTIF(I143,"")=0),CONCATENATE("špatně uveden &lt;",$D$2,"&gt; nebo &lt;",$I$4,"&gt;"),IF(OR(AND(OR(COUNTIF(C143,"*a"),COUNTIF(C143,"*ie"),COUNTIF(C143,"*ine"),COUNTIF(D143,"*Á")),F143="muž"),AND(AND(COUNTIF(C143,"&lt;&gt;"&amp;"*a"),COUNTIF(C143,"&lt;&gt;"&amp;"*ie"),COUNTIF(C143,"&lt;&gt;"&amp;"*ine"),COUNTIF(D143,"&lt;&gt;"&amp;"*Á")),F143="žena")),CONCATENATE(C143," ",D143," je ",F143,"?"),""))))))),IF(COUNTIF(B143:O143,"")=14,"",CONCATENATE("Doplň: ",IF(B143="",CONCATENATE($B$4,IF(COUNTIF(C143:G143,"")=0,"",", ")),""),IF(C143="",CONCATENATE($C$4,IF(COUNTIF(D143:G143,"")=0,"",", ")),""),IF(D143="",CONCATENATE($D$4,IF(COUNTIF(E143:G143,"")=0,"",", ")),""),IF(E143="",CONCATENATE($E$4,IF(COUNTIF(F143:G143,"")=0,"",", ")),""),IF(F143="",CONCATENATE($F$4,IF(G143="",", ","")),""),IF(G143="",$G$4,""))))</f>
        <v/>
      </c>
      <c r="AA143" s="30"/>
    </row>
    <row r="144" spans="1:27" ht="16" x14ac:dyDescent="0.35">
      <c r="A144" s="14" t="str">
        <f t="shared" si="8"/>
        <v xml:space="preserve">  </v>
      </c>
      <c r="B144" s="15"/>
      <c r="C144" s="31"/>
      <c r="D144" s="31"/>
      <c r="E144" s="17"/>
      <c r="F144" s="18"/>
      <c r="G144" s="32"/>
      <c r="H144" s="33" t="str">
        <f>IF(G144="","",IF(F144="žena",ROMAN(MATCH(G144+1,'[1]Normy VP'!$Y$27:$Y$33,-1)),ROMAN(MATCH(G144+1,'[1]Normy VP'!$Y$19:$Y$25,-1))))</f>
        <v/>
      </c>
      <c r="I144" s="21"/>
      <c r="J144" s="22"/>
      <c r="K144" s="23"/>
      <c r="L144" s="23"/>
      <c r="M144" s="23"/>
      <c r="N144" s="22"/>
      <c r="O144" s="22"/>
      <c r="P144" s="24" t="str">
        <f>IF(OR($J144="",$J144="odešel"),IF(K144="","",IF($F144="žena",CHOOSE(_xlfn.ARABIC($H144),MATCH(K144+1,'[1]Normy VP'!$C$25:$F$25,-1),MATCH(K144+1,'[1]Normy VP'!$C$26:$F$26,-1),MATCH(K144+1,'[1]Normy VP'!$C$27:$F$27,-1),MATCH(K144+1,'[1]Normy VP'!$C$28:$F$28,-1),MATCH(K144+1,'[1]Normy VP'!$C$29:$F$29,-1),"muž"),CHOOSE(_xlfn.ARABIC($H144),MATCH(K144+1,'[1]Normy VP'!$C$10:$F$10,-1),MATCH(K144+1,'[1]Normy VP'!$C$11:$F$11,-1),MATCH(K144+1,'[1]Normy VP'!$C$12:$F$12,-1),MATCH(K144+1,'[1]Normy VP'!$C$13:$F$13,-1),MATCH(K144+1,'[1]Normy VP'!$C$14:$F$14,-1),""))),"O")</f>
        <v/>
      </c>
      <c r="Q144" s="24" t="str">
        <f>IF(OR($J144="",$J144="odešel"),IF($F144="žena","",IF(L144="","",(CHOOSE(_xlfn.ARABIC($H144),MATCH(L144+1,'[1]Normy VP'!$G$10:$J$10,-1),MATCH(L144+1,'[1]Normy VP'!$G$11:$J$11,-1),MATCH(L144+1,'[1]Normy VP'!$G$12:$J$12,-1),MATCH(L144+1,'[1]Normy VP'!$G$13:$J$13,-1),MATCH(L144+1,'[1]Normy VP'!$G$14:$J$14,-1),"")))),"O")</f>
        <v/>
      </c>
      <c r="R144" s="34" t="str">
        <f t="shared" si="9"/>
        <v>N</v>
      </c>
      <c r="S144" s="24" t="str">
        <f>IF(OR($J144="",$J144="odešel"),IF(M144="","N",IF($F144="žena",CHOOSE(_xlfn.ARABIC($H144),MATCH(M144+1,'[1]Normy VP'!$G$25:$J$25,-1),MATCH(M144+1,'[1]Normy VP'!$G$26:$J$26,-1),MATCH(M144+1,'[1]Normy VP'!$G$27:$J$27,-1),MATCH(M144+1,'[1]Normy VP'!$G$28:$J$28,-1),MATCH(M144+1,'[1]Normy VP'!$G$29:$J$29,-1),"muž"),(CHOOSE(_xlfn.ARABIC($H144),MATCH(M144+1,'[1]Normy VP'!$K$10:$N$10,-1),MATCH(M144+1,'[1]Normy VP'!$K$11:$N$11,-1),MATCH(M144+1,'[1]Normy VP'!$K$12:$N$12,-1),MATCH(M144+1,'[1]Normy VP'!$K$13:$N$13,-1),MATCH(M144+1,'[1]Normy VP'!$K$14:$N$14,-1),"")))),"O")</f>
        <v>N</v>
      </c>
      <c r="T144" s="34" t="str">
        <f t="shared" si="10"/>
        <v>N</v>
      </c>
      <c r="U144" s="24" t="str">
        <f>IF(OR($J144="",$J144="odešel"),IF(N144="","N",IF($F144="žena",CHOOSE(_xlfn.ARABIC($H144),MATCH(N144+1,'[1]Normy VP'!$K$25:$N$25,-1),MATCH(N144+1,'[1]Normy VP'!$K$26:$N$26,-1),MATCH(N144+1,'[1]Normy VP'!$K$27:$N$27,-1),MATCH(N144+1,'[1]Normy VP'!$K$28:$N$28,-1),MATCH(N144+1,'[1]Normy VP'!$K$29:$N$29,-1),MATCH(N144+1,'[1]Normy VP'!$K$30:$N$30,-1)),CHOOSE(_xlfn.ARABIC($H144),MATCH(N144+1,'[1]Normy VP'!$O$10:$R$10,-1),MATCH(N144+1,'[1]Normy VP'!$O$11:$R$11,-1),MATCH(N144+1,'[1]Normy VP'!$O$12:$R$12,-1),MATCH(N144+1,'[1]Normy VP'!$O$13:$R$13,-1),MATCH(N144+1,'[1]Normy VP'!$O$14:$R$14,-1),MATCH(N144+1,'[1]Normy VP'!$O$15:$R$15,-1)))),"O")</f>
        <v>N</v>
      </c>
      <c r="V144" s="26" t="str">
        <f>IF(OR($J144="",$J144="odešel"),IF(O144="","N",IF($F144="žena",CHOOSE(_xlfn.ARABIC($H144),MATCH(O144-1,'[1]Normy VP'!$O$25:$R$25),MATCH(O144-1,'[1]Normy VP'!$O$26:$R$26),MATCH(O144-1,'[1]Normy VP'!$O$27:$R$27),MATCH(O144-1,'[1]Normy VP'!$O$28:$R$28),MATCH(O144-1,'[1]Normy VP'!$O$29:$R$29),MATCH(O144-1,'[1]Normy VP'!$O$30:$R$30)),CHOOSE(_xlfn.ARABIC($H144),MATCH(O144-1,'[1]Normy VP'!$S$10:$V$10),MATCH(O144-1,'[1]Normy VP'!$S$11:$V$11),MATCH(O144-1,'[1]Normy VP'!$S$12:$V$12),MATCH(O144-1,'[1]Normy VP'!$S$13:$V$13),MATCH(O144-1,'[1]Normy VP'!$S$14:$V$14),MATCH(O144-1,'[1]Normy VP'!$S$15:$V$15)))),"O")</f>
        <v>N</v>
      </c>
      <c r="W144" s="34" t="str">
        <f t="shared" si="11"/>
        <v>N</v>
      </c>
      <c r="X144" s="27" t="str">
        <f>IF(COUNTIF(B144:G144,"")&gt;0,"",IF(COUNTIF([1]PP!$A:$A,A144)=0,"neni v PP",IF(OR(Y144="odešel",VLOOKUP(A144,[1]PP!$A:$W,22,FALSE)="odešel"),"odešel",IF(OR(Y144="N",VLOOKUP(A144,[1]PP!$A:$W,22,FALSE)="N"),"N",IF(OR(Y144="C",VLOOKUP(A144,[1]PP!$A:$W,22,FALSE)="C"),"C",IF(OR(Y144="DZO",VLOOKUP(A144,[1]PP!$A:$W,22,FALSE)="DZO"),"DZO",IF(OR(Y144="mise",Y144="disp.",Y144="končí",Y144="DSC",VLOOKUP(A144,[1]PP!$A:$W,22,FALSE)="mise",VLOOKUP(A144,[1]PP!$A:$W,22,FALSE)="disp.",VLOOKUP(A144,[1]PP!$A:$W,22,FALSE)="končí",VLOOKUP(A144,[1]PP!$A:$W,22,FALSE)="DSC"),"jiné",IF(OR(Y144=4,VLOOKUP(A144,[1]PP!$A:$W,22,FALSE)=4),4,IF(OR(Y144=3,VLOOKUP(A144,[1]PP!$A:$W,22,FALSE)=3),3,IF(OR(Y144=2,VLOOKUP(A144,[1]PP!$A:$W,22,FALSE)=2),2,IF(AND(Y144=1,VLOOKUP(A144,[1]PP!$A:$W,22,FALSE)=1),1)))))))))))</f>
        <v/>
      </c>
      <c r="Y144" s="28" t="str">
        <f>IF(COUNTIF(B144:G144,"")&gt;0,"",IF(COUNTIF([1]PP!$A:$A,A144)=0,"neni v PP",IF(VLOOKUP(A144,[1]PP!$A:$W,8,FALSE)="odešel","odešel",IF(F144="","",IF(J144="",IF(OR(T144=4,W144=4),4,IF(AND(T144="N",W144="N"),"N",IF(OR(T144="N",W144="N"),4,ROUND(AVERAGE(T144,W144),0)))),J144)))))</f>
        <v/>
      </c>
      <c r="Z144" s="29" t="str">
        <f>IF(COUNTIF(B144:G144,"")=0,IF(X144="neni v PP",CONCATENATE("ID: &lt;",A144,"&gt; se neshoduje s žádným IDem v kartě PP"),IF(COUNTIF($A:$A,A144)&gt;1,CONCATENATE("ID: &lt;",A144,"&gt; se v kartě VP opakuje. Je nutné tyto IDy od sebe odlišit, např. mezerou za příjmením."),IF(COUNTIF([1]PP!A:A,A144)&gt;1,CONCATENATE("ID: &lt;",A144,"&gt; se v kartě PP opakuje. Je nutné tyto IDy od sebe odlišit, např. mezerou za příjmením."),IF(VLOOKUP(A144,[1]PP!$A:$W,5,FALSE)&lt;&gt;E144,CONCATENATE($E$4," &lt;",E144,"&gt; se neshoduje s jednotkou v kartě PP"," &lt;",VLOOKUP(A144,[1]PP!$A:$W,5,FALSE),"&gt;"),IF(AND(COUNTIF(K144:O144,"")&lt;5,J144="",I144=""),CONCATENATE("Doplň: ",$I$4),IF(AND(YEAR(I144)&lt;&gt;$E$2,COUNTIF(I144,"")=0),CONCATENATE("špatně uveden &lt;",$D$2,"&gt; nebo &lt;",$I$4,"&gt;"),IF(OR(AND(OR(COUNTIF(C144,"*a"),COUNTIF(C144,"*ie"),COUNTIF(C144,"*ine"),COUNTIF(D144,"*Á")),F144="muž"),AND(AND(COUNTIF(C144,"&lt;&gt;"&amp;"*a"),COUNTIF(C144,"&lt;&gt;"&amp;"*ie"),COUNTIF(C144,"&lt;&gt;"&amp;"*ine"),COUNTIF(D144,"&lt;&gt;"&amp;"*Á")),F144="žena")),CONCATENATE(C144," ",D144," je ",F144,"?"),""))))))),IF(COUNTIF(B144:O144,"")=14,"",CONCATENATE("Doplň: ",IF(B144="",CONCATENATE($B$4,IF(COUNTIF(C144:G144,"")=0,"",", ")),""),IF(C144="",CONCATENATE($C$4,IF(COUNTIF(D144:G144,"")=0,"",", ")),""),IF(D144="",CONCATENATE($D$4,IF(COUNTIF(E144:G144,"")=0,"",", ")),""),IF(E144="",CONCATENATE($E$4,IF(COUNTIF(F144:G144,"")=0,"",", ")),""),IF(F144="",CONCATENATE($F$4,IF(G144="",", ","")),""),IF(G144="",$G$4,""))))</f>
        <v/>
      </c>
      <c r="AA144" s="30"/>
    </row>
    <row r="145" spans="1:27" ht="16" x14ac:dyDescent="0.35">
      <c r="A145" s="14" t="str">
        <f t="shared" si="8"/>
        <v xml:space="preserve">  </v>
      </c>
      <c r="B145" s="15"/>
      <c r="C145" s="31"/>
      <c r="D145" s="31"/>
      <c r="E145" s="17"/>
      <c r="F145" s="18"/>
      <c r="G145" s="32"/>
      <c r="H145" s="33" t="str">
        <f>IF(G145="","",IF(F145="žena",ROMAN(MATCH(G145+1,'[1]Normy VP'!$Y$27:$Y$33,-1)),ROMAN(MATCH(G145+1,'[1]Normy VP'!$Y$19:$Y$25,-1))))</f>
        <v/>
      </c>
      <c r="I145" s="21"/>
      <c r="J145" s="22"/>
      <c r="K145" s="23"/>
      <c r="L145" s="23"/>
      <c r="M145" s="23"/>
      <c r="N145" s="22"/>
      <c r="O145" s="22"/>
      <c r="P145" s="24" t="str">
        <f>IF(OR($J145="",$J145="odešel"),IF(K145="","",IF($F145="žena",CHOOSE(_xlfn.ARABIC($H145),MATCH(K145+1,'[1]Normy VP'!$C$25:$F$25,-1),MATCH(K145+1,'[1]Normy VP'!$C$26:$F$26,-1),MATCH(K145+1,'[1]Normy VP'!$C$27:$F$27,-1),MATCH(K145+1,'[1]Normy VP'!$C$28:$F$28,-1),MATCH(K145+1,'[1]Normy VP'!$C$29:$F$29,-1),"muž"),CHOOSE(_xlfn.ARABIC($H145),MATCH(K145+1,'[1]Normy VP'!$C$10:$F$10,-1),MATCH(K145+1,'[1]Normy VP'!$C$11:$F$11,-1),MATCH(K145+1,'[1]Normy VP'!$C$12:$F$12,-1),MATCH(K145+1,'[1]Normy VP'!$C$13:$F$13,-1),MATCH(K145+1,'[1]Normy VP'!$C$14:$F$14,-1),""))),"O")</f>
        <v/>
      </c>
      <c r="Q145" s="24" t="str">
        <f>IF(OR($J145="",$J145="odešel"),IF($F145="žena","",IF(L145="","",(CHOOSE(_xlfn.ARABIC($H145),MATCH(L145+1,'[1]Normy VP'!$G$10:$J$10,-1),MATCH(L145+1,'[1]Normy VP'!$G$11:$J$11,-1),MATCH(L145+1,'[1]Normy VP'!$G$12:$J$12,-1),MATCH(L145+1,'[1]Normy VP'!$G$13:$J$13,-1),MATCH(L145+1,'[1]Normy VP'!$G$14:$J$14,-1),"")))),"O")</f>
        <v/>
      </c>
      <c r="R145" s="34" t="str">
        <f t="shared" si="9"/>
        <v>N</v>
      </c>
      <c r="S145" s="24" t="str">
        <f>IF(OR($J145="",$J145="odešel"),IF(M145="","N",IF($F145="žena",CHOOSE(_xlfn.ARABIC($H145),MATCH(M145+1,'[1]Normy VP'!$G$25:$J$25,-1),MATCH(M145+1,'[1]Normy VP'!$G$26:$J$26,-1),MATCH(M145+1,'[1]Normy VP'!$G$27:$J$27,-1),MATCH(M145+1,'[1]Normy VP'!$G$28:$J$28,-1),MATCH(M145+1,'[1]Normy VP'!$G$29:$J$29,-1),"muž"),(CHOOSE(_xlfn.ARABIC($H145),MATCH(M145+1,'[1]Normy VP'!$K$10:$N$10,-1),MATCH(M145+1,'[1]Normy VP'!$K$11:$N$11,-1),MATCH(M145+1,'[1]Normy VP'!$K$12:$N$12,-1),MATCH(M145+1,'[1]Normy VP'!$K$13:$N$13,-1),MATCH(M145+1,'[1]Normy VP'!$K$14:$N$14,-1),"")))),"O")</f>
        <v>N</v>
      </c>
      <c r="T145" s="34" t="str">
        <f t="shared" si="10"/>
        <v>N</v>
      </c>
      <c r="U145" s="24" t="str">
        <f>IF(OR($J145="",$J145="odešel"),IF(N145="","N",IF($F145="žena",CHOOSE(_xlfn.ARABIC($H145),MATCH(N145+1,'[1]Normy VP'!$K$25:$N$25,-1),MATCH(N145+1,'[1]Normy VP'!$K$26:$N$26,-1),MATCH(N145+1,'[1]Normy VP'!$K$27:$N$27,-1),MATCH(N145+1,'[1]Normy VP'!$K$28:$N$28,-1),MATCH(N145+1,'[1]Normy VP'!$K$29:$N$29,-1),MATCH(N145+1,'[1]Normy VP'!$K$30:$N$30,-1)),CHOOSE(_xlfn.ARABIC($H145),MATCH(N145+1,'[1]Normy VP'!$O$10:$R$10,-1),MATCH(N145+1,'[1]Normy VP'!$O$11:$R$11,-1),MATCH(N145+1,'[1]Normy VP'!$O$12:$R$12,-1),MATCH(N145+1,'[1]Normy VP'!$O$13:$R$13,-1),MATCH(N145+1,'[1]Normy VP'!$O$14:$R$14,-1),MATCH(N145+1,'[1]Normy VP'!$O$15:$R$15,-1)))),"O")</f>
        <v>N</v>
      </c>
      <c r="V145" s="26" t="str">
        <f>IF(OR($J145="",$J145="odešel"),IF(O145="","N",IF($F145="žena",CHOOSE(_xlfn.ARABIC($H145),MATCH(O145-1,'[1]Normy VP'!$O$25:$R$25),MATCH(O145-1,'[1]Normy VP'!$O$26:$R$26),MATCH(O145-1,'[1]Normy VP'!$O$27:$R$27),MATCH(O145-1,'[1]Normy VP'!$O$28:$R$28),MATCH(O145-1,'[1]Normy VP'!$O$29:$R$29),MATCH(O145-1,'[1]Normy VP'!$O$30:$R$30)),CHOOSE(_xlfn.ARABIC($H145),MATCH(O145-1,'[1]Normy VP'!$S$10:$V$10),MATCH(O145-1,'[1]Normy VP'!$S$11:$V$11),MATCH(O145-1,'[1]Normy VP'!$S$12:$V$12),MATCH(O145-1,'[1]Normy VP'!$S$13:$V$13),MATCH(O145-1,'[1]Normy VP'!$S$14:$V$14),MATCH(O145-1,'[1]Normy VP'!$S$15:$V$15)))),"O")</f>
        <v>N</v>
      </c>
      <c r="W145" s="34" t="str">
        <f t="shared" si="11"/>
        <v>N</v>
      </c>
      <c r="X145" s="27" t="str">
        <f>IF(COUNTIF(B145:G145,"")&gt;0,"",IF(COUNTIF([1]PP!$A:$A,A145)=0,"neni v PP",IF(OR(Y145="odešel",VLOOKUP(A145,[1]PP!$A:$W,22,FALSE)="odešel"),"odešel",IF(OR(Y145="N",VLOOKUP(A145,[1]PP!$A:$W,22,FALSE)="N"),"N",IF(OR(Y145="C",VLOOKUP(A145,[1]PP!$A:$W,22,FALSE)="C"),"C",IF(OR(Y145="DZO",VLOOKUP(A145,[1]PP!$A:$W,22,FALSE)="DZO"),"DZO",IF(OR(Y145="mise",Y145="disp.",Y145="končí",Y145="DSC",VLOOKUP(A145,[1]PP!$A:$W,22,FALSE)="mise",VLOOKUP(A145,[1]PP!$A:$W,22,FALSE)="disp.",VLOOKUP(A145,[1]PP!$A:$W,22,FALSE)="končí",VLOOKUP(A145,[1]PP!$A:$W,22,FALSE)="DSC"),"jiné",IF(OR(Y145=4,VLOOKUP(A145,[1]PP!$A:$W,22,FALSE)=4),4,IF(OR(Y145=3,VLOOKUP(A145,[1]PP!$A:$W,22,FALSE)=3),3,IF(OR(Y145=2,VLOOKUP(A145,[1]PP!$A:$W,22,FALSE)=2),2,IF(AND(Y145=1,VLOOKUP(A145,[1]PP!$A:$W,22,FALSE)=1),1)))))))))))</f>
        <v/>
      </c>
      <c r="Y145" s="28" t="str">
        <f>IF(COUNTIF(B145:G145,"")&gt;0,"",IF(COUNTIF([1]PP!$A:$A,A145)=0,"neni v PP",IF(VLOOKUP(A145,[1]PP!$A:$W,8,FALSE)="odešel","odešel",IF(F145="","",IF(J145="",IF(OR(T145=4,W145=4),4,IF(AND(T145="N",W145="N"),"N",IF(OR(T145="N",W145="N"),4,ROUND(AVERAGE(T145,W145),0)))),J145)))))</f>
        <v/>
      </c>
      <c r="Z145" s="29" t="str">
        <f>IF(COUNTIF(B145:G145,"")=0,IF(X145="neni v PP",CONCATENATE("ID: &lt;",A145,"&gt; se neshoduje s žádným IDem v kartě PP"),IF(COUNTIF($A:$A,A145)&gt;1,CONCATENATE("ID: &lt;",A145,"&gt; se v kartě VP opakuje. Je nutné tyto IDy od sebe odlišit, např. mezerou za příjmením."),IF(COUNTIF([1]PP!A:A,A145)&gt;1,CONCATENATE("ID: &lt;",A145,"&gt; se v kartě PP opakuje. Je nutné tyto IDy od sebe odlišit, např. mezerou za příjmením."),IF(VLOOKUP(A145,[1]PP!$A:$W,5,FALSE)&lt;&gt;E145,CONCATENATE($E$4," &lt;",E145,"&gt; se neshoduje s jednotkou v kartě PP"," &lt;",VLOOKUP(A145,[1]PP!$A:$W,5,FALSE),"&gt;"),IF(AND(COUNTIF(K145:O145,"")&lt;5,J145="",I145=""),CONCATENATE("Doplň: ",$I$4),IF(AND(YEAR(I145)&lt;&gt;$E$2,COUNTIF(I145,"")=0),CONCATENATE("špatně uveden &lt;",$D$2,"&gt; nebo &lt;",$I$4,"&gt;"),IF(OR(AND(OR(COUNTIF(C145,"*a"),COUNTIF(C145,"*ie"),COUNTIF(C145,"*ine"),COUNTIF(D145,"*Á")),F145="muž"),AND(AND(COUNTIF(C145,"&lt;&gt;"&amp;"*a"),COUNTIF(C145,"&lt;&gt;"&amp;"*ie"),COUNTIF(C145,"&lt;&gt;"&amp;"*ine"),COUNTIF(D145,"&lt;&gt;"&amp;"*Á")),F145="žena")),CONCATENATE(C145," ",D145," je ",F145,"?"),""))))))),IF(COUNTIF(B145:O145,"")=14,"",CONCATENATE("Doplň: ",IF(B145="",CONCATENATE($B$4,IF(COUNTIF(C145:G145,"")=0,"",", ")),""),IF(C145="",CONCATENATE($C$4,IF(COUNTIF(D145:G145,"")=0,"",", ")),""),IF(D145="",CONCATENATE($D$4,IF(COUNTIF(E145:G145,"")=0,"",", ")),""),IF(E145="",CONCATENATE($E$4,IF(COUNTIF(F145:G145,"")=0,"",", ")),""),IF(F145="",CONCATENATE($F$4,IF(G145="",", ","")),""),IF(G145="",$G$4,""))))</f>
        <v/>
      </c>
      <c r="AA145" s="30"/>
    </row>
    <row r="146" spans="1:27" ht="16" x14ac:dyDescent="0.35">
      <c r="A146" s="14" t="str">
        <f t="shared" si="8"/>
        <v xml:space="preserve">  </v>
      </c>
      <c r="B146" s="15"/>
      <c r="C146" s="31"/>
      <c r="D146" s="31"/>
      <c r="E146" s="17"/>
      <c r="F146" s="18"/>
      <c r="G146" s="32"/>
      <c r="H146" s="33" t="str">
        <f>IF(G146="","",IF(F146="žena",ROMAN(MATCH(G146+1,'[1]Normy VP'!$Y$27:$Y$33,-1)),ROMAN(MATCH(G146+1,'[1]Normy VP'!$Y$19:$Y$25,-1))))</f>
        <v/>
      </c>
      <c r="I146" s="21"/>
      <c r="J146" s="22"/>
      <c r="K146" s="23"/>
      <c r="L146" s="23"/>
      <c r="M146" s="23"/>
      <c r="N146" s="22"/>
      <c r="O146" s="22"/>
      <c r="P146" s="24" t="str">
        <f>IF(OR($J146="",$J146="odešel"),IF(K146="","",IF($F146="žena",CHOOSE(_xlfn.ARABIC($H146),MATCH(K146+1,'[1]Normy VP'!$C$25:$F$25,-1),MATCH(K146+1,'[1]Normy VP'!$C$26:$F$26,-1),MATCH(K146+1,'[1]Normy VP'!$C$27:$F$27,-1),MATCH(K146+1,'[1]Normy VP'!$C$28:$F$28,-1),MATCH(K146+1,'[1]Normy VP'!$C$29:$F$29,-1),"muž"),CHOOSE(_xlfn.ARABIC($H146),MATCH(K146+1,'[1]Normy VP'!$C$10:$F$10,-1),MATCH(K146+1,'[1]Normy VP'!$C$11:$F$11,-1),MATCH(K146+1,'[1]Normy VP'!$C$12:$F$12,-1),MATCH(K146+1,'[1]Normy VP'!$C$13:$F$13,-1),MATCH(K146+1,'[1]Normy VP'!$C$14:$F$14,-1),""))),"O")</f>
        <v/>
      </c>
      <c r="Q146" s="24" t="str">
        <f>IF(OR($J146="",$J146="odešel"),IF($F146="žena","",IF(L146="","",(CHOOSE(_xlfn.ARABIC($H146),MATCH(L146+1,'[1]Normy VP'!$G$10:$J$10,-1),MATCH(L146+1,'[1]Normy VP'!$G$11:$J$11,-1),MATCH(L146+1,'[1]Normy VP'!$G$12:$J$12,-1),MATCH(L146+1,'[1]Normy VP'!$G$13:$J$13,-1),MATCH(L146+1,'[1]Normy VP'!$G$14:$J$14,-1),"")))),"O")</f>
        <v/>
      </c>
      <c r="R146" s="34" t="str">
        <f t="shared" si="9"/>
        <v>N</v>
      </c>
      <c r="S146" s="24" t="str">
        <f>IF(OR($J146="",$J146="odešel"),IF(M146="","N",IF($F146="žena",CHOOSE(_xlfn.ARABIC($H146),MATCH(M146+1,'[1]Normy VP'!$G$25:$J$25,-1),MATCH(M146+1,'[1]Normy VP'!$G$26:$J$26,-1),MATCH(M146+1,'[1]Normy VP'!$G$27:$J$27,-1),MATCH(M146+1,'[1]Normy VP'!$G$28:$J$28,-1),MATCH(M146+1,'[1]Normy VP'!$G$29:$J$29,-1),"muž"),(CHOOSE(_xlfn.ARABIC($H146),MATCH(M146+1,'[1]Normy VP'!$K$10:$N$10,-1),MATCH(M146+1,'[1]Normy VP'!$K$11:$N$11,-1),MATCH(M146+1,'[1]Normy VP'!$K$12:$N$12,-1),MATCH(M146+1,'[1]Normy VP'!$K$13:$N$13,-1),MATCH(M146+1,'[1]Normy VP'!$K$14:$N$14,-1),"")))),"O")</f>
        <v>N</v>
      </c>
      <c r="T146" s="34" t="str">
        <f t="shared" si="10"/>
        <v>N</v>
      </c>
      <c r="U146" s="24" t="str">
        <f>IF(OR($J146="",$J146="odešel"),IF(N146="","N",IF($F146="žena",CHOOSE(_xlfn.ARABIC($H146),MATCH(N146+1,'[1]Normy VP'!$K$25:$N$25,-1),MATCH(N146+1,'[1]Normy VP'!$K$26:$N$26,-1),MATCH(N146+1,'[1]Normy VP'!$K$27:$N$27,-1),MATCH(N146+1,'[1]Normy VP'!$K$28:$N$28,-1),MATCH(N146+1,'[1]Normy VP'!$K$29:$N$29,-1),MATCH(N146+1,'[1]Normy VP'!$K$30:$N$30,-1)),CHOOSE(_xlfn.ARABIC($H146),MATCH(N146+1,'[1]Normy VP'!$O$10:$R$10,-1),MATCH(N146+1,'[1]Normy VP'!$O$11:$R$11,-1),MATCH(N146+1,'[1]Normy VP'!$O$12:$R$12,-1),MATCH(N146+1,'[1]Normy VP'!$O$13:$R$13,-1),MATCH(N146+1,'[1]Normy VP'!$O$14:$R$14,-1),MATCH(N146+1,'[1]Normy VP'!$O$15:$R$15,-1)))),"O")</f>
        <v>N</v>
      </c>
      <c r="V146" s="26" t="str">
        <f>IF(OR($J146="",$J146="odešel"),IF(O146="","N",IF($F146="žena",CHOOSE(_xlfn.ARABIC($H146),MATCH(O146-1,'[1]Normy VP'!$O$25:$R$25),MATCH(O146-1,'[1]Normy VP'!$O$26:$R$26),MATCH(O146-1,'[1]Normy VP'!$O$27:$R$27),MATCH(O146-1,'[1]Normy VP'!$O$28:$R$28),MATCH(O146-1,'[1]Normy VP'!$O$29:$R$29),MATCH(O146-1,'[1]Normy VP'!$O$30:$R$30)),CHOOSE(_xlfn.ARABIC($H146),MATCH(O146-1,'[1]Normy VP'!$S$10:$V$10),MATCH(O146-1,'[1]Normy VP'!$S$11:$V$11),MATCH(O146-1,'[1]Normy VP'!$S$12:$V$12),MATCH(O146-1,'[1]Normy VP'!$S$13:$V$13),MATCH(O146-1,'[1]Normy VP'!$S$14:$V$14),MATCH(O146-1,'[1]Normy VP'!$S$15:$V$15)))),"O")</f>
        <v>N</v>
      </c>
      <c r="W146" s="34" t="str">
        <f t="shared" si="11"/>
        <v>N</v>
      </c>
      <c r="X146" s="27" t="str">
        <f>IF(COUNTIF(B146:G146,"")&gt;0,"",IF(COUNTIF([1]PP!$A:$A,A146)=0,"neni v PP",IF(OR(Y146="odešel",VLOOKUP(A146,[1]PP!$A:$W,22,FALSE)="odešel"),"odešel",IF(OR(Y146="N",VLOOKUP(A146,[1]PP!$A:$W,22,FALSE)="N"),"N",IF(OR(Y146="C",VLOOKUP(A146,[1]PP!$A:$W,22,FALSE)="C"),"C",IF(OR(Y146="DZO",VLOOKUP(A146,[1]PP!$A:$W,22,FALSE)="DZO"),"DZO",IF(OR(Y146="mise",Y146="disp.",Y146="končí",Y146="DSC",VLOOKUP(A146,[1]PP!$A:$W,22,FALSE)="mise",VLOOKUP(A146,[1]PP!$A:$W,22,FALSE)="disp.",VLOOKUP(A146,[1]PP!$A:$W,22,FALSE)="končí",VLOOKUP(A146,[1]PP!$A:$W,22,FALSE)="DSC"),"jiné",IF(OR(Y146=4,VLOOKUP(A146,[1]PP!$A:$W,22,FALSE)=4),4,IF(OR(Y146=3,VLOOKUP(A146,[1]PP!$A:$W,22,FALSE)=3),3,IF(OR(Y146=2,VLOOKUP(A146,[1]PP!$A:$W,22,FALSE)=2),2,IF(AND(Y146=1,VLOOKUP(A146,[1]PP!$A:$W,22,FALSE)=1),1)))))))))))</f>
        <v/>
      </c>
      <c r="Y146" s="28" t="str">
        <f>IF(COUNTIF(B146:G146,"")&gt;0,"",IF(COUNTIF([1]PP!$A:$A,A146)=0,"neni v PP",IF(VLOOKUP(A146,[1]PP!$A:$W,8,FALSE)="odešel","odešel",IF(F146="","",IF(J146="",IF(OR(T146=4,W146=4),4,IF(AND(T146="N",W146="N"),"N",IF(OR(T146="N",W146="N"),4,ROUND(AVERAGE(T146,W146),0)))),J146)))))</f>
        <v/>
      </c>
      <c r="Z146" s="29" t="str">
        <f>IF(COUNTIF(B146:G146,"")=0,IF(X146="neni v PP",CONCATENATE("ID: &lt;",A146,"&gt; se neshoduje s žádným IDem v kartě PP"),IF(COUNTIF($A:$A,A146)&gt;1,CONCATENATE("ID: &lt;",A146,"&gt; se v kartě VP opakuje. Je nutné tyto IDy od sebe odlišit, např. mezerou za příjmením."),IF(COUNTIF([1]PP!A:A,A146)&gt;1,CONCATENATE("ID: &lt;",A146,"&gt; se v kartě PP opakuje. Je nutné tyto IDy od sebe odlišit, např. mezerou za příjmením."),IF(VLOOKUP(A146,[1]PP!$A:$W,5,FALSE)&lt;&gt;E146,CONCATENATE($E$4," &lt;",E146,"&gt; se neshoduje s jednotkou v kartě PP"," &lt;",VLOOKUP(A146,[1]PP!$A:$W,5,FALSE),"&gt;"),IF(AND(COUNTIF(K146:O146,"")&lt;5,J146="",I146=""),CONCATENATE("Doplň: ",$I$4),IF(AND(YEAR(I146)&lt;&gt;$E$2,COUNTIF(I146,"")=0),CONCATENATE("špatně uveden &lt;",$D$2,"&gt; nebo &lt;",$I$4,"&gt;"),IF(OR(AND(OR(COUNTIF(C146,"*a"),COUNTIF(C146,"*ie"),COUNTIF(C146,"*ine"),COUNTIF(D146,"*Á")),F146="muž"),AND(AND(COUNTIF(C146,"&lt;&gt;"&amp;"*a"),COUNTIF(C146,"&lt;&gt;"&amp;"*ie"),COUNTIF(C146,"&lt;&gt;"&amp;"*ine"),COUNTIF(D146,"&lt;&gt;"&amp;"*Á")),F146="žena")),CONCATENATE(C146," ",D146," je ",F146,"?"),""))))))),IF(COUNTIF(B146:O146,"")=14,"",CONCATENATE("Doplň: ",IF(B146="",CONCATENATE($B$4,IF(COUNTIF(C146:G146,"")=0,"",", ")),""),IF(C146="",CONCATENATE($C$4,IF(COUNTIF(D146:G146,"")=0,"",", ")),""),IF(D146="",CONCATENATE($D$4,IF(COUNTIF(E146:G146,"")=0,"",", ")),""),IF(E146="",CONCATENATE($E$4,IF(COUNTIF(F146:G146,"")=0,"",", ")),""),IF(F146="",CONCATENATE($F$4,IF(G146="",", ","")),""),IF(G146="",$G$4,""))))</f>
        <v/>
      </c>
      <c r="AA146" s="30"/>
    </row>
    <row r="147" spans="1:27" ht="16" x14ac:dyDescent="0.35">
      <c r="A147" s="14" t="str">
        <f t="shared" si="8"/>
        <v xml:space="preserve">  </v>
      </c>
      <c r="B147" s="15"/>
      <c r="C147" s="31"/>
      <c r="D147" s="31"/>
      <c r="E147" s="17"/>
      <c r="F147" s="18"/>
      <c r="G147" s="32"/>
      <c r="H147" s="33" t="str">
        <f>IF(G147="","",IF(F147="žena",ROMAN(MATCH(G147+1,'[1]Normy VP'!$Y$27:$Y$33,-1)),ROMAN(MATCH(G147+1,'[1]Normy VP'!$Y$19:$Y$25,-1))))</f>
        <v/>
      </c>
      <c r="I147" s="21"/>
      <c r="J147" s="22"/>
      <c r="K147" s="23"/>
      <c r="L147" s="23"/>
      <c r="M147" s="23"/>
      <c r="N147" s="22"/>
      <c r="O147" s="22"/>
      <c r="P147" s="24" t="str">
        <f>IF(OR($J147="",$J147="odešel"),IF(K147="","",IF($F147="žena",CHOOSE(_xlfn.ARABIC($H147),MATCH(K147+1,'[1]Normy VP'!$C$25:$F$25,-1),MATCH(K147+1,'[1]Normy VP'!$C$26:$F$26,-1),MATCH(K147+1,'[1]Normy VP'!$C$27:$F$27,-1),MATCH(K147+1,'[1]Normy VP'!$C$28:$F$28,-1),MATCH(K147+1,'[1]Normy VP'!$C$29:$F$29,-1),"muž"),CHOOSE(_xlfn.ARABIC($H147),MATCH(K147+1,'[1]Normy VP'!$C$10:$F$10,-1),MATCH(K147+1,'[1]Normy VP'!$C$11:$F$11,-1),MATCH(K147+1,'[1]Normy VP'!$C$12:$F$12,-1),MATCH(K147+1,'[1]Normy VP'!$C$13:$F$13,-1),MATCH(K147+1,'[1]Normy VP'!$C$14:$F$14,-1),""))),"O")</f>
        <v/>
      </c>
      <c r="Q147" s="24" t="str">
        <f>IF(OR($J147="",$J147="odešel"),IF($F147="žena","",IF(L147="","",(CHOOSE(_xlfn.ARABIC($H147),MATCH(L147+1,'[1]Normy VP'!$G$10:$J$10,-1),MATCH(L147+1,'[1]Normy VP'!$G$11:$J$11,-1),MATCH(L147+1,'[1]Normy VP'!$G$12:$J$12,-1),MATCH(L147+1,'[1]Normy VP'!$G$13:$J$13,-1),MATCH(L147+1,'[1]Normy VP'!$G$14:$J$14,-1),"")))),"O")</f>
        <v/>
      </c>
      <c r="R147" s="34" t="str">
        <f t="shared" si="9"/>
        <v>N</v>
      </c>
      <c r="S147" s="24" t="str">
        <f>IF(OR($J147="",$J147="odešel"),IF(M147="","N",IF($F147="žena",CHOOSE(_xlfn.ARABIC($H147),MATCH(M147+1,'[1]Normy VP'!$G$25:$J$25,-1),MATCH(M147+1,'[1]Normy VP'!$G$26:$J$26,-1),MATCH(M147+1,'[1]Normy VP'!$G$27:$J$27,-1),MATCH(M147+1,'[1]Normy VP'!$G$28:$J$28,-1),MATCH(M147+1,'[1]Normy VP'!$G$29:$J$29,-1),"muž"),(CHOOSE(_xlfn.ARABIC($H147),MATCH(M147+1,'[1]Normy VP'!$K$10:$N$10,-1),MATCH(M147+1,'[1]Normy VP'!$K$11:$N$11,-1),MATCH(M147+1,'[1]Normy VP'!$K$12:$N$12,-1),MATCH(M147+1,'[1]Normy VP'!$K$13:$N$13,-1),MATCH(M147+1,'[1]Normy VP'!$K$14:$N$14,-1),"")))),"O")</f>
        <v>N</v>
      </c>
      <c r="T147" s="34" t="str">
        <f t="shared" si="10"/>
        <v>N</v>
      </c>
      <c r="U147" s="24" t="str">
        <f>IF(OR($J147="",$J147="odešel"),IF(N147="","N",IF($F147="žena",CHOOSE(_xlfn.ARABIC($H147),MATCH(N147+1,'[1]Normy VP'!$K$25:$N$25,-1),MATCH(N147+1,'[1]Normy VP'!$K$26:$N$26,-1),MATCH(N147+1,'[1]Normy VP'!$K$27:$N$27,-1),MATCH(N147+1,'[1]Normy VP'!$K$28:$N$28,-1),MATCH(N147+1,'[1]Normy VP'!$K$29:$N$29,-1),MATCH(N147+1,'[1]Normy VP'!$K$30:$N$30,-1)),CHOOSE(_xlfn.ARABIC($H147),MATCH(N147+1,'[1]Normy VP'!$O$10:$R$10,-1),MATCH(N147+1,'[1]Normy VP'!$O$11:$R$11,-1),MATCH(N147+1,'[1]Normy VP'!$O$12:$R$12,-1),MATCH(N147+1,'[1]Normy VP'!$O$13:$R$13,-1),MATCH(N147+1,'[1]Normy VP'!$O$14:$R$14,-1),MATCH(N147+1,'[1]Normy VP'!$O$15:$R$15,-1)))),"O")</f>
        <v>N</v>
      </c>
      <c r="V147" s="26" t="str">
        <f>IF(OR($J147="",$J147="odešel"),IF(O147="","N",IF($F147="žena",CHOOSE(_xlfn.ARABIC($H147),MATCH(O147-1,'[1]Normy VP'!$O$25:$R$25),MATCH(O147-1,'[1]Normy VP'!$O$26:$R$26),MATCH(O147-1,'[1]Normy VP'!$O$27:$R$27),MATCH(O147-1,'[1]Normy VP'!$O$28:$R$28),MATCH(O147-1,'[1]Normy VP'!$O$29:$R$29),MATCH(O147-1,'[1]Normy VP'!$O$30:$R$30)),CHOOSE(_xlfn.ARABIC($H147),MATCH(O147-1,'[1]Normy VP'!$S$10:$V$10),MATCH(O147-1,'[1]Normy VP'!$S$11:$V$11),MATCH(O147-1,'[1]Normy VP'!$S$12:$V$12),MATCH(O147-1,'[1]Normy VP'!$S$13:$V$13),MATCH(O147-1,'[1]Normy VP'!$S$14:$V$14),MATCH(O147-1,'[1]Normy VP'!$S$15:$V$15)))),"O")</f>
        <v>N</v>
      </c>
      <c r="W147" s="34" t="str">
        <f t="shared" si="11"/>
        <v>N</v>
      </c>
      <c r="X147" s="27" t="str">
        <f>IF(COUNTIF(B147:G147,"")&gt;0,"",IF(COUNTIF([1]PP!$A:$A,A147)=0,"neni v PP",IF(OR(Y147="odešel",VLOOKUP(A147,[1]PP!$A:$W,22,FALSE)="odešel"),"odešel",IF(OR(Y147="N",VLOOKUP(A147,[1]PP!$A:$W,22,FALSE)="N"),"N",IF(OR(Y147="C",VLOOKUP(A147,[1]PP!$A:$W,22,FALSE)="C"),"C",IF(OR(Y147="DZO",VLOOKUP(A147,[1]PP!$A:$W,22,FALSE)="DZO"),"DZO",IF(OR(Y147="mise",Y147="disp.",Y147="končí",Y147="DSC",VLOOKUP(A147,[1]PP!$A:$W,22,FALSE)="mise",VLOOKUP(A147,[1]PP!$A:$W,22,FALSE)="disp.",VLOOKUP(A147,[1]PP!$A:$W,22,FALSE)="končí",VLOOKUP(A147,[1]PP!$A:$W,22,FALSE)="DSC"),"jiné",IF(OR(Y147=4,VLOOKUP(A147,[1]PP!$A:$W,22,FALSE)=4),4,IF(OR(Y147=3,VLOOKUP(A147,[1]PP!$A:$W,22,FALSE)=3),3,IF(OR(Y147=2,VLOOKUP(A147,[1]PP!$A:$W,22,FALSE)=2),2,IF(AND(Y147=1,VLOOKUP(A147,[1]PP!$A:$W,22,FALSE)=1),1)))))))))))</f>
        <v/>
      </c>
      <c r="Y147" s="28" t="str">
        <f>IF(COUNTIF(B147:G147,"")&gt;0,"",IF(COUNTIF([1]PP!$A:$A,A147)=0,"neni v PP",IF(VLOOKUP(A147,[1]PP!$A:$W,8,FALSE)="odešel","odešel",IF(F147="","",IF(J147="",IF(OR(T147=4,W147=4),4,IF(AND(T147="N",W147="N"),"N",IF(OR(T147="N",W147="N"),4,ROUND(AVERAGE(T147,W147),0)))),J147)))))</f>
        <v/>
      </c>
      <c r="Z147" s="29"/>
      <c r="AA147" s="30"/>
    </row>
    <row r="148" spans="1:27" ht="16" x14ac:dyDescent="0.35">
      <c r="A148" s="14" t="str">
        <f t="shared" si="8"/>
        <v xml:space="preserve">  </v>
      </c>
      <c r="B148" s="15"/>
      <c r="C148" s="31"/>
      <c r="D148" s="31"/>
      <c r="E148" s="17"/>
      <c r="F148" s="18"/>
      <c r="G148" s="32"/>
      <c r="H148" s="33" t="str">
        <f>IF(G148="","",IF(F148="žena",ROMAN(MATCH(G148+1,'[1]Normy VP'!$Y$27:$Y$33,-1)),ROMAN(MATCH(G148+1,'[1]Normy VP'!$Y$19:$Y$25,-1))))</f>
        <v/>
      </c>
      <c r="I148" s="21"/>
      <c r="J148" s="22"/>
      <c r="K148" s="23"/>
      <c r="L148" s="23"/>
      <c r="M148" s="23"/>
      <c r="N148" s="22"/>
      <c r="O148" s="22"/>
      <c r="P148" s="24" t="str">
        <f>IF(OR($J148="",$J148="odešel"),IF(K148="","",IF($F148="žena",CHOOSE(_xlfn.ARABIC($H148),MATCH(K148+1,'[1]Normy VP'!$C$25:$F$25,-1),MATCH(K148+1,'[1]Normy VP'!$C$26:$F$26,-1),MATCH(K148+1,'[1]Normy VP'!$C$27:$F$27,-1),MATCH(K148+1,'[1]Normy VP'!$C$28:$F$28,-1),MATCH(K148+1,'[1]Normy VP'!$C$29:$F$29,-1),"muž"),CHOOSE(_xlfn.ARABIC($H148),MATCH(K148+1,'[1]Normy VP'!$C$10:$F$10,-1),MATCH(K148+1,'[1]Normy VP'!$C$11:$F$11,-1),MATCH(K148+1,'[1]Normy VP'!$C$12:$F$12,-1),MATCH(K148+1,'[1]Normy VP'!$C$13:$F$13,-1),MATCH(K148+1,'[1]Normy VP'!$C$14:$F$14,-1),""))),"O")</f>
        <v/>
      </c>
      <c r="Q148" s="24" t="str">
        <f>IF(OR($J148="",$J148="odešel"),IF($F148="žena","",IF(L148="","",(CHOOSE(_xlfn.ARABIC($H148),MATCH(L148+1,'[1]Normy VP'!$G$10:$J$10,-1),MATCH(L148+1,'[1]Normy VP'!$G$11:$J$11,-1),MATCH(L148+1,'[1]Normy VP'!$G$12:$J$12,-1),MATCH(L148+1,'[1]Normy VP'!$G$13:$J$13,-1),MATCH(L148+1,'[1]Normy VP'!$G$14:$J$14,-1),"")))),"O")</f>
        <v/>
      </c>
      <c r="R148" s="34" t="str">
        <f t="shared" si="9"/>
        <v>N</v>
      </c>
      <c r="S148" s="24" t="str">
        <f>IF(OR($J148="",$J148="odešel"),IF(M148="","N",IF($F148="žena",CHOOSE(_xlfn.ARABIC($H148),MATCH(M148+1,'[1]Normy VP'!$G$25:$J$25,-1),MATCH(M148+1,'[1]Normy VP'!$G$26:$J$26,-1),MATCH(M148+1,'[1]Normy VP'!$G$27:$J$27,-1),MATCH(M148+1,'[1]Normy VP'!$G$28:$J$28,-1),MATCH(M148+1,'[1]Normy VP'!$G$29:$J$29,-1),"muž"),(CHOOSE(_xlfn.ARABIC($H148),MATCH(M148+1,'[1]Normy VP'!$K$10:$N$10,-1),MATCH(M148+1,'[1]Normy VP'!$K$11:$N$11,-1),MATCH(M148+1,'[1]Normy VP'!$K$12:$N$12,-1),MATCH(M148+1,'[1]Normy VP'!$K$13:$N$13,-1),MATCH(M148+1,'[1]Normy VP'!$K$14:$N$14,-1),"")))),"O")</f>
        <v>N</v>
      </c>
      <c r="T148" s="34" t="str">
        <f t="shared" si="10"/>
        <v>N</v>
      </c>
      <c r="U148" s="24" t="str">
        <f>IF(OR($J148="",$J148="odešel"),IF(N148="","N",IF($F148="žena",CHOOSE(_xlfn.ARABIC($H148),MATCH(N148+1,'[1]Normy VP'!$K$25:$N$25,-1),MATCH(N148+1,'[1]Normy VP'!$K$26:$N$26,-1),MATCH(N148+1,'[1]Normy VP'!$K$27:$N$27,-1),MATCH(N148+1,'[1]Normy VP'!$K$28:$N$28,-1),MATCH(N148+1,'[1]Normy VP'!$K$29:$N$29,-1),MATCH(N148+1,'[1]Normy VP'!$K$30:$N$30,-1)),CHOOSE(_xlfn.ARABIC($H148),MATCH(N148+1,'[1]Normy VP'!$O$10:$R$10,-1),MATCH(N148+1,'[1]Normy VP'!$O$11:$R$11,-1),MATCH(N148+1,'[1]Normy VP'!$O$12:$R$12,-1),MATCH(N148+1,'[1]Normy VP'!$O$13:$R$13,-1),MATCH(N148+1,'[1]Normy VP'!$O$14:$R$14,-1),MATCH(N148+1,'[1]Normy VP'!$O$15:$R$15,-1)))),"O")</f>
        <v>N</v>
      </c>
      <c r="V148" s="26" t="str">
        <f>IF(OR($J148="",$J148="odešel"),IF(O148="","N",IF($F148="žena",CHOOSE(_xlfn.ARABIC($H148),MATCH(O148-1,'[1]Normy VP'!$O$25:$R$25),MATCH(O148-1,'[1]Normy VP'!$O$26:$R$26),MATCH(O148-1,'[1]Normy VP'!$O$27:$R$27),MATCH(O148-1,'[1]Normy VP'!$O$28:$R$28),MATCH(O148-1,'[1]Normy VP'!$O$29:$R$29),MATCH(O148-1,'[1]Normy VP'!$O$30:$R$30)),CHOOSE(_xlfn.ARABIC($H148),MATCH(O148-1,'[1]Normy VP'!$S$10:$V$10),MATCH(O148-1,'[1]Normy VP'!$S$11:$V$11),MATCH(O148-1,'[1]Normy VP'!$S$12:$V$12),MATCH(O148-1,'[1]Normy VP'!$S$13:$V$13),MATCH(O148-1,'[1]Normy VP'!$S$14:$V$14),MATCH(O148-1,'[1]Normy VP'!$S$15:$V$15)))),"O")</f>
        <v>N</v>
      </c>
      <c r="W148" s="34" t="str">
        <f t="shared" si="11"/>
        <v>N</v>
      </c>
      <c r="X148" s="27" t="str">
        <f>IF(COUNTIF(B148:G148,"")&gt;0,"",IF(COUNTIF([1]PP!$A:$A,A148)=0,"neni v PP",IF(OR(Y148="odešel",VLOOKUP(A148,[1]PP!$A:$W,22,FALSE)="odešel"),"odešel",IF(OR(Y148="N",VLOOKUP(A148,[1]PP!$A:$W,22,FALSE)="N"),"N",IF(OR(Y148="C",VLOOKUP(A148,[1]PP!$A:$W,22,FALSE)="C"),"C",IF(OR(Y148="DZO",VLOOKUP(A148,[1]PP!$A:$W,22,FALSE)="DZO"),"DZO",IF(OR(Y148="mise",Y148="disp.",Y148="končí",Y148="DSC",VLOOKUP(A148,[1]PP!$A:$W,22,FALSE)="mise",VLOOKUP(A148,[1]PP!$A:$W,22,FALSE)="disp.",VLOOKUP(A148,[1]PP!$A:$W,22,FALSE)="končí",VLOOKUP(A148,[1]PP!$A:$W,22,FALSE)="DSC"),"jiné",IF(OR(Y148=4,VLOOKUP(A148,[1]PP!$A:$W,22,FALSE)=4),4,IF(OR(Y148=3,VLOOKUP(A148,[1]PP!$A:$W,22,FALSE)=3),3,IF(OR(Y148=2,VLOOKUP(A148,[1]PP!$A:$W,22,FALSE)=2),2,IF(AND(Y148=1,VLOOKUP(A148,[1]PP!$A:$W,22,FALSE)=1),1)))))))))))</f>
        <v/>
      </c>
      <c r="Y148" s="28" t="str">
        <f>IF(COUNTIF(B148:G148,"")&gt;0,"",IF(COUNTIF([1]PP!$A:$A,A148)=0,"neni v PP",IF(VLOOKUP(A148,[1]PP!$A:$W,8,FALSE)="odešel","odešel",IF(F148="","",IF(J148="",IF(OR(T148=4,W148=4),4,IF(AND(T148="N",W148="N"),"N",IF(OR(T148="N",W148="N"),4,ROUND(AVERAGE(T148,W148),0)))),J148)))))</f>
        <v/>
      </c>
      <c r="Z148" s="29" t="str">
        <f>IF(COUNTIF(B148:G148,"")=0,IF(X148="neni v PP",CONCATENATE("ID: &lt;",A148,"&gt; se neshoduje s žádným IDem v kartě PP"),IF(COUNTIF($A:$A,A148)&gt;1,CONCATENATE("ID: &lt;",A148,"&gt; se v kartě VP opakuje. Je nutné tyto IDy od sebe odlišit, např. mezerou za příjmením."),IF(COUNTIF([1]PP!A:A,A148)&gt;1,CONCATENATE("ID: &lt;",A148,"&gt; se v kartě PP opakuje. Je nutné tyto IDy od sebe odlišit, např. mezerou za příjmením."),IF(VLOOKUP(A148,[1]PP!$A:$W,5,FALSE)&lt;&gt;E148,CONCATENATE($E$4," &lt;",E148,"&gt; se neshoduje s jednotkou v kartě PP"," &lt;",VLOOKUP(A148,[1]PP!$A:$W,5,FALSE),"&gt;"),IF(AND(COUNTIF(K148:O148,"")&lt;5,J148="",I148=""),CONCATENATE("Doplň: ",$I$4),IF(AND(YEAR(I148)&lt;&gt;$E$2,COUNTIF(I148,"")=0),CONCATENATE("špatně uveden &lt;",$D$2,"&gt; nebo &lt;",$I$4,"&gt;"),IF(OR(AND(OR(COUNTIF(C148,"*a"),COUNTIF(C148,"*ie"),COUNTIF(C148,"*ine"),COUNTIF(D148,"*Á")),F148="muž"),AND(AND(COUNTIF(C148,"&lt;&gt;"&amp;"*a"),COUNTIF(C148,"&lt;&gt;"&amp;"*ie"),COUNTIF(C148,"&lt;&gt;"&amp;"*ine"),COUNTIF(D148,"&lt;&gt;"&amp;"*Á")),F148="žena")),CONCATENATE(C148," ",D148," je ",F148,"?"),""))))))),IF(COUNTIF(B148:O148,"")=14,"",CONCATENATE("Doplň: ",IF(B148="",CONCATENATE($B$4,IF(COUNTIF(C148:G148,"")=0,"",", ")),""),IF(C148="",CONCATENATE($C$4,IF(COUNTIF(D148:G148,"")=0,"",", ")),""),IF(D148="",CONCATENATE($D$4,IF(COUNTIF(E148:G148,"")=0,"",", ")),""),IF(E148="",CONCATENATE($E$4,IF(COUNTIF(F148:G148,"")=0,"",", ")),""),IF(F148="",CONCATENATE($F$4,IF(G148="",", ","")),""),IF(G148="",$G$4,""))))</f>
        <v/>
      </c>
      <c r="AA148" s="30"/>
    </row>
    <row r="149" spans="1:27" ht="16" x14ac:dyDescent="0.35">
      <c r="A149" s="14" t="str">
        <f t="shared" si="8"/>
        <v xml:space="preserve">  </v>
      </c>
      <c r="B149" s="15"/>
      <c r="C149" s="31"/>
      <c r="D149" s="31"/>
      <c r="E149" s="17"/>
      <c r="F149" s="18"/>
      <c r="G149" s="32"/>
      <c r="H149" s="33" t="str">
        <f>IF(G149="","",IF(F149="žena",ROMAN(MATCH(G149+1,'[1]Normy VP'!$Y$27:$Y$33,-1)),ROMAN(MATCH(G149+1,'[1]Normy VP'!$Y$19:$Y$25,-1))))</f>
        <v/>
      </c>
      <c r="I149" s="21"/>
      <c r="J149" s="22"/>
      <c r="K149" s="23"/>
      <c r="L149" s="23"/>
      <c r="M149" s="23"/>
      <c r="N149" s="22"/>
      <c r="O149" s="22"/>
      <c r="P149" s="24" t="str">
        <f>IF(OR($J149="",$J149="odešel"),IF(K149="","",IF($F149="žena",CHOOSE(_xlfn.ARABIC($H149),MATCH(K149+1,'[1]Normy VP'!$C$25:$F$25,-1),MATCH(K149+1,'[1]Normy VP'!$C$26:$F$26,-1),MATCH(K149+1,'[1]Normy VP'!$C$27:$F$27,-1),MATCH(K149+1,'[1]Normy VP'!$C$28:$F$28,-1),MATCH(K149+1,'[1]Normy VP'!$C$29:$F$29,-1),"muž"),CHOOSE(_xlfn.ARABIC($H149),MATCH(K149+1,'[1]Normy VP'!$C$10:$F$10,-1),MATCH(K149+1,'[1]Normy VP'!$C$11:$F$11,-1),MATCH(K149+1,'[1]Normy VP'!$C$12:$F$12,-1),MATCH(K149+1,'[1]Normy VP'!$C$13:$F$13,-1),MATCH(K149+1,'[1]Normy VP'!$C$14:$F$14,-1),""))),"O")</f>
        <v/>
      </c>
      <c r="Q149" s="24" t="str">
        <f>IF(OR($J149="",$J149="odešel"),IF($F149="žena","",IF(L149="","",(CHOOSE(_xlfn.ARABIC($H149),MATCH(L149+1,'[1]Normy VP'!$G$10:$J$10,-1),MATCH(L149+1,'[1]Normy VP'!$G$11:$J$11,-1),MATCH(L149+1,'[1]Normy VP'!$G$12:$J$12,-1),MATCH(L149+1,'[1]Normy VP'!$G$13:$J$13,-1),MATCH(L149+1,'[1]Normy VP'!$G$14:$J$14,-1),"")))),"O")</f>
        <v/>
      </c>
      <c r="R149" s="34" t="str">
        <f t="shared" si="9"/>
        <v>N</v>
      </c>
      <c r="S149" s="24" t="str">
        <f>IF(OR($J149="",$J149="odešel"),IF(M149="","N",IF($F149="žena",CHOOSE(_xlfn.ARABIC($H149),MATCH(M149+1,'[1]Normy VP'!$G$25:$J$25,-1),MATCH(M149+1,'[1]Normy VP'!$G$26:$J$26,-1),MATCH(M149+1,'[1]Normy VP'!$G$27:$J$27,-1),MATCH(M149+1,'[1]Normy VP'!$G$28:$J$28,-1),MATCH(M149+1,'[1]Normy VP'!$G$29:$J$29,-1),"muž"),(CHOOSE(_xlfn.ARABIC($H149),MATCH(M149+1,'[1]Normy VP'!$K$10:$N$10,-1),MATCH(M149+1,'[1]Normy VP'!$K$11:$N$11,-1),MATCH(M149+1,'[1]Normy VP'!$K$12:$N$12,-1),MATCH(M149+1,'[1]Normy VP'!$K$13:$N$13,-1),MATCH(M149+1,'[1]Normy VP'!$K$14:$N$14,-1),"")))),"O")</f>
        <v>N</v>
      </c>
      <c r="T149" s="34" t="str">
        <f t="shared" si="10"/>
        <v>N</v>
      </c>
      <c r="U149" s="24" t="str">
        <f>IF(OR($J149="",$J149="odešel"),IF(N149="","N",IF($F149="žena",CHOOSE(_xlfn.ARABIC($H149),MATCH(N149+1,'[1]Normy VP'!$K$25:$N$25,-1),MATCH(N149+1,'[1]Normy VP'!$K$26:$N$26,-1),MATCH(N149+1,'[1]Normy VP'!$K$27:$N$27,-1),MATCH(N149+1,'[1]Normy VP'!$K$28:$N$28,-1),MATCH(N149+1,'[1]Normy VP'!$K$29:$N$29,-1),MATCH(N149+1,'[1]Normy VP'!$K$30:$N$30,-1)),CHOOSE(_xlfn.ARABIC($H149),MATCH(N149+1,'[1]Normy VP'!$O$10:$R$10,-1),MATCH(N149+1,'[1]Normy VP'!$O$11:$R$11,-1),MATCH(N149+1,'[1]Normy VP'!$O$12:$R$12,-1),MATCH(N149+1,'[1]Normy VP'!$O$13:$R$13,-1),MATCH(N149+1,'[1]Normy VP'!$O$14:$R$14,-1),MATCH(N149+1,'[1]Normy VP'!$O$15:$R$15,-1)))),"O")</f>
        <v>N</v>
      </c>
      <c r="V149" s="26" t="str">
        <f>IF(OR($J149="",$J149="odešel"),IF(O149="","N",IF($F149="žena",CHOOSE(_xlfn.ARABIC($H149),MATCH(O149-1,'[1]Normy VP'!$O$25:$R$25),MATCH(O149-1,'[1]Normy VP'!$O$26:$R$26),MATCH(O149-1,'[1]Normy VP'!$O$27:$R$27),MATCH(O149-1,'[1]Normy VP'!$O$28:$R$28),MATCH(O149-1,'[1]Normy VP'!$O$29:$R$29),MATCH(O149-1,'[1]Normy VP'!$O$30:$R$30)),CHOOSE(_xlfn.ARABIC($H149),MATCH(O149-1,'[1]Normy VP'!$S$10:$V$10),MATCH(O149-1,'[1]Normy VP'!$S$11:$V$11),MATCH(O149-1,'[1]Normy VP'!$S$12:$V$12),MATCH(O149-1,'[1]Normy VP'!$S$13:$V$13),MATCH(O149-1,'[1]Normy VP'!$S$14:$V$14),MATCH(O149-1,'[1]Normy VP'!$S$15:$V$15)))),"O")</f>
        <v>N</v>
      </c>
      <c r="W149" s="34" t="str">
        <f t="shared" si="11"/>
        <v>N</v>
      </c>
      <c r="X149" s="27" t="str">
        <f>IF(COUNTIF(B149:G149,"")&gt;0,"",IF(COUNTIF([1]PP!$A:$A,A149)=0,"neni v PP",IF(OR(Y149="odešel",VLOOKUP(A149,[1]PP!$A:$W,22,FALSE)="odešel"),"odešel",IF(OR(Y149="N",VLOOKUP(A149,[1]PP!$A:$W,22,FALSE)="N"),"N",IF(OR(Y149="C",VLOOKUP(A149,[1]PP!$A:$W,22,FALSE)="C"),"C",IF(OR(Y149="DZO",VLOOKUP(A149,[1]PP!$A:$W,22,FALSE)="DZO"),"DZO",IF(OR(Y149="mise",Y149="disp.",Y149="končí",Y149="DSC",VLOOKUP(A149,[1]PP!$A:$W,22,FALSE)="mise",VLOOKUP(A149,[1]PP!$A:$W,22,FALSE)="disp.",VLOOKUP(A149,[1]PP!$A:$W,22,FALSE)="končí",VLOOKUP(A149,[1]PP!$A:$W,22,FALSE)="DSC"),"jiné",IF(OR(Y149=4,VLOOKUP(A149,[1]PP!$A:$W,22,FALSE)=4),4,IF(OR(Y149=3,VLOOKUP(A149,[1]PP!$A:$W,22,FALSE)=3),3,IF(OR(Y149=2,VLOOKUP(A149,[1]PP!$A:$W,22,FALSE)=2),2,IF(AND(Y149=1,VLOOKUP(A149,[1]PP!$A:$W,22,FALSE)=1),1)))))))))))</f>
        <v/>
      </c>
      <c r="Y149" s="28" t="str">
        <f>IF(COUNTIF(B149:G149,"")&gt;0,"",IF(COUNTIF([1]PP!$A:$A,A149)=0,"neni v PP",IF(VLOOKUP(A149,[1]PP!$A:$W,8,FALSE)="odešel","odešel",IF(F149="","",IF(J149="",IF(OR(T149=4,W149=4),4,IF(AND(T149="N",W149="N"),"N",IF(OR(T149="N",W149="N"),4,ROUND(AVERAGE(T149,W149),0)))),J149)))))</f>
        <v/>
      </c>
      <c r="Z149" s="29" t="str">
        <f>IF(COUNTIF(B149:G149,"")=0,IF(X149="neni v PP",CONCATENATE("ID: &lt;",A149,"&gt; se neshoduje s žádným IDem v kartě PP"),IF(COUNTIF($A:$A,A149)&gt;1,CONCATENATE("ID: &lt;",A149,"&gt; se v kartě VP opakuje. Je nutné tyto IDy od sebe odlišit, např. mezerou za příjmením."),IF(COUNTIF([1]PP!A:A,A149)&gt;1,CONCATENATE("ID: &lt;",A149,"&gt; se v kartě PP opakuje. Je nutné tyto IDy od sebe odlišit, např. mezerou za příjmením."),IF(VLOOKUP(A149,[1]PP!$A:$W,5,FALSE)&lt;&gt;E149,CONCATENATE($E$4," &lt;",E149,"&gt; se neshoduje s jednotkou v kartě PP"," &lt;",VLOOKUP(A149,[1]PP!$A:$W,5,FALSE),"&gt;"),IF(AND(COUNTIF(K149:O149,"")&lt;5,J149="",I149=""),CONCATENATE("Doplň: ",$I$4),IF(AND(YEAR(I149)&lt;&gt;$E$2,COUNTIF(I149,"")=0),CONCATENATE("špatně uveden &lt;",$D$2,"&gt; nebo &lt;",$I$4,"&gt;"),IF(OR(AND(OR(COUNTIF(C149,"*a"),COUNTIF(C149,"*ie"),COUNTIF(C149,"*ine"),COUNTIF(D149,"*Á")),F149="muž"),AND(AND(COUNTIF(C149,"&lt;&gt;"&amp;"*a"),COUNTIF(C149,"&lt;&gt;"&amp;"*ie"),COUNTIF(C149,"&lt;&gt;"&amp;"*ine"),COUNTIF(D149,"&lt;&gt;"&amp;"*Á")),F149="žena")),CONCATENATE(C149," ",D149," je ",F149,"?"),""))))))),IF(COUNTIF(B149:O149,"")=14,"",CONCATENATE("Doplň: ",IF(B149="",CONCATENATE($B$4,IF(COUNTIF(C149:G149,"")=0,"",", ")),""),IF(C149="",CONCATENATE($C$4,IF(COUNTIF(D149:G149,"")=0,"",", ")),""),IF(D149="",CONCATENATE($D$4,IF(COUNTIF(E149:G149,"")=0,"",", ")),""),IF(E149="",CONCATENATE($E$4,IF(COUNTIF(F149:G149,"")=0,"",", ")),""),IF(F149="",CONCATENATE($F$4,IF(G149="",", ","")),""),IF(G149="",$G$4,""))))</f>
        <v/>
      </c>
      <c r="AA149" s="30"/>
    </row>
    <row r="150" spans="1:27" ht="16" x14ac:dyDescent="0.35">
      <c r="A150" s="14" t="str">
        <f t="shared" si="8"/>
        <v xml:space="preserve">  </v>
      </c>
      <c r="B150" s="15"/>
      <c r="C150" s="31"/>
      <c r="D150" s="31"/>
      <c r="E150" s="17"/>
      <c r="F150" s="18"/>
      <c r="G150" s="32"/>
      <c r="H150" s="33" t="str">
        <f>IF(G150="","",IF(F150="žena",ROMAN(MATCH(G150+1,'[1]Normy VP'!$Y$27:$Y$33,-1)),ROMAN(MATCH(G150+1,'[1]Normy VP'!$Y$19:$Y$25,-1))))</f>
        <v/>
      </c>
      <c r="I150" s="21"/>
      <c r="J150" s="22"/>
      <c r="K150" s="23"/>
      <c r="L150" s="23"/>
      <c r="M150" s="23"/>
      <c r="N150" s="22"/>
      <c r="O150" s="22"/>
      <c r="P150" s="24" t="str">
        <f>IF(OR($J150="",$J150="odešel"),IF(K150="","",IF($F150="žena",CHOOSE(_xlfn.ARABIC($H150),MATCH(K150+1,'[1]Normy VP'!$C$25:$F$25,-1),MATCH(K150+1,'[1]Normy VP'!$C$26:$F$26,-1),MATCH(K150+1,'[1]Normy VP'!$C$27:$F$27,-1),MATCH(K150+1,'[1]Normy VP'!$C$28:$F$28,-1),MATCH(K150+1,'[1]Normy VP'!$C$29:$F$29,-1),"muž"),CHOOSE(_xlfn.ARABIC($H150),MATCH(K150+1,'[1]Normy VP'!$C$10:$F$10,-1),MATCH(K150+1,'[1]Normy VP'!$C$11:$F$11,-1),MATCH(K150+1,'[1]Normy VP'!$C$12:$F$12,-1),MATCH(K150+1,'[1]Normy VP'!$C$13:$F$13,-1),MATCH(K150+1,'[1]Normy VP'!$C$14:$F$14,-1),""))),"O")</f>
        <v/>
      </c>
      <c r="Q150" s="24" t="str">
        <f>IF(OR($J150="",$J150="odešel"),IF($F150="žena","",IF(L150="","",(CHOOSE(_xlfn.ARABIC($H150),MATCH(L150+1,'[1]Normy VP'!$G$10:$J$10,-1),MATCH(L150+1,'[1]Normy VP'!$G$11:$J$11,-1),MATCH(L150+1,'[1]Normy VP'!$G$12:$J$12,-1),MATCH(L150+1,'[1]Normy VP'!$G$13:$J$13,-1),MATCH(L150+1,'[1]Normy VP'!$G$14:$J$14,-1),"")))),"O")</f>
        <v/>
      </c>
      <c r="R150" s="34" t="str">
        <f t="shared" si="9"/>
        <v>N</v>
      </c>
      <c r="S150" s="24" t="str">
        <f>IF(OR($J150="",$J150="odešel"),IF(M150="","N",IF($F150="žena",CHOOSE(_xlfn.ARABIC($H150),MATCH(M150+1,'[1]Normy VP'!$G$25:$J$25,-1),MATCH(M150+1,'[1]Normy VP'!$G$26:$J$26,-1),MATCH(M150+1,'[1]Normy VP'!$G$27:$J$27,-1),MATCH(M150+1,'[1]Normy VP'!$G$28:$J$28,-1),MATCH(M150+1,'[1]Normy VP'!$G$29:$J$29,-1),"muž"),(CHOOSE(_xlfn.ARABIC($H150),MATCH(M150+1,'[1]Normy VP'!$K$10:$N$10,-1),MATCH(M150+1,'[1]Normy VP'!$K$11:$N$11,-1),MATCH(M150+1,'[1]Normy VP'!$K$12:$N$12,-1),MATCH(M150+1,'[1]Normy VP'!$K$13:$N$13,-1),MATCH(M150+1,'[1]Normy VP'!$K$14:$N$14,-1),"")))),"O")</f>
        <v>N</v>
      </c>
      <c r="T150" s="34" t="str">
        <f t="shared" si="10"/>
        <v>N</v>
      </c>
      <c r="U150" s="24" t="str">
        <f>IF(OR($J150="",$J150="odešel"),IF(N150="","N",IF($F150="žena",CHOOSE(_xlfn.ARABIC($H150),MATCH(N150+1,'[1]Normy VP'!$K$25:$N$25,-1),MATCH(N150+1,'[1]Normy VP'!$K$26:$N$26,-1),MATCH(N150+1,'[1]Normy VP'!$K$27:$N$27,-1),MATCH(N150+1,'[1]Normy VP'!$K$28:$N$28,-1),MATCH(N150+1,'[1]Normy VP'!$K$29:$N$29,-1),MATCH(N150+1,'[1]Normy VP'!$K$30:$N$30,-1)),CHOOSE(_xlfn.ARABIC($H150),MATCH(N150+1,'[1]Normy VP'!$O$10:$R$10,-1),MATCH(N150+1,'[1]Normy VP'!$O$11:$R$11,-1),MATCH(N150+1,'[1]Normy VP'!$O$12:$R$12,-1),MATCH(N150+1,'[1]Normy VP'!$O$13:$R$13,-1),MATCH(N150+1,'[1]Normy VP'!$O$14:$R$14,-1),MATCH(N150+1,'[1]Normy VP'!$O$15:$R$15,-1)))),"O")</f>
        <v>N</v>
      </c>
      <c r="V150" s="26" t="str">
        <f>IF(OR($J150="",$J150="odešel"),IF(O150="","N",IF($F150="žena",CHOOSE(_xlfn.ARABIC($H150),MATCH(O150-1,'[1]Normy VP'!$O$25:$R$25),MATCH(O150-1,'[1]Normy VP'!$O$26:$R$26),MATCH(O150-1,'[1]Normy VP'!$O$27:$R$27),MATCH(O150-1,'[1]Normy VP'!$O$28:$R$28),MATCH(O150-1,'[1]Normy VP'!$O$29:$R$29),MATCH(O150-1,'[1]Normy VP'!$O$30:$R$30)),CHOOSE(_xlfn.ARABIC($H150),MATCH(O150-1,'[1]Normy VP'!$S$10:$V$10),MATCH(O150-1,'[1]Normy VP'!$S$11:$V$11),MATCH(O150-1,'[1]Normy VP'!$S$12:$V$12),MATCH(O150-1,'[1]Normy VP'!$S$13:$V$13),MATCH(O150-1,'[1]Normy VP'!$S$14:$V$14),MATCH(O150-1,'[1]Normy VP'!$S$15:$V$15)))),"O")</f>
        <v>N</v>
      </c>
      <c r="W150" s="34" t="str">
        <f t="shared" si="11"/>
        <v>N</v>
      </c>
      <c r="X150" s="27" t="str">
        <f>IF(COUNTIF(B150:G150,"")&gt;0,"",IF(COUNTIF([1]PP!$A:$A,A150)=0,"neni v PP",IF(OR(Y150="odešel",VLOOKUP(A150,[1]PP!$A:$W,22,FALSE)="odešel"),"odešel",IF(OR(Y150="N",VLOOKUP(A150,[1]PP!$A:$W,22,FALSE)="N"),"N",IF(OR(Y150="C",VLOOKUP(A150,[1]PP!$A:$W,22,FALSE)="C"),"C",IF(OR(Y150="DZO",VLOOKUP(A150,[1]PP!$A:$W,22,FALSE)="DZO"),"DZO",IF(OR(Y150="mise",Y150="disp.",Y150="končí",Y150="DSC",VLOOKUP(A150,[1]PP!$A:$W,22,FALSE)="mise",VLOOKUP(A150,[1]PP!$A:$W,22,FALSE)="disp.",VLOOKUP(A150,[1]PP!$A:$W,22,FALSE)="končí",VLOOKUP(A150,[1]PP!$A:$W,22,FALSE)="DSC"),"jiné",IF(OR(Y150=4,VLOOKUP(A150,[1]PP!$A:$W,22,FALSE)=4),4,IF(OR(Y150=3,VLOOKUP(A150,[1]PP!$A:$W,22,FALSE)=3),3,IF(OR(Y150=2,VLOOKUP(A150,[1]PP!$A:$W,22,FALSE)=2),2,IF(AND(Y150=1,VLOOKUP(A150,[1]PP!$A:$W,22,FALSE)=1),1)))))))))))</f>
        <v/>
      </c>
      <c r="Y150" s="28" t="str">
        <f>IF(COUNTIF(B150:G150,"")&gt;0,"",IF(COUNTIF([1]PP!$A:$A,A150)=0,"neni v PP",IF(VLOOKUP(A150,[1]PP!$A:$W,8,FALSE)="odešel","odešel",IF(F150="","",IF(J150="",IF(OR(T150=4,W150=4),4,IF(AND(T150="N",W150="N"),"N",IF(OR(T150="N",W150="N"),4,ROUND(AVERAGE(T150,W150),0)))),J150)))))</f>
        <v/>
      </c>
      <c r="Z150" s="29" t="str">
        <f>IF(COUNTIF(B150:G150,"")=0,IF(X150="neni v PP",CONCATENATE("ID: &lt;",A150,"&gt; se neshoduje s žádným IDem v kartě PP"),IF(COUNTIF($A:$A,A150)&gt;1,CONCATENATE("ID: &lt;",A150,"&gt; se v kartě VP opakuje. Je nutné tyto IDy od sebe odlišit, např. mezerou za příjmením."),IF(COUNTIF([1]PP!A:A,A150)&gt;1,CONCATENATE("ID: &lt;",A150,"&gt; se v kartě PP opakuje. Je nutné tyto IDy od sebe odlišit, např. mezerou za příjmením."),IF(VLOOKUP(A150,[1]PP!$A:$W,5,FALSE)&lt;&gt;E150,CONCATENATE($E$4," &lt;",E150,"&gt; se neshoduje s jednotkou v kartě PP"," &lt;",VLOOKUP(A150,[1]PP!$A:$W,5,FALSE),"&gt;"),IF(AND(COUNTIF(K150:O150,"")&lt;5,J150="",I150=""),CONCATENATE("Doplň: ",$I$4),IF(AND(YEAR(I150)&lt;&gt;$E$2,COUNTIF(I150,"")=0),CONCATENATE("špatně uveden &lt;",$D$2,"&gt; nebo &lt;",$I$4,"&gt;"),IF(OR(AND(OR(COUNTIF(C150,"*a"),COUNTIF(C150,"*ie"),COUNTIF(C150,"*ine"),COUNTIF(D150,"*Á")),F150="muž"),AND(AND(COUNTIF(C150,"&lt;&gt;"&amp;"*a"),COUNTIF(C150,"&lt;&gt;"&amp;"*ie"),COUNTIF(C150,"&lt;&gt;"&amp;"*ine"),COUNTIF(D150,"&lt;&gt;"&amp;"*Á")),F150="žena")),CONCATENATE(C150," ",D150," je ",F150,"?"),""))))))),IF(COUNTIF(B150:O150,"")=14,"",CONCATENATE("Doplň: ",IF(B150="",CONCATENATE($B$4,IF(COUNTIF(C150:G150,"")=0,"",", ")),""),IF(C150="",CONCATENATE($C$4,IF(COUNTIF(D150:G150,"")=0,"",", ")),""),IF(D150="",CONCATENATE($D$4,IF(COUNTIF(E150:G150,"")=0,"",", ")),""),IF(E150="",CONCATENATE($E$4,IF(COUNTIF(F150:G150,"")=0,"",", ")),""),IF(F150="",CONCATENATE($F$4,IF(G150="",", ","")),""),IF(G150="",$G$4,""))))</f>
        <v/>
      </c>
      <c r="AA150" s="30"/>
    </row>
    <row r="151" spans="1:27" ht="16" x14ac:dyDescent="0.35">
      <c r="A151" s="14" t="str">
        <f t="shared" si="8"/>
        <v xml:space="preserve">  </v>
      </c>
      <c r="B151" s="15"/>
      <c r="C151" s="31"/>
      <c r="D151" s="31"/>
      <c r="E151" s="17"/>
      <c r="F151" s="18"/>
      <c r="G151" s="32"/>
      <c r="H151" s="33" t="str">
        <f>IF(G151="","",IF(F151="žena",ROMAN(MATCH(G151+1,'[1]Normy VP'!$Y$27:$Y$33,-1)),ROMAN(MATCH(G151+1,'[1]Normy VP'!$Y$19:$Y$25,-1))))</f>
        <v/>
      </c>
      <c r="I151" s="21"/>
      <c r="J151" s="22"/>
      <c r="K151" s="23"/>
      <c r="L151" s="23"/>
      <c r="M151" s="23"/>
      <c r="N151" s="22"/>
      <c r="O151" s="22"/>
      <c r="P151" s="24" t="str">
        <f>IF(OR($J151="",$J151="odešel"),IF(K151="","",IF($F151="žena",CHOOSE(_xlfn.ARABIC($H151),MATCH(K151+1,'[1]Normy VP'!$C$25:$F$25,-1),MATCH(K151+1,'[1]Normy VP'!$C$26:$F$26,-1),MATCH(K151+1,'[1]Normy VP'!$C$27:$F$27,-1),MATCH(K151+1,'[1]Normy VP'!$C$28:$F$28,-1),MATCH(K151+1,'[1]Normy VP'!$C$29:$F$29,-1),"muž"),CHOOSE(_xlfn.ARABIC($H151),MATCH(K151+1,'[1]Normy VP'!$C$10:$F$10,-1),MATCH(K151+1,'[1]Normy VP'!$C$11:$F$11,-1),MATCH(K151+1,'[1]Normy VP'!$C$12:$F$12,-1),MATCH(K151+1,'[1]Normy VP'!$C$13:$F$13,-1),MATCH(K151+1,'[1]Normy VP'!$C$14:$F$14,-1),""))),"O")</f>
        <v/>
      </c>
      <c r="Q151" s="24" t="str">
        <f>IF(OR($J151="",$J151="odešel"),IF($F151="žena","",IF(L151="","",(CHOOSE(_xlfn.ARABIC($H151),MATCH(L151+1,'[1]Normy VP'!$G$10:$J$10,-1),MATCH(L151+1,'[1]Normy VP'!$G$11:$J$11,-1),MATCH(L151+1,'[1]Normy VP'!$G$12:$J$12,-1),MATCH(L151+1,'[1]Normy VP'!$G$13:$J$13,-1),MATCH(L151+1,'[1]Normy VP'!$G$14:$J$14,-1),"")))),"O")</f>
        <v/>
      </c>
      <c r="R151" s="34" t="str">
        <f t="shared" si="9"/>
        <v>N</v>
      </c>
      <c r="S151" s="24" t="str">
        <f>IF(OR($J151="",$J151="odešel"),IF(M151="","N",IF($F151="žena",CHOOSE(_xlfn.ARABIC($H151),MATCH(M151+1,'[1]Normy VP'!$G$25:$J$25,-1),MATCH(M151+1,'[1]Normy VP'!$G$26:$J$26,-1),MATCH(M151+1,'[1]Normy VP'!$G$27:$J$27,-1),MATCH(M151+1,'[1]Normy VP'!$G$28:$J$28,-1),MATCH(M151+1,'[1]Normy VP'!$G$29:$J$29,-1),"muž"),(CHOOSE(_xlfn.ARABIC($H151),MATCH(M151+1,'[1]Normy VP'!$K$10:$N$10,-1),MATCH(M151+1,'[1]Normy VP'!$K$11:$N$11,-1),MATCH(M151+1,'[1]Normy VP'!$K$12:$N$12,-1),MATCH(M151+1,'[1]Normy VP'!$K$13:$N$13,-1),MATCH(M151+1,'[1]Normy VP'!$K$14:$N$14,-1),"")))),"O")</f>
        <v>N</v>
      </c>
      <c r="T151" s="34" t="str">
        <f t="shared" si="10"/>
        <v>N</v>
      </c>
      <c r="U151" s="24" t="str">
        <f>IF(OR($J151="",$J151="odešel"),IF(N151="","N",IF($F151="žena",CHOOSE(_xlfn.ARABIC($H151),MATCH(N151+1,'[1]Normy VP'!$K$25:$N$25,-1),MATCH(N151+1,'[1]Normy VP'!$K$26:$N$26,-1),MATCH(N151+1,'[1]Normy VP'!$K$27:$N$27,-1),MATCH(N151+1,'[1]Normy VP'!$K$28:$N$28,-1),MATCH(N151+1,'[1]Normy VP'!$K$29:$N$29,-1),MATCH(N151+1,'[1]Normy VP'!$K$30:$N$30,-1)),CHOOSE(_xlfn.ARABIC($H151),MATCH(N151+1,'[1]Normy VP'!$O$10:$R$10,-1),MATCH(N151+1,'[1]Normy VP'!$O$11:$R$11,-1),MATCH(N151+1,'[1]Normy VP'!$O$12:$R$12,-1),MATCH(N151+1,'[1]Normy VP'!$O$13:$R$13,-1),MATCH(N151+1,'[1]Normy VP'!$O$14:$R$14,-1),MATCH(N151+1,'[1]Normy VP'!$O$15:$R$15,-1)))),"O")</f>
        <v>N</v>
      </c>
      <c r="V151" s="26" t="str">
        <f>IF(OR($J151="",$J151="odešel"),IF(O151="","N",IF($F151="žena",CHOOSE(_xlfn.ARABIC($H151),MATCH(O151-1,'[1]Normy VP'!$O$25:$R$25),MATCH(O151-1,'[1]Normy VP'!$O$26:$R$26),MATCH(O151-1,'[1]Normy VP'!$O$27:$R$27),MATCH(O151-1,'[1]Normy VP'!$O$28:$R$28),MATCH(O151-1,'[1]Normy VP'!$O$29:$R$29),MATCH(O151-1,'[1]Normy VP'!$O$30:$R$30)),CHOOSE(_xlfn.ARABIC($H151),MATCH(O151-1,'[1]Normy VP'!$S$10:$V$10),MATCH(O151-1,'[1]Normy VP'!$S$11:$V$11),MATCH(O151-1,'[1]Normy VP'!$S$12:$V$12),MATCH(O151-1,'[1]Normy VP'!$S$13:$V$13),MATCH(O151-1,'[1]Normy VP'!$S$14:$V$14),MATCH(O151-1,'[1]Normy VP'!$S$15:$V$15)))),"O")</f>
        <v>N</v>
      </c>
      <c r="W151" s="34" t="str">
        <f t="shared" si="11"/>
        <v>N</v>
      </c>
      <c r="X151" s="27" t="str">
        <f>IF(COUNTIF(B151:G151,"")&gt;0,"",IF(COUNTIF([1]PP!$A:$A,A151)=0,"neni v PP",IF(OR(Y151="odešel",VLOOKUP(A151,[1]PP!$A:$W,22,FALSE)="odešel"),"odešel",IF(OR(Y151="N",VLOOKUP(A151,[1]PP!$A:$W,22,FALSE)="N"),"N",IF(OR(Y151="C",VLOOKUP(A151,[1]PP!$A:$W,22,FALSE)="C"),"C",IF(OR(Y151="DZO",VLOOKUP(A151,[1]PP!$A:$W,22,FALSE)="DZO"),"DZO",IF(OR(Y151="mise",Y151="disp.",Y151="končí",Y151="DSC",VLOOKUP(A151,[1]PP!$A:$W,22,FALSE)="mise",VLOOKUP(A151,[1]PP!$A:$W,22,FALSE)="disp.",VLOOKUP(A151,[1]PP!$A:$W,22,FALSE)="končí",VLOOKUP(A151,[1]PP!$A:$W,22,FALSE)="DSC"),"jiné",IF(OR(Y151=4,VLOOKUP(A151,[1]PP!$A:$W,22,FALSE)=4),4,IF(OR(Y151=3,VLOOKUP(A151,[1]PP!$A:$W,22,FALSE)=3),3,IF(OR(Y151=2,VLOOKUP(A151,[1]PP!$A:$W,22,FALSE)=2),2,IF(AND(Y151=1,VLOOKUP(A151,[1]PP!$A:$W,22,FALSE)=1),1)))))))))))</f>
        <v/>
      </c>
      <c r="Y151" s="28" t="str">
        <f>IF(COUNTIF(B151:G151,"")&gt;0,"",IF(COUNTIF([1]PP!$A:$A,A151)=0,"neni v PP",IF(VLOOKUP(A151,[1]PP!$A:$W,8,FALSE)="odešel","odešel",IF(F151="","",IF(J151="",IF(OR(T151=4,W151=4),4,IF(AND(T151="N",W151="N"),"N",IF(OR(T151="N",W151="N"),4,ROUND(AVERAGE(T151,W151),0)))),J151)))))</f>
        <v/>
      </c>
      <c r="Z151" s="29" t="str">
        <f>IF(COUNTIF(B151:G151,"")=0,IF(X151="neni v PP",CONCATENATE("ID: &lt;",A151,"&gt; se neshoduje s žádným IDem v kartě PP"),IF(COUNTIF($A:$A,A151)&gt;1,CONCATENATE("ID: &lt;",A151,"&gt; se v kartě VP opakuje. Je nutné tyto IDy od sebe odlišit, např. mezerou za příjmením."),IF(COUNTIF([1]PP!A:A,A151)&gt;1,CONCATENATE("ID: &lt;",A151,"&gt; se v kartě PP opakuje. Je nutné tyto IDy od sebe odlišit, např. mezerou za příjmením."),IF(VLOOKUP(A151,[1]PP!$A:$W,5,FALSE)&lt;&gt;E151,CONCATENATE($E$4," &lt;",E151,"&gt; se neshoduje s jednotkou v kartě PP"," &lt;",VLOOKUP(A151,[1]PP!$A:$W,5,FALSE),"&gt;"),IF(AND(COUNTIF(K151:O151,"")&lt;5,J151="",I151=""),CONCATENATE("Doplň: ",$I$4),IF(AND(YEAR(I151)&lt;&gt;$E$2,COUNTIF(I151,"")=0),CONCATENATE("špatně uveden &lt;",$D$2,"&gt; nebo &lt;",$I$4,"&gt;"),IF(OR(AND(OR(COUNTIF(C151,"*a"),COUNTIF(C151,"*ie"),COUNTIF(C151,"*ine"),COUNTIF(D151,"*Á")),F151="muž"),AND(AND(COUNTIF(C151,"&lt;&gt;"&amp;"*a"),COUNTIF(C151,"&lt;&gt;"&amp;"*ie"),COUNTIF(C151,"&lt;&gt;"&amp;"*ine"),COUNTIF(D151,"&lt;&gt;"&amp;"*Á")),F151="žena")),CONCATENATE(C151," ",D151," je ",F151,"?"),""))))))),IF(COUNTIF(B151:O151,"")=14,"",CONCATENATE("Doplň: ",IF(B151="",CONCATENATE($B$4,IF(COUNTIF(C151:G151,"")=0,"",", ")),""),IF(C151="",CONCATENATE($C$4,IF(COUNTIF(D151:G151,"")=0,"",", ")),""),IF(D151="",CONCATENATE($D$4,IF(COUNTIF(E151:G151,"")=0,"",", ")),""),IF(E151="",CONCATENATE($E$4,IF(COUNTIF(F151:G151,"")=0,"",", ")),""),IF(F151="",CONCATENATE($F$4,IF(G151="",", ","")),""),IF(G151="",$G$4,""))))</f>
        <v/>
      </c>
      <c r="AA151" s="30"/>
    </row>
    <row r="152" spans="1:27" ht="16" x14ac:dyDescent="0.35">
      <c r="A152" s="14" t="str">
        <f t="shared" si="8"/>
        <v xml:space="preserve">  </v>
      </c>
      <c r="B152" s="15"/>
      <c r="C152" s="31"/>
      <c r="D152" s="31"/>
      <c r="E152" s="17"/>
      <c r="F152" s="18"/>
      <c r="G152" s="32"/>
      <c r="H152" s="33" t="str">
        <f>IF(G152="","",IF(F152="žena",ROMAN(MATCH(G152+1,'[1]Normy VP'!$Y$27:$Y$33,-1)),ROMAN(MATCH(G152+1,'[1]Normy VP'!$Y$19:$Y$25,-1))))</f>
        <v/>
      </c>
      <c r="I152" s="21"/>
      <c r="J152" s="22"/>
      <c r="K152" s="23"/>
      <c r="L152" s="23"/>
      <c r="M152" s="23"/>
      <c r="N152" s="22"/>
      <c r="O152" s="22"/>
      <c r="P152" s="24" t="str">
        <f>IF(OR($J152="",$J152="odešel"),IF(K152="","",IF($F152="žena",CHOOSE(_xlfn.ARABIC($H152),MATCH(K152+1,'[1]Normy VP'!$C$25:$F$25,-1),MATCH(K152+1,'[1]Normy VP'!$C$26:$F$26,-1),MATCH(K152+1,'[1]Normy VP'!$C$27:$F$27,-1),MATCH(K152+1,'[1]Normy VP'!$C$28:$F$28,-1),MATCH(K152+1,'[1]Normy VP'!$C$29:$F$29,-1),"muž"),CHOOSE(_xlfn.ARABIC($H152),MATCH(K152+1,'[1]Normy VP'!$C$10:$F$10,-1),MATCH(K152+1,'[1]Normy VP'!$C$11:$F$11,-1),MATCH(K152+1,'[1]Normy VP'!$C$12:$F$12,-1),MATCH(K152+1,'[1]Normy VP'!$C$13:$F$13,-1),MATCH(K152+1,'[1]Normy VP'!$C$14:$F$14,-1),""))),"O")</f>
        <v/>
      </c>
      <c r="Q152" s="24" t="str">
        <f>IF(OR($J152="",$J152="odešel"),IF($F152="žena","",IF(L152="","",(CHOOSE(_xlfn.ARABIC($H152),MATCH(L152+1,'[1]Normy VP'!$G$10:$J$10,-1),MATCH(L152+1,'[1]Normy VP'!$G$11:$J$11,-1),MATCH(L152+1,'[1]Normy VP'!$G$12:$J$12,-1),MATCH(L152+1,'[1]Normy VP'!$G$13:$J$13,-1),MATCH(L152+1,'[1]Normy VP'!$G$14:$J$14,-1),"")))),"O")</f>
        <v/>
      </c>
      <c r="R152" s="34" t="str">
        <f t="shared" si="9"/>
        <v>N</v>
      </c>
      <c r="S152" s="24" t="str">
        <f>IF(OR($J152="",$J152="odešel"),IF(M152="","N",IF($F152="žena",CHOOSE(_xlfn.ARABIC($H152),MATCH(M152+1,'[1]Normy VP'!$G$25:$J$25,-1),MATCH(M152+1,'[1]Normy VP'!$G$26:$J$26,-1),MATCH(M152+1,'[1]Normy VP'!$G$27:$J$27,-1),MATCH(M152+1,'[1]Normy VP'!$G$28:$J$28,-1),MATCH(M152+1,'[1]Normy VP'!$G$29:$J$29,-1),"muž"),(CHOOSE(_xlfn.ARABIC($H152),MATCH(M152+1,'[1]Normy VP'!$K$10:$N$10,-1),MATCH(M152+1,'[1]Normy VP'!$K$11:$N$11,-1),MATCH(M152+1,'[1]Normy VP'!$K$12:$N$12,-1),MATCH(M152+1,'[1]Normy VP'!$K$13:$N$13,-1),MATCH(M152+1,'[1]Normy VP'!$K$14:$N$14,-1),"")))),"O")</f>
        <v>N</v>
      </c>
      <c r="T152" s="34" t="str">
        <f t="shared" si="10"/>
        <v>N</v>
      </c>
      <c r="U152" s="24" t="str">
        <f>IF(OR($J152="",$J152="odešel"),IF(N152="","N",IF($F152="žena",CHOOSE(_xlfn.ARABIC($H152),MATCH(N152+1,'[1]Normy VP'!$K$25:$N$25,-1),MATCH(N152+1,'[1]Normy VP'!$K$26:$N$26,-1),MATCH(N152+1,'[1]Normy VP'!$K$27:$N$27,-1),MATCH(N152+1,'[1]Normy VP'!$K$28:$N$28,-1),MATCH(N152+1,'[1]Normy VP'!$K$29:$N$29,-1),MATCH(N152+1,'[1]Normy VP'!$K$30:$N$30,-1)),CHOOSE(_xlfn.ARABIC($H152),MATCH(N152+1,'[1]Normy VP'!$O$10:$R$10,-1),MATCH(N152+1,'[1]Normy VP'!$O$11:$R$11,-1),MATCH(N152+1,'[1]Normy VP'!$O$12:$R$12,-1),MATCH(N152+1,'[1]Normy VP'!$O$13:$R$13,-1),MATCH(N152+1,'[1]Normy VP'!$O$14:$R$14,-1),MATCH(N152+1,'[1]Normy VP'!$O$15:$R$15,-1)))),"O")</f>
        <v>N</v>
      </c>
      <c r="V152" s="26" t="str">
        <f>IF(OR($J152="",$J152="odešel"),IF(O152="","N",IF($F152="žena",CHOOSE(_xlfn.ARABIC($H152),MATCH(O152-1,'[1]Normy VP'!$O$25:$R$25),MATCH(O152-1,'[1]Normy VP'!$O$26:$R$26),MATCH(O152-1,'[1]Normy VP'!$O$27:$R$27),MATCH(O152-1,'[1]Normy VP'!$O$28:$R$28),MATCH(O152-1,'[1]Normy VP'!$O$29:$R$29),MATCH(O152-1,'[1]Normy VP'!$O$30:$R$30)),CHOOSE(_xlfn.ARABIC($H152),MATCH(O152-1,'[1]Normy VP'!$S$10:$V$10),MATCH(O152-1,'[1]Normy VP'!$S$11:$V$11),MATCH(O152-1,'[1]Normy VP'!$S$12:$V$12),MATCH(O152-1,'[1]Normy VP'!$S$13:$V$13),MATCH(O152-1,'[1]Normy VP'!$S$14:$V$14),MATCH(O152-1,'[1]Normy VP'!$S$15:$V$15)))),"O")</f>
        <v>N</v>
      </c>
      <c r="W152" s="34" t="str">
        <f t="shared" si="11"/>
        <v>N</v>
      </c>
      <c r="X152" s="27" t="str">
        <f>IF(COUNTIF(B152:G152,"")&gt;0,"",IF(COUNTIF([1]PP!$A:$A,A152)=0,"neni v PP",IF(OR(Y152="odešel",VLOOKUP(A152,[1]PP!$A:$W,22,FALSE)="odešel"),"odešel",IF(OR(Y152="N",VLOOKUP(A152,[1]PP!$A:$W,22,FALSE)="N"),"N",IF(OR(Y152="C",VLOOKUP(A152,[1]PP!$A:$W,22,FALSE)="C"),"C",IF(OR(Y152="DZO",VLOOKUP(A152,[1]PP!$A:$W,22,FALSE)="DZO"),"DZO",IF(OR(Y152="mise",Y152="disp.",Y152="končí",Y152="DSC",VLOOKUP(A152,[1]PP!$A:$W,22,FALSE)="mise",VLOOKUP(A152,[1]PP!$A:$W,22,FALSE)="disp.",VLOOKUP(A152,[1]PP!$A:$W,22,FALSE)="končí",VLOOKUP(A152,[1]PP!$A:$W,22,FALSE)="DSC"),"jiné",IF(OR(Y152=4,VLOOKUP(A152,[1]PP!$A:$W,22,FALSE)=4),4,IF(OR(Y152=3,VLOOKUP(A152,[1]PP!$A:$W,22,FALSE)=3),3,IF(OR(Y152=2,VLOOKUP(A152,[1]PP!$A:$W,22,FALSE)=2),2,IF(AND(Y152=1,VLOOKUP(A152,[1]PP!$A:$W,22,FALSE)=1),1)))))))))))</f>
        <v/>
      </c>
      <c r="Y152" s="28" t="str">
        <f>IF(COUNTIF(B152:G152,"")&gt;0,"",IF(COUNTIF([1]PP!$A:$A,A152)=0,"neni v PP",IF(VLOOKUP(A152,[1]PP!$A:$W,8,FALSE)="odešel","odešel",IF(F152="","",IF(J152="",IF(OR(T152=4,W152=4),4,IF(AND(T152="N",W152="N"),"N",IF(OR(T152="N",W152="N"),4,ROUND(AVERAGE(T152,W152),0)))),J152)))))</f>
        <v/>
      </c>
      <c r="Z152" s="29" t="str">
        <f>IF(COUNTIF(B152:G152,"")=0,IF(X152="neni v PP",CONCATENATE("ID: &lt;",A152,"&gt; se neshoduje s žádným IDem v kartě PP"),IF(COUNTIF($A:$A,A152)&gt;1,CONCATENATE("ID: &lt;",A152,"&gt; se v kartě VP opakuje. Je nutné tyto IDy od sebe odlišit, např. mezerou za příjmením."),IF(COUNTIF([1]PP!A:A,A152)&gt;1,CONCATENATE("ID: &lt;",A152,"&gt; se v kartě PP opakuje. Je nutné tyto IDy od sebe odlišit, např. mezerou za příjmením."),IF(VLOOKUP(A152,[1]PP!$A:$W,5,FALSE)&lt;&gt;E152,CONCATENATE($E$4," &lt;",E152,"&gt; se neshoduje s jednotkou v kartě PP"," &lt;",VLOOKUP(A152,[1]PP!$A:$W,5,FALSE),"&gt;"),IF(AND(COUNTIF(K152:O152,"")&lt;5,J152="",I152=""),CONCATENATE("Doplň: ",$I$4),IF(AND(YEAR(I152)&lt;&gt;$E$2,COUNTIF(I152,"")=0),CONCATENATE("špatně uveden &lt;",$D$2,"&gt; nebo &lt;",$I$4,"&gt;"),IF(OR(AND(OR(COUNTIF(C152,"*a"),COUNTIF(C152,"*ie"),COUNTIF(C152,"*ine"),COUNTIF(D152,"*Á")),F152="muž"),AND(AND(COUNTIF(C152,"&lt;&gt;"&amp;"*a"),COUNTIF(C152,"&lt;&gt;"&amp;"*ie"),COUNTIF(C152,"&lt;&gt;"&amp;"*ine"),COUNTIF(D152,"&lt;&gt;"&amp;"*Á")),F152="žena")),CONCATENATE(C152," ",D152," je ",F152,"?"),""))))))),IF(COUNTIF(B152:O152,"")=14,"",CONCATENATE("Doplň: ",IF(B152="",CONCATENATE($B$4,IF(COUNTIF(C152:G152,"")=0,"",", ")),""),IF(C152="",CONCATENATE($C$4,IF(COUNTIF(D152:G152,"")=0,"",", ")),""),IF(D152="",CONCATENATE($D$4,IF(COUNTIF(E152:G152,"")=0,"",", ")),""),IF(E152="",CONCATENATE($E$4,IF(COUNTIF(F152:G152,"")=0,"",", ")),""),IF(F152="",CONCATENATE($F$4,IF(G152="",", ","")),""),IF(G152="",$G$4,""))))</f>
        <v/>
      </c>
      <c r="AA152" s="30"/>
    </row>
    <row r="153" spans="1:27" ht="16" x14ac:dyDescent="0.35">
      <c r="A153" s="14" t="str">
        <f t="shared" si="8"/>
        <v xml:space="preserve">  </v>
      </c>
      <c r="B153" s="15"/>
      <c r="C153" s="31"/>
      <c r="D153" s="31"/>
      <c r="E153" s="17"/>
      <c r="F153" s="18"/>
      <c r="G153" s="32"/>
      <c r="H153" s="33" t="str">
        <f>IF(G153="","",IF(F153="žena",ROMAN(MATCH(G153+1,'[1]Normy VP'!$Y$27:$Y$33,-1)),ROMAN(MATCH(G153+1,'[1]Normy VP'!$Y$19:$Y$25,-1))))</f>
        <v/>
      </c>
      <c r="I153" s="21"/>
      <c r="J153" s="22"/>
      <c r="K153" s="23"/>
      <c r="L153" s="23"/>
      <c r="M153" s="23"/>
      <c r="N153" s="22"/>
      <c r="O153" s="22"/>
      <c r="P153" s="24" t="str">
        <f>IF(OR($J153="",$J153="odešel"),IF(K153="","",IF($F153="žena",CHOOSE(_xlfn.ARABIC($H153),MATCH(K153+1,'[1]Normy VP'!$C$25:$F$25,-1),MATCH(K153+1,'[1]Normy VP'!$C$26:$F$26,-1),MATCH(K153+1,'[1]Normy VP'!$C$27:$F$27,-1),MATCH(K153+1,'[1]Normy VP'!$C$28:$F$28,-1),MATCH(K153+1,'[1]Normy VP'!$C$29:$F$29,-1),"muž"),CHOOSE(_xlfn.ARABIC($H153),MATCH(K153+1,'[1]Normy VP'!$C$10:$F$10,-1),MATCH(K153+1,'[1]Normy VP'!$C$11:$F$11,-1),MATCH(K153+1,'[1]Normy VP'!$C$12:$F$12,-1),MATCH(K153+1,'[1]Normy VP'!$C$13:$F$13,-1),MATCH(K153+1,'[1]Normy VP'!$C$14:$F$14,-1),""))),"O")</f>
        <v/>
      </c>
      <c r="Q153" s="24" t="str">
        <f>IF(OR($J153="",$J153="odešel"),IF($F153="žena","",IF(L153="","",(CHOOSE(_xlfn.ARABIC($H153),MATCH(L153+1,'[1]Normy VP'!$G$10:$J$10,-1),MATCH(L153+1,'[1]Normy VP'!$G$11:$J$11,-1),MATCH(L153+1,'[1]Normy VP'!$G$12:$J$12,-1),MATCH(L153+1,'[1]Normy VP'!$G$13:$J$13,-1),MATCH(L153+1,'[1]Normy VP'!$G$14:$J$14,-1),"")))),"O")</f>
        <v/>
      </c>
      <c r="R153" s="34" t="str">
        <f t="shared" si="9"/>
        <v>N</v>
      </c>
      <c r="S153" s="24" t="str">
        <f>IF(OR($J153="",$J153="odešel"),IF(M153="","N",IF($F153="žena",CHOOSE(_xlfn.ARABIC($H153),MATCH(M153+1,'[1]Normy VP'!$G$25:$J$25,-1),MATCH(M153+1,'[1]Normy VP'!$G$26:$J$26,-1),MATCH(M153+1,'[1]Normy VP'!$G$27:$J$27,-1),MATCH(M153+1,'[1]Normy VP'!$G$28:$J$28,-1),MATCH(M153+1,'[1]Normy VP'!$G$29:$J$29,-1),"muž"),(CHOOSE(_xlfn.ARABIC($H153),MATCH(M153+1,'[1]Normy VP'!$K$10:$N$10,-1),MATCH(M153+1,'[1]Normy VP'!$K$11:$N$11,-1),MATCH(M153+1,'[1]Normy VP'!$K$12:$N$12,-1),MATCH(M153+1,'[1]Normy VP'!$K$13:$N$13,-1),MATCH(M153+1,'[1]Normy VP'!$K$14:$N$14,-1),"")))),"O")</f>
        <v>N</v>
      </c>
      <c r="T153" s="34" t="str">
        <f t="shared" si="10"/>
        <v>N</v>
      </c>
      <c r="U153" s="24" t="str">
        <f>IF(OR($J153="",$J153="odešel"),IF(N153="","N",IF($F153="žena",CHOOSE(_xlfn.ARABIC($H153),MATCH(N153+1,'[1]Normy VP'!$K$25:$N$25,-1),MATCH(N153+1,'[1]Normy VP'!$K$26:$N$26,-1),MATCH(N153+1,'[1]Normy VP'!$K$27:$N$27,-1),MATCH(N153+1,'[1]Normy VP'!$K$28:$N$28,-1),MATCH(N153+1,'[1]Normy VP'!$K$29:$N$29,-1),MATCH(N153+1,'[1]Normy VP'!$K$30:$N$30,-1)),CHOOSE(_xlfn.ARABIC($H153),MATCH(N153+1,'[1]Normy VP'!$O$10:$R$10,-1),MATCH(N153+1,'[1]Normy VP'!$O$11:$R$11,-1),MATCH(N153+1,'[1]Normy VP'!$O$12:$R$12,-1),MATCH(N153+1,'[1]Normy VP'!$O$13:$R$13,-1),MATCH(N153+1,'[1]Normy VP'!$O$14:$R$14,-1),MATCH(N153+1,'[1]Normy VP'!$O$15:$R$15,-1)))),"O")</f>
        <v>N</v>
      </c>
      <c r="V153" s="26" t="str">
        <f>IF(OR($J153="",$J153="odešel"),IF(O153="","N",IF($F153="žena",CHOOSE(_xlfn.ARABIC($H153),MATCH(O153-1,'[1]Normy VP'!$O$25:$R$25),MATCH(O153-1,'[1]Normy VP'!$O$26:$R$26),MATCH(O153-1,'[1]Normy VP'!$O$27:$R$27),MATCH(O153-1,'[1]Normy VP'!$O$28:$R$28),MATCH(O153-1,'[1]Normy VP'!$O$29:$R$29),MATCH(O153-1,'[1]Normy VP'!$O$30:$R$30)),CHOOSE(_xlfn.ARABIC($H153),MATCH(O153-1,'[1]Normy VP'!$S$10:$V$10),MATCH(O153-1,'[1]Normy VP'!$S$11:$V$11),MATCH(O153-1,'[1]Normy VP'!$S$12:$V$12),MATCH(O153-1,'[1]Normy VP'!$S$13:$V$13),MATCH(O153-1,'[1]Normy VP'!$S$14:$V$14),MATCH(O153-1,'[1]Normy VP'!$S$15:$V$15)))),"O")</f>
        <v>N</v>
      </c>
      <c r="W153" s="34" t="str">
        <f t="shared" si="11"/>
        <v>N</v>
      </c>
      <c r="X153" s="27" t="str">
        <f>IF(COUNTIF(B153:G153,"")&gt;0,"",IF(COUNTIF([1]PP!$A:$A,A153)=0,"neni v PP",IF(OR(Y153="odešel",VLOOKUP(A153,[1]PP!$A:$W,22,FALSE)="odešel"),"odešel",IF(OR(Y153="N",VLOOKUP(A153,[1]PP!$A:$W,22,FALSE)="N"),"N",IF(OR(Y153="C",VLOOKUP(A153,[1]PP!$A:$W,22,FALSE)="C"),"C",IF(OR(Y153="DZO",VLOOKUP(A153,[1]PP!$A:$W,22,FALSE)="DZO"),"DZO",IF(OR(Y153="mise",Y153="disp.",Y153="končí",Y153="DSC",VLOOKUP(A153,[1]PP!$A:$W,22,FALSE)="mise",VLOOKUP(A153,[1]PP!$A:$W,22,FALSE)="disp.",VLOOKUP(A153,[1]PP!$A:$W,22,FALSE)="končí",VLOOKUP(A153,[1]PP!$A:$W,22,FALSE)="DSC"),"jiné",IF(OR(Y153=4,VLOOKUP(A153,[1]PP!$A:$W,22,FALSE)=4),4,IF(OR(Y153=3,VLOOKUP(A153,[1]PP!$A:$W,22,FALSE)=3),3,IF(OR(Y153=2,VLOOKUP(A153,[1]PP!$A:$W,22,FALSE)=2),2,IF(AND(Y153=1,VLOOKUP(A153,[1]PP!$A:$W,22,FALSE)=1),1)))))))))))</f>
        <v/>
      </c>
      <c r="Y153" s="28" t="str">
        <f>IF(COUNTIF(B153:G153,"")&gt;0,"",IF(COUNTIF([1]PP!$A:$A,A153)=0,"neni v PP",IF(VLOOKUP(A153,[1]PP!$A:$W,8,FALSE)="odešel","odešel",IF(F153="","",IF(J153="",IF(OR(T153=4,W153=4),4,IF(AND(T153="N",W153="N"),"N",IF(OR(T153="N",W153="N"),4,ROUND(AVERAGE(T153,W153),0)))),J153)))))</f>
        <v/>
      </c>
      <c r="Z153" s="29"/>
      <c r="AA153" s="30"/>
    </row>
    <row r="154" spans="1:27" ht="16" x14ac:dyDescent="0.35">
      <c r="A154" s="14" t="str">
        <f t="shared" si="8"/>
        <v xml:space="preserve">  </v>
      </c>
      <c r="B154" s="15"/>
      <c r="C154" s="31"/>
      <c r="D154" s="31"/>
      <c r="E154" s="17"/>
      <c r="F154" s="18"/>
      <c r="G154" s="32"/>
      <c r="H154" s="33" t="str">
        <f>IF(G154="","",IF(F154="žena",ROMAN(MATCH(G154+1,'[1]Normy VP'!$Y$27:$Y$33,-1)),ROMAN(MATCH(G154+1,'[1]Normy VP'!$Y$19:$Y$25,-1))))</f>
        <v/>
      </c>
      <c r="I154" s="21"/>
      <c r="J154" s="22"/>
      <c r="K154" s="23"/>
      <c r="L154" s="23"/>
      <c r="M154" s="23"/>
      <c r="N154" s="22"/>
      <c r="O154" s="22"/>
      <c r="P154" s="24" t="str">
        <f>IF(OR($J154="",$J154="odešel"),IF(K154="","",IF($F154="žena",CHOOSE(_xlfn.ARABIC($H154),MATCH(K154+1,'[1]Normy VP'!$C$25:$F$25,-1),MATCH(K154+1,'[1]Normy VP'!$C$26:$F$26,-1),MATCH(K154+1,'[1]Normy VP'!$C$27:$F$27,-1),MATCH(K154+1,'[1]Normy VP'!$C$28:$F$28,-1),MATCH(K154+1,'[1]Normy VP'!$C$29:$F$29,-1),"muž"),CHOOSE(_xlfn.ARABIC($H154),MATCH(K154+1,'[1]Normy VP'!$C$10:$F$10,-1),MATCH(K154+1,'[1]Normy VP'!$C$11:$F$11,-1),MATCH(K154+1,'[1]Normy VP'!$C$12:$F$12,-1),MATCH(K154+1,'[1]Normy VP'!$C$13:$F$13,-1),MATCH(K154+1,'[1]Normy VP'!$C$14:$F$14,-1),""))),"O")</f>
        <v/>
      </c>
      <c r="Q154" s="24" t="str">
        <f>IF(OR($J154="",$J154="odešel"),IF($F154="žena","",IF(L154="","",(CHOOSE(_xlfn.ARABIC($H154),MATCH(L154+1,'[1]Normy VP'!$G$10:$J$10,-1),MATCH(L154+1,'[1]Normy VP'!$G$11:$J$11,-1),MATCH(L154+1,'[1]Normy VP'!$G$12:$J$12,-1),MATCH(L154+1,'[1]Normy VP'!$G$13:$J$13,-1),MATCH(L154+1,'[1]Normy VP'!$G$14:$J$14,-1),"")))),"O")</f>
        <v/>
      </c>
      <c r="R154" s="34" t="str">
        <f t="shared" si="9"/>
        <v>N</v>
      </c>
      <c r="S154" s="24" t="str">
        <f>IF(OR($J154="",$J154="odešel"),IF(M154="","N",IF($F154="žena",CHOOSE(_xlfn.ARABIC($H154),MATCH(M154+1,'[1]Normy VP'!$G$25:$J$25,-1),MATCH(M154+1,'[1]Normy VP'!$G$26:$J$26,-1),MATCH(M154+1,'[1]Normy VP'!$G$27:$J$27,-1),MATCH(M154+1,'[1]Normy VP'!$G$28:$J$28,-1),MATCH(M154+1,'[1]Normy VP'!$G$29:$J$29,-1),"muž"),(CHOOSE(_xlfn.ARABIC($H154),MATCH(M154+1,'[1]Normy VP'!$K$10:$N$10,-1),MATCH(M154+1,'[1]Normy VP'!$K$11:$N$11,-1),MATCH(M154+1,'[1]Normy VP'!$K$12:$N$12,-1),MATCH(M154+1,'[1]Normy VP'!$K$13:$N$13,-1),MATCH(M154+1,'[1]Normy VP'!$K$14:$N$14,-1),"")))),"O")</f>
        <v>N</v>
      </c>
      <c r="T154" s="34" t="str">
        <f t="shared" si="10"/>
        <v>N</v>
      </c>
      <c r="U154" s="24" t="str">
        <f>IF(OR($J154="",$J154="odešel"),IF(N154="","N",IF($F154="žena",CHOOSE(_xlfn.ARABIC($H154),MATCH(N154+1,'[1]Normy VP'!$K$25:$N$25,-1),MATCH(N154+1,'[1]Normy VP'!$K$26:$N$26,-1),MATCH(N154+1,'[1]Normy VP'!$K$27:$N$27,-1),MATCH(N154+1,'[1]Normy VP'!$K$28:$N$28,-1),MATCH(N154+1,'[1]Normy VP'!$K$29:$N$29,-1),MATCH(N154+1,'[1]Normy VP'!$K$30:$N$30,-1)),CHOOSE(_xlfn.ARABIC($H154),MATCH(N154+1,'[1]Normy VP'!$O$10:$R$10,-1),MATCH(N154+1,'[1]Normy VP'!$O$11:$R$11,-1),MATCH(N154+1,'[1]Normy VP'!$O$12:$R$12,-1),MATCH(N154+1,'[1]Normy VP'!$O$13:$R$13,-1),MATCH(N154+1,'[1]Normy VP'!$O$14:$R$14,-1),MATCH(N154+1,'[1]Normy VP'!$O$15:$R$15,-1)))),"O")</f>
        <v>N</v>
      </c>
      <c r="V154" s="26" t="str">
        <f>IF(OR($J154="",$J154="odešel"),IF(O154="","N",IF($F154="žena",CHOOSE(_xlfn.ARABIC($H154),MATCH(O154-1,'[1]Normy VP'!$O$25:$R$25),MATCH(O154-1,'[1]Normy VP'!$O$26:$R$26),MATCH(O154-1,'[1]Normy VP'!$O$27:$R$27),MATCH(O154-1,'[1]Normy VP'!$O$28:$R$28),MATCH(O154-1,'[1]Normy VP'!$O$29:$R$29),MATCH(O154-1,'[1]Normy VP'!$O$30:$R$30)),CHOOSE(_xlfn.ARABIC($H154),MATCH(O154-1,'[1]Normy VP'!$S$10:$V$10),MATCH(O154-1,'[1]Normy VP'!$S$11:$V$11),MATCH(O154-1,'[1]Normy VP'!$S$12:$V$12),MATCH(O154-1,'[1]Normy VP'!$S$13:$V$13),MATCH(O154-1,'[1]Normy VP'!$S$14:$V$14),MATCH(O154-1,'[1]Normy VP'!$S$15:$V$15)))),"O")</f>
        <v>N</v>
      </c>
      <c r="W154" s="34" t="str">
        <f t="shared" si="11"/>
        <v>N</v>
      </c>
      <c r="X154" s="27" t="str">
        <f>IF(COUNTIF(B154:G154,"")&gt;0,"",IF(COUNTIF([1]PP!$A:$A,A154)=0,"neni v PP",IF(OR(Y154="odešel",VLOOKUP(A154,[1]PP!$A:$W,22,FALSE)="odešel"),"odešel",IF(OR(Y154="N",VLOOKUP(A154,[1]PP!$A:$W,22,FALSE)="N"),"N",IF(OR(Y154="C",VLOOKUP(A154,[1]PP!$A:$W,22,FALSE)="C"),"C",IF(OR(Y154="DZO",VLOOKUP(A154,[1]PP!$A:$W,22,FALSE)="DZO"),"DZO",IF(OR(Y154="mise",Y154="disp.",Y154="končí",Y154="DSC",VLOOKUP(A154,[1]PP!$A:$W,22,FALSE)="mise",VLOOKUP(A154,[1]PP!$A:$W,22,FALSE)="disp.",VLOOKUP(A154,[1]PP!$A:$W,22,FALSE)="končí",VLOOKUP(A154,[1]PP!$A:$W,22,FALSE)="DSC"),"jiné",IF(OR(Y154=4,VLOOKUP(A154,[1]PP!$A:$W,22,FALSE)=4),4,IF(OR(Y154=3,VLOOKUP(A154,[1]PP!$A:$W,22,FALSE)=3),3,IF(OR(Y154=2,VLOOKUP(A154,[1]PP!$A:$W,22,FALSE)=2),2,IF(AND(Y154=1,VLOOKUP(A154,[1]PP!$A:$W,22,FALSE)=1),1)))))))))))</f>
        <v/>
      </c>
      <c r="Y154" s="28" t="str">
        <f>IF(COUNTIF(B154:G154,"")&gt;0,"",IF(COUNTIF([1]PP!$A:$A,A154)=0,"neni v PP",IF(VLOOKUP(A154,[1]PP!$A:$W,8,FALSE)="odešel","odešel",IF(F154="","",IF(J154="",IF(OR(T154=4,W154=4),4,IF(AND(T154="N",W154="N"),"N",IF(OR(T154="N",W154="N"),4,ROUND(AVERAGE(T154,W154),0)))),J154)))))</f>
        <v/>
      </c>
      <c r="Z154" s="29" t="str">
        <f>IF(COUNTIF(B154:G154,"")=0,IF(X154="neni v PP",CONCATENATE("ID: &lt;",A154,"&gt; se neshoduje s žádným IDem v kartě PP"),IF(COUNTIF($A:$A,A154)&gt;1,CONCATENATE("ID: &lt;",A154,"&gt; se v kartě VP opakuje. Je nutné tyto IDy od sebe odlišit, např. mezerou za příjmením."),IF(COUNTIF([1]PP!A:A,A154)&gt;1,CONCATENATE("ID: &lt;",A154,"&gt; se v kartě PP opakuje. Je nutné tyto IDy od sebe odlišit, např. mezerou za příjmením."),IF(VLOOKUP(A154,[1]PP!$A:$W,5,FALSE)&lt;&gt;E154,CONCATENATE($E$4," &lt;",E154,"&gt; se neshoduje s jednotkou v kartě PP"," &lt;",VLOOKUP(A154,[1]PP!$A:$W,5,FALSE),"&gt;"),IF(AND(COUNTIF(K154:O154,"")&lt;5,J154="",I154=""),CONCATENATE("Doplň: ",$I$4),IF(AND(YEAR(I154)&lt;&gt;$E$2,COUNTIF(I154,"")=0),CONCATENATE("špatně uveden &lt;",$D$2,"&gt; nebo &lt;",$I$4,"&gt;"),IF(OR(AND(OR(COUNTIF(C154,"*a"),COUNTIF(C154,"*ie"),COUNTIF(C154,"*ine"),COUNTIF(D154,"*Á")),F154="muž"),AND(AND(COUNTIF(C154,"&lt;&gt;"&amp;"*a"),COUNTIF(C154,"&lt;&gt;"&amp;"*ie"),COUNTIF(C154,"&lt;&gt;"&amp;"*ine"),COUNTIF(D154,"&lt;&gt;"&amp;"*Á")),F154="žena")),CONCATENATE(C154," ",D154," je ",F154,"?"),""))))))),IF(COUNTIF(B154:O154,"")=14,"",CONCATENATE("Doplň: ",IF(B154="",CONCATENATE($B$4,IF(COUNTIF(C154:G154,"")=0,"",", ")),""),IF(C154="",CONCATENATE($C$4,IF(COUNTIF(D154:G154,"")=0,"",", ")),""),IF(D154="",CONCATENATE($D$4,IF(COUNTIF(E154:G154,"")=0,"",", ")),""),IF(E154="",CONCATENATE($E$4,IF(COUNTIF(F154:G154,"")=0,"",", ")),""),IF(F154="",CONCATENATE($F$4,IF(G154="",", ","")),""),IF(G154="",$G$4,""))))</f>
        <v/>
      </c>
      <c r="AA154" s="30"/>
    </row>
    <row r="155" spans="1:27" ht="16" x14ac:dyDescent="0.35">
      <c r="A155" s="14" t="str">
        <f t="shared" si="8"/>
        <v xml:space="preserve">  </v>
      </c>
      <c r="B155" s="15"/>
      <c r="C155" s="31"/>
      <c r="D155" s="31"/>
      <c r="E155" s="17"/>
      <c r="F155" s="18"/>
      <c r="G155" s="32"/>
      <c r="H155" s="33" t="str">
        <f>IF(G155="","",IF(F155="žena",ROMAN(MATCH(G155+1,'[1]Normy VP'!$Y$27:$Y$33,-1)),ROMAN(MATCH(G155+1,'[1]Normy VP'!$Y$19:$Y$25,-1))))</f>
        <v/>
      </c>
      <c r="I155" s="21"/>
      <c r="J155" s="22"/>
      <c r="K155" s="23"/>
      <c r="L155" s="23"/>
      <c r="M155" s="23"/>
      <c r="N155" s="22"/>
      <c r="O155" s="22"/>
      <c r="P155" s="24" t="str">
        <f>IF(OR($J155="",$J155="odešel"),IF(K155="","",IF($F155="žena",CHOOSE(_xlfn.ARABIC($H155),MATCH(K155+1,'[1]Normy VP'!$C$25:$F$25,-1),MATCH(K155+1,'[1]Normy VP'!$C$26:$F$26,-1),MATCH(K155+1,'[1]Normy VP'!$C$27:$F$27,-1),MATCH(K155+1,'[1]Normy VP'!$C$28:$F$28,-1),MATCH(K155+1,'[1]Normy VP'!$C$29:$F$29,-1),"muž"),CHOOSE(_xlfn.ARABIC($H155),MATCH(K155+1,'[1]Normy VP'!$C$10:$F$10,-1),MATCH(K155+1,'[1]Normy VP'!$C$11:$F$11,-1),MATCH(K155+1,'[1]Normy VP'!$C$12:$F$12,-1),MATCH(K155+1,'[1]Normy VP'!$C$13:$F$13,-1),MATCH(K155+1,'[1]Normy VP'!$C$14:$F$14,-1),""))),"O")</f>
        <v/>
      </c>
      <c r="Q155" s="24" t="str">
        <f>IF(OR($J155="",$J155="odešel"),IF($F155="žena","",IF(L155="","",(CHOOSE(_xlfn.ARABIC($H155),MATCH(L155+1,'[1]Normy VP'!$G$10:$J$10,-1),MATCH(L155+1,'[1]Normy VP'!$G$11:$J$11,-1),MATCH(L155+1,'[1]Normy VP'!$G$12:$J$12,-1),MATCH(L155+1,'[1]Normy VP'!$G$13:$J$13,-1),MATCH(L155+1,'[1]Normy VP'!$G$14:$J$14,-1),"")))),"O")</f>
        <v/>
      </c>
      <c r="R155" s="34" t="str">
        <f t="shared" si="9"/>
        <v>N</v>
      </c>
      <c r="S155" s="24" t="str">
        <f>IF(OR($J155="",$J155="odešel"),IF(M155="","N",IF($F155="žena",CHOOSE(_xlfn.ARABIC($H155),MATCH(M155+1,'[1]Normy VP'!$G$25:$J$25,-1),MATCH(M155+1,'[1]Normy VP'!$G$26:$J$26,-1),MATCH(M155+1,'[1]Normy VP'!$G$27:$J$27,-1),MATCH(M155+1,'[1]Normy VP'!$G$28:$J$28,-1),MATCH(M155+1,'[1]Normy VP'!$G$29:$J$29,-1),"muž"),(CHOOSE(_xlfn.ARABIC($H155),MATCH(M155+1,'[1]Normy VP'!$K$10:$N$10,-1),MATCH(M155+1,'[1]Normy VP'!$K$11:$N$11,-1),MATCH(M155+1,'[1]Normy VP'!$K$12:$N$12,-1),MATCH(M155+1,'[1]Normy VP'!$K$13:$N$13,-1),MATCH(M155+1,'[1]Normy VP'!$K$14:$N$14,-1),"")))),"O")</f>
        <v>N</v>
      </c>
      <c r="T155" s="34" t="str">
        <f t="shared" si="10"/>
        <v>N</v>
      </c>
      <c r="U155" s="24" t="str">
        <f>IF(OR($J155="",$J155="odešel"),IF(N155="","N",IF($F155="žena",CHOOSE(_xlfn.ARABIC($H155),MATCH(N155+1,'[1]Normy VP'!$K$25:$N$25,-1),MATCH(N155+1,'[1]Normy VP'!$K$26:$N$26,-1),MATCH(N155+1,'[1]Normy VP'!$K$27:$N$27,-1),MATCH(N155+1,'[1]Normy VP'!$K$28:$N$28,-1),MATCH(N155+1,'[1]Normy VP'!$K$29:$N$29,-1),MATCH(N155+1,'[1]Normy VP'!$K$30:$N$30,-1)),CHOOSE(_xlfn.ARABIC($H155),MATCH(N155+1,'[1]Normy VP'!$O$10:$R$10,-1),MATCH(N155+1,'[1]Normy VP'!$O$11:$R$11,-1),MATCH(N155+1,'[1]Normy VP'!$O$12:$R$12,-1),MATCH(N155+1,'[1]Normy VP'!$O$13:$R$13,-1),MATCH(N155+1,'[1]Normy VP'!$O$14:$R$14,-1),MATCH(N155+1,'[1]Normy VP'!$O$15:$R$15,-1)))),"O")</f>
        <v>N</v>
      </c>
      <c r="V155" s="26" t="str">
        <f>IF(OR($J155="",$J155="odešel"),IF(O155="","N",IF($F155="žena",CHOOSE(_xlfn.ARABIC($H155),MATCH(O155-1,'[1]Normy VP'!$O$25:$R$25),MATCH(O155-1,'[1]Normy VP'!$O$26:$R$26),MATCH(O155-1,'[1]Normy VP'!$O$27:$R$27),MATCH(O155-1,'[1]Normy VP'!$O$28:$R$28),MATCH(O155-1,'[1]Normy VP'!$O$29:$R$29),MATCH(O155-1,'[1]Normy VP'!$O$30:$R$30)),CHOOSE(_xlfn.ARABIC($H155),MATCH(O155-1,'[1]Normy VP'!$S$10:$V$10),MATCH(O155-1,'[1]Normy VP'!$S$11:$V$11),MATCH(O155-1,'[1]Normy VP'!$S$12:$V$12),MATCH(O155-1,'[1]Normy VP'!$S$13:$V$13),MATCH(O155-1,'[1]Normy VP'!$S$14:$V$14),MATCH(O155-1,'[1]Normy VP'!$S$15:$V$15)))),"O")</f>
        <v>N</v>
      </c>
      <c r="W155" s="34" t="str">
        <f t="shared" si="11"/>
        <v>N</v>
      </c>
      <c r="X155" s="27" t="str">
        <f>IF(COUNTIF(B155:G155,"")&gt;0,"",IF(COUNTIF([1]PP!$A:$A,A155)=0,"neni v PP",IF(OR(Y155="odešel",VLOOKUP(A155,[1]PP!$A:$W,22,FALSE)="odešel"),"odešel",IF(OR(Y155="N",VLOOKUP(A155,[1]PP!$A:$W,22,FALSE)="N"),"N",IF(OR(Y155="C",VLOOKUP(A155,[1]PP!$A:$W,22,FALSE)="C"),"C",IF(OR(Y155="DZO",VLOOKUP(A155,[1]PP!$A:$W,22,FALSE)="DZO"),"DZO",IF(OR(Y155="mise",Y155="disp.",Y155="končí",Y155="DSC",VLOOKUP(A155,[1]PP!$A:$W,22,FALSE)="mise",VLOOKUP(A155,[1]PP!$A:$W,22,FALSE)="disp.",VLOOKUP(A155,[1]PP!$A:$W,22,FALSE)="končí",VLOOKUP(A155,[1]PP!$A:$W,22,FALSE)="DSC"),"jiné",IF(OR(Y155=4,VLOOKUP(A155,[1]PP!$A:$W,22,FALSE)=4),4,IF(OR(Y155=3,VLOOKUP(A155,[1]PP!$A:$W,22,FALSE)=3),3,IF(OR(Y155=2,VLOOKUP(A155,[1]PP!$A:$W,22,FALSE)=2),2,IF(AND(Y155=1,VLOOKUP(A155,[1]PP!$A:$W,22,FALSE)=1),1)))))))))))</f>
        <v/>
      </c>
      <c r="Y155" s="28" t="str">
        <f>IF(COUNTIF(B155:G155,"")&gt;0,"",IF(COUNTIF([1]PP!$A:$A,A155)=0,"neni v PP",IF(VLOOKUP(A155,[1]PP!$A:$W,8,FALSE)="odešel","odešel",IF(F155="","",IF(J155="",IF(OR(T155=4,W155=4),4,IF(AND(T155="N",W155="N"),"N",IF(OR(T155="N",W155="N"),4,ROUND(AVERAGE(T155,W155),0)))),J155)))))</f>
        <v/>
      </c>
      <c r="Z155" s="29" t="str">
        <f>IF(COUNTIF(B155:G155,"")=0,IF(X155="neni v PP",CONCATENATE("ID: &lt;",A155,"&gt; se neshoduje s žádným IDem v kartě PP"),IF(COUNTIF($A:$A,A155)&gt;1,CONCATENATE("ID: &lt;",A155,"&gt; se v kartě VP opakuje. Je nutné tyto IDy od sebe odlišit, např. mezerou za příjmením."),IF(COUNTIF([1]PP!A:A,A155)&gt;1,CONCATENATE("ID: &lt;",A155,"&gt; se v kartě PP opakuje. Je nutné tyto IDy od sebe odlišit, např. mezerou za příjmením."),IF(VLOOKUP(A155,[1]PP!$A:$W,5,FALSE)&lt;&gt;E155,CONCATENATE($E$4," &lt;",E155,"&gt; se neshoduje s jednotkou v kartě PP"," &lt;",VLOOKUP(A155,[1]PP!$A:$W,5,FALSE),"&gt;"),IF(AND(COUNTIF(K155:O155,"")&lt;5,J155="",I155=""),CONCATENATE("Doplň: ",$I$4),IF(AND(YEAR(I155)&lt;&gt;$E$2,COUNTIF(I155,"")=0),CONCATENATE("špatně uveden &lt;",$D$2,"&gt; nebo &lt;",$I$4,"&gt;"),IF(OR(AND(OR(COUNTIF(C155,"*a"),COUNTIF(C155,"*ie"),COUNTIF(C155,"*ine"),COUNTIF(D155,"*Á")),F155="muž"),AND(AND(COUNTIF(C155,"&lt;&gt;"&amp;"*a"),COUNTIF(C155,"&lt;&gt;"&amp;"*ie"),COUNTIF(C155,"&lt;&gt;"&amp;"*ine"),COUNTIF(D155,"&lt;&gt;"&amp;"*Á")),F155="žena")),CONCATENATE(C155," ",D155," je ",F155,"?"),""))))))),IF(COUNTIF(B155:O155,"")=14,"",CONCATENATE("Doplň: ",IF(B155="",CONCATENATE($B$4,IF(COUNTIF(C155:G155,"")=0,"",", ")),""),IF(C155="",CONCATENATE($C$4,IF(COUNTIF(D155:G155,"")=0,"",", ")),""),IF(D155="",CONCATENATE($D$4,IF(COUNTIF(E155:G155,"")=0,"",", ")),""),IF(E155="",CONCATENATE($E$4,IF(COUNTIF(F155:G155,"")=0,"",", ")),""),IF(F155="",CONCATENATE($F$4,IF(G155="",", ","")),""),IF(G155="",$G$4,""))))</f>
        <v/>
      </c>
      <c r="AA155" s="30"/>
    </row>
    <row r="156" spans="1:27" ht="16" x14ac:dyDescent="0.35">
      <c r="A156" s="14" t="str">
        <f t="shared" si="8"/>
        <v xml:space="preserve">  </v>
      </c>
      <c r="B156" s="15"/>
      <c r="C156" s="31"/>
      <c r="D156" s="31"/>
      <c r="E156" s="17"/>
      <c r="F156" s="18"/>
      <c r="G156" s="32"/>
      <c r="H156" s="33" t="str">
        <f>IF(G156="","",IF(F156="žena",ROMAN(MATCH(G156+1,'[1]Normy VP'!$Y$27:$Y$33,-1)),ROMAN(MATCH(G156+1,'[1]Normy VP'!$Y$19:$Y$25,-1))))</f>
        <v/>
      </c>
      <c r="I156" s="21"/>
      <c r="J156" s="22"/>
      <c r="K156" s="23"/>
      <c r="L156" s="23"/>
      <c r="M156" s="23"/>
      <c r="N156" s="22"/>
      <c r="O156" s="22"/>
      <c r="P156" s="24" t="str">
        <f>IF(OR($J156="",$J156="odešel"),IF(K156="","",IF($F156="žena",CHOOSE(_xlfn.ARABIC($H156),MATCH(K156+1,'[1]Normy VP'!$C$25:$F$25,-1),MATCH(K156+1,'[1]Normy VP'!$C$26:$F$26,-1),MATCH(K156+1,'[1]Normy VP'!$C$27:$F$27,-1),MATCH(K156+1,'[1]Normy VP'!$C$28:$F$28,-1),MATCH(K156+1,'[1]Normy VP'!$C$29:$F$29,-1),"muž"),CHOOSE(_xlfn.ARABIC($H156),MATCH(K156+1,'[1]Normy VP'!$C$10:$F$10,-1),MATCH(K156+1,'[1]Normy VP'!$C$11:$F$11,-1),MATCH(K156+1,'[1]Normy VP'!$C$12:$F$12,-1),MATCH(K156+1,'[1]Normy VP'!$C$13:$F$13,-1),MATCH(K156+1,'[1]Normy VP'!$C$14:$F$14,-1),""))),"O")</f>
        <v/>
      </c>
      <c r="Q156" s="24" t="str">
        <f>IF(OR($J156="",$J156="odešel"),IF($F156="žena","",IF(L156="","",(CHOOSE(_xlfn.ARABIC($H156),MATCH(L156+1,'[1]Normy VP'!$G$10:$J$10,-1),MATCH(L156+1,'[1]Normy VP'!$G$11:$J$11,-1),MATCH(L156+1,'[1]Normy VP'!$G$12:$J$12,-1),MATCH(L156+1,'[1]Normy VP'!$G$13:$J$13,-1),MATCH(L156+1,'[1]Normy VP'!$G$14:$J$14,-1),"")))),"O")</f>
        <v/>
      </c>
      <c r="R156" s="34" t="str">
        <f t="shared" si="9"/>
        <v>N</v>
      </c>
      <c r="S156" s="24" t="str">
        <f>IF(OR($J156="",$J156="odešel"),IF(M156="","N",IF($F156="žena",CHOOSE(_xlfn.ARABIC($H156),MATCH(M156+1,'[1]Normy VP'!$G$25:$J$25,-1),MATCH(M156+1,'[1]Normy VP'!$G$26:$J$26,-1),MATCH(M156+1,'[1]Normy VP'!$G$27:$J$27,-1),MATCH(M156+1,'[1]Normy VP'!$G$28:$J$28,-1),MATCH(M156+1,'[1]Normy VP'!$G$29:$J$29,-1),"muž"),(CHOOSE(_xlfn.ARABIC($H156),MATCH(M156+1,'[1]Normy VP'!$K$10:$N$10,-1),MATCH(M156+1,'[1]Normy VP'!$K$11:$N$11,-1),MATCH(M156+1,'[1]Normy VP'!$K$12:$N$12,-1),MATCH(M156+1,'[1]Normy VP'!$K$13:$N$13,-1),MATCH(M156+1,'[1]Normy VP'!$K$14:$N$14,-1),"")))),"O")</f>
        <v>N</v>
      </c>
      <c r="T156" s="34" t="str">
        <f t="shared" si="10"/>
        <v>N</v>
      </c>
      <c r="U156" s="24" t="str">
        <f>IF(OR($J156="",$J156="odešel"),IF(N156="","N",IF($F156="žena",CHOOSE(_xlfn.ARABIC($H156),MATCH(N156+1,'[1]Normy VP'!$K$25:$N$25,-1),MATCH(N156+1,'[1]Normy VP'!$K$26:$N$26,-1),MATCH(N156+1,'[1]Normy VP'!$K$27:$N$27,-1),MATCH(N156+1,'[1]Normy VP'!$K$28:$N$28,-1),MATCH(N156+1,'[1]Normy VP'!$K$29:$N$29,-1),MATCH(N156+1,'[1]Normy VP'!$K$30:$N$30,-1)),CHOOSE(_xlfn.ARABIC($H156),MATCH(N156+1,'[1]Normy VP'!$O$10:$R$10,-1),MATCH(N156+1,'[1]Normy VP'!$O$11:$R$11,-1),MATCH(N156+1,'[1]Normy VP'!$O$12:$R$12,-1),MATCH(N156+1,'[1]Normy VP'!$O$13:$R$13,-1),MATCH(N156+1,'[1]Normy VP'!$O$14:$R$14,-1),MATCH(N156+1,'[1]Normy VP'!$O$15:$R$15,-1)))),"O")</f>
        <v>N</v>
      </c>
      <c r="V156" s="26" t="str">
        <f>IF(OR($J156="",$J156="odešel"),IF(O156="","N",IF($F156="žena",CHOOSE(_xlfn.ARABIC($H156),MATCH(O156-1,'[1]Normy VP'!$O$25:$R$25),MATCH(O156-1,'[1]Normy VP'!$O$26:$R$26),MATCH(O156-1,'[1]Normy VP'!$O$27:$R$27),MATCH(O156-1,'[1]Normy VP'!$O$28:$R$28),MATCH(O156-1,'[1]Normy VP'!$O$29:$R$29),MATCH(O156-1,'[1]Normy VP'!$O$30:$R$30)),CHOOSE(_xlfn.ARABIC($H156),MATCH(O156-1,'[1]Normy VP'!$S$10:$V$10),MATCH(O156-1,'[1]Normy VP'!$S$11:$V$11),MATCH(O156-1,'[1]Normy VP'!$S$12:$V$12),MATCH(O156-1,'[1]Normy VP'!$S$13:$V$13),MATCH(O156-1,'[1]Normy VP'!$S$14:$V$14),MATCH(O156-1,'[1]Normy VP'!$S$15:$V$15)))),"O")</f>
        <v>N</v>
      </c>
      <c r="W156" s="34" t="str">
        <f t="shared" si="11"/>
        <v>N</v>
      </c>
      <c r="X156" s="27" t="str">
        <f>IF(COUNTIF(B156:G156,"")&gt;0,"",IF(COUNTIF([1]PP!$A:$A,A156)=0,"neni v PP",IF(OR(Y156="odešel",VLOOKUP(A156,[1]PP!$A:$W,22,FALSE)="odešel"),"odešel",IF(OR(Y156="N",VLOOKUP(A156,[1]PP!$A:$W,22,FALSE)="N"),"N",IF(OR(Y156="C",VLOOKUP(A156,[1]PP!$A:$W,22,FALSE)="C"),"C",IF(OR(Y156="DZO",VLOOKUP(A156,[1]PP!$A:$W,22,FALSE)="DZO"),"DZO",IF(OR(Y156="mise",Y156="disp.",Y156="končí",Y156="DSC",VLOOKUP(A156,[1]PP!$A:$W,22,FALSE)="mise",VLOOKUP(A156,[1]PP!$A:$W,22,FALSE)="disp.",VLOOKUP(A156,[1]PP!$A:$W,22,FALSE)="končí",VLOOKUP(A156,[1]PP!$A:$W,22,FALSE)="DSC"),"jiné",IF(OR(Y156=4,VLOOKUP(A156,[1]PP!$A:$W,22,FALSE)=4),4,IF(OR(Y156=3,VLOOKUP(A156,[1]PP!$A:$W,22,FALSE)=3),3,IF(OR(Y156=2,VLOOKUP(A156,[1]PP!$A:$W,22,FALSE)=2),2,IF(AND(Y156=1,VLOOKUP(A156,[1]PP!$A:$W,22,FALSE)=1),1)))))))))))</f>
        <v/>
      </c>
      <c r="Y156" s="28" t="str">
        <f>IF(COUNTIF(B156:G156,"")&gt;0,"",IF(COUNTIF([1]PP!$A:$A,A156)=0,"neni v PP",IF(VLOOKUP(A156,[1]PP!$A:$W,8,FALSE)="odešel","odešel",IF(F156="","",IF(J156="",IF(OR(T156=4,W156=4),4,IF(AND(T156="N",W156="N"),"N",IF(OR(T156="N",W156="N"),4,ROUND(AVERAGE(T156,W156),0)))),J156)))))</f>
        <v/>
      </c>
      <c r="Z156" s="29" t="str">
        <f>IF(COUNTIF(B156:G156,"")=0,IF(X156="neni v PP",CONCATENATE("ID: &lt;",A156,"&gt; se neshoduje s žádným IDem v kartě PP"),IF(COUNTIF($A:$A,A156)&gt;1,CONCATENATE("ID: &lt;",A156,"&gt; se v kartě VP opakuje. Je nutné tyto IDy od sebe odlišit, např. mezerou za příjmením."),IF(COUNTIF([1]PP!A:A,A156)&gt;1,CONCATENATE("ID: &lt;",A156,"&gt; se v kartě PP opakuje. Je nutné tyto IDy od sebe odlišit, např. mezerou za příjmením."),IF(VLOOKUP(A156,[1]PP!$A:$W,5,FALSE)&lt;&gt;E156,CONCATENATE($E$4," &lt;",E156,"&gt; se neshoduje s jednotkou v kartě PP"," &lt;",VLOOKUP(A156,[1]PP!$A:$W,5,FALSE),"&gt;"),IF(AND(COUNTIF(K156:O156,"")&lt;5,J156="",I156=""),CONCATENATE("Doplň: ",$I$4),IF(AND(YEAR(I156)&lt;&gt;$E$2,COUNTIF(I156,"")=0),CONCATENATE("špatně uveden &lt;",$D$2,"&gt; nebo &lt;",$I$4,"&gt;"),IF(OR(AND(OR(COUNTIF(C156,"*a"),COUNTIF(C156,"*ie"),COUNTIF(C156,"*ine"),COUNTIF(D156,"*Á")),F156="muž"),AND(AND(COUNTIF(C156,"&lt;&gt;"&amp;"*a"),COUNTIF(C156,"&lt;&gt;"&amp;"*ie"),COUNTIF(C156,"&lt;&gt;"&amp;"*ine"),COUNTIF(D156,"&lt;&gt;"&amp;"*Á")),F156="žena")),CONCATENATE(C156," ",D156," je ",F156,"?"),""))))))),IF(COUNTIF(B156:O156,"")=14,"",CONCATENATE("Doplň: ",IF(B156="",CONCATENATE($B$4,IF(COUNTIF(C156:G156,"")=0,"",", ")),""),IF(C156="",CONCATENATE($C$4,IF(COUNTIF(D156:G156,"")=0,"",", ")),""),IF(D156="",CONCATENATE($D$4,IF(COUNTIF(E156:G156,"")=0,"",", ")),""),IF(E156="",CONCATENATE($E$4,IF(COUNTIF(F156:G156,"")=0,"",", ")),""),IF(F156="",CONCATENATE($F$4,IF(G156="",", ","")),""),IF(G156="",$G$4,""))))</f>
        <v/>
      </c>
      <c r="AA156" s="30"/>
    </row>
    <row r="157" spans="1:27" ht="16" x14ac:dyDescent="0.35">
      <c r="A157" s="14" t="str">
        <f t="shared" si="8"/>
        <v xml:space="preserve">  </v>
      </c>
      <c r="B157" s="15"/>
      <c r="C157" s="31"/>
      <c r="D157" s="31"/>
      <c r="E157" s="17"/>
      <c r="F157" s="18"/>
      <c r="G157" s="32"/>
      <c r="H157" s="33" t="str">
        <f>IF(G157="","",IF(F157="žena",ROMAN(MATCH(G157+1,'[1]Normy VP'!$Y$27:$Y$33,-1)),ROMAN(MATCH(G157+1,'[1]Normy VP'!$Y$19:$Y$25,-1))))</f>
        <v/>
      </c>
      <c r="I157" s="21"/>
      <c r="J157" s="22"/>
      <c r="K157" s="23"/>
      <c r="L157" s="23"/>
      <c r="M157" s="23"/>
      <c r="N157" s="22"/>
      <c r="O157" s="22"/>
      <c r="P157" s="24" t="str">
        <f>IF(OR($J157="",$J157="odešel"),IF(K157="","",IF($F157="žena",CHOOSE(_xlfn.ARABIC($H157),MATCH(K157+1,'[1]Normy VP'!$C$25:$F$25,-1),MATCH(K157+1,'[1]Normy VP'!$C$26:$F$26,-1),MATCH(K157+1,'[1]Normy VP'!$C$27:$F$27,-1),MATCH(K157+1,'[1]Normy VP'!$C$28:$F$28,-1),MATCH(K157+1,'[1]Normy VP'!$C$29:$F$29,-1),"muž"),CHOOSE(_xlfn.ARABIC($H157),MATCH(K157+1,'[1]Normy VP'!$C$10:$F$10,-1),MATCH(K157+1,'[1]Normy VP'!$C$11:$F$11,-1),MATCH(K157+1,'[1]Normy VP'!$C$12:$F$12,-1),MATCH(K157+1,'[1]Normy VP'!$C$13:$F$13,-1),MATCH(K157+1,'[1]Normy VP'!$C$14:$F$14,-1),""))),"O")</f>
        <v/>
      </c>
      <c r="Q157" s="24" t="str">
        <f>IF(OR($J157="",$J157="odešel"),IF($F157="žena","",IF(L157="","",(CHOOSE(_xlfn.ARABIC($H157),MATCH(L157+1,'[1]Normy VP'!$G$10:$J$10,-1),MATCH(L157+1,'[1]Normy VP'!$G$11:$J$11,-1),MATCH(L157+1,'[1]Normy VP'!$G$12:$J$12,-1),MATCH(L157+1,'[1]Normy VP'!$G$13:$J$13,-1),MATCH(L157+1,'[1]Normy VP'!$G$14:$J$14,-1),"")))),"O")</f>
        <v/>
      </c>
      <c r="R157" s="34" t="str">
        <f t="shared" si="9"/>
        <v>N</v>
      </c>
      <c r="S157" s="24" t="str">
        <f>IF(OR($J157="",$J157="odešel"),IF(M157="","N",IF($F157="žena",CHOOSE(_xlfn.ARABIC($H157),MATCH(M157+1,'[1]Normy VP'!$G$25:$J$25,-1),MATCH(M157+1,'[1]Normy VP'!$G$26:$J$26,-1),MATCH(M157+1,'[1]Normy VP'!$G$27:$J$27,-1),MATCH(M157+1,'[1]Normy VP'!$G$28:$J$28,-1),MATCH(M157+1,'[1]Normy VP'!$G$29:$J$29,-1),"muž"),(CHOOSE(_xlfn.ARABIC($H157),MATCH(M157+1,'[1]Normy VP'!$K$10:$N$10,-1),MATCH(M157+1,'[1]Normy VP'!$K$11:$N$11,-1),MATCH(M157+1,'[1]Normy VP'!$K$12:$N$12,-1),MATCH(M157+1,'[1]Normy VP'!$K$13:$N$13,-1),MATCH(M157+1,'[1]Normy VP'!$K$14:$N$14,-1),"")))),"O")</f>
        <v>N</v>
      </c>
      <c r="T157" s="34" t="str">
        <f t="shared" si="10"/>
        <v>N</v>
      </c>
      <c r="U157" s="24" t="str">
        <f>IF(OR($J157="",$J157="odešel"),IF(N157="","N",IF($F157="žena",CHOOSE(_xlfn.ARABIC($H157),MATCH(N157+1,'[1]Normy VP'!$K$25:$N$25,-1),MATCH(N157+1,'[1]Normy VP'!$K$26:$N$26,-1),MATCH(N157+1,'[1]Normy VP'!$K$27:$N$27,-1),MATCH(N157+1,'[1]Normy VP'!$K$28:$N$28,-1),MATCH(N157+1,'[1]Normy VP'!$K$29:$N$29,-1),MATCH(N157+1,'[1]Normy VP'!$K$30:$N$30,-1)),CHOOSE(_xlfn.ARABIC($H157),MATCH(N157+1,'[1]Normy VP'!$O$10:$R$10,-1),MATCH(N157+1,'[1]Normy VP'!$O$11:$R$11,-1),MATCH(N157+1,'[1]Normy VP'!$O$12:$R$12,-1),MATCH(N157+1,'[1]Normy VP'!$O$13:$R$13,-1),MATCH(N157+1,'[1]Normy VP'!$O$14:$R$14,-1),MATCH(N157+1,'[1]Normy VP'!$O$15:$R$15,-1)))),"O")</f>
        <v>N</v>
      </c>
      <c r="V157" s="26" t="str">
        <f>IF(OR($J157="",$J157="odešel"),IF(O157="","N",IF($F157="žena",CHOOSE(_xlfn.ARABIC($H157),MATCH(O157-1,'[1]Normy VP'!$O$25:$R$25),MATCH(O157-1,'[1]Normy VP'!$O$26:$R$26),MATCH(O157-1,'[1]Normy VP'!$O$27:$R$27),MATCH(O157-1,'[1]Normy VP'!$O$28:$R$28),MATCH(O157-1,'[1]Normy VP'!$O$29:$R$29),MATCH(O157-1,'[1]Normy VP'!$O$30:$R$30)),CHOOSE(_xlfn.ARABIC($H157),MATCH(O157-1,'[1]Normy VP'!$S$10:$V$10),MATCH(O157-1,'[1]Normy VP'!$S$11:$V$11),MATCH(O157-1,'[1]Normy VP'!$S$12:$V$12),MATCH(O157-1,'[1]Normy VP'!$S$13:$V$13),MATCH(O157-1,'[1]Normy VP'!$S$14:$V$14),MATCH(O157-1,'[1]Normy VP'!$S$15:$V$15)))),"O")</f>
        <v>N</v>
      </c>
      <c r="W157" s="34" t="str">
        <f t="shared" si="11"/>
        <v>N</v>
      </c>
      <c r="X157" s="27" t="str">
        <f>IF(COUNTIF(B157:G157,"")&gt;0,"",IF(COUNTIF([1]PP!$A:$A,A157)=0,"neni v PP",IF(OR(Y157="odešel",VLOOKUP(A157,[1]PP!$A:$W,22,FALSE)="odešel"),"odešel",IF(OR(Y157="N",VLOOKUP(A157,[1]PP!$A:$W,22,FALSE)="N"),"N",IF(OR(Y157="C",VLOOKUP(A157,[1]PP!$A:$W,22,FALSE)="C"),"C",IF(OR(Y157="DZO",VLOOKUP(A157,[1]PP!$A:$W,22,FALSE)="DZO"),"DZO",IF(OR(Y157="mise",Y157="disp.",Y157="končí",Y157="DSC",VLOOKUP(A157,[1]PP!$A:$W,22,FALSE)="mise",VLOOKUP(A157,[1]PP!$A:$W,22,FALSE)="disp.",VLOOKUP(A157,[1]PP!$A:$W,22,FALSE)="končí",VLOOKUP(A157,[1]PP!$A:$W,22,FALSE)="DSC"),"jiné",IF(OR(Y157=4,VLOOKUP(A157,[1]PP!$A:$W,22,FALSE)=4),4,IF(OR(Y157=3,VLOOKUP(A157,[1]PP!$A:$W,22,FALSE)=3),3,IF(OR(Y157=2,VLOOKUP(A157,[1]PP!$A:$W,22,FALSE)=2),2,IF(AND(Y157=1,VLOOKUP(A157,[1]PP!$A:$W,22,FALSE)=1),1)))))))))))</f>
        <v/>
      </c>
      <c r="Y157" s="28" t="str">
        <f>IF(COUNTIF(B157:G157,"")&gt;0,"",IF(COUNTIF([1]PP!$A:$A,A157)=0,"neni v PP",IF(VLOOKUP(A157,[1]PP!$A:$W,8,FALSE)="odešel","odešel",IF(F157="","",IF(J157="",IF(OR(T157=4,W157=4),4,IF(AND(T157="N",W157="N"),"N",IF(OR(T157="N",W157="N"),4,ROUND(AVERAGE(T157,W157),0)))),J157)))))</f>
        <v/>
      </c>
      <c r="Z157" s="29" t="str">
        <f>IF(COUNTIF(B157:G157,"")=0,IF(X157="neni v PP",CONCATENATE("ID: &lt;",A157,"&gt; se neshoduje s žádným IDem v kartě PP"),IF(COUNTIF($A:$A,A157)&gt;1,CONCATENATE("ID: &lt;",A157,"&gt; se v kartě VP opakuje. Je nutné tyto IDy od sebe odlišit, např. mezerou za příjmením."),IF(COUNTIF([1]PP!A:A,A157)&gt;1,CONCATENATE("ID: &lt;",A157,"&gt; se v kartě PP opakuje. Je nutné tyto IDy od sebe odlišit, např. mezerou za příjmením."),IF(VLOOKUP(A157,[1]PP!$A:$W,5,FALSE)&lt;&gt;E157,CONCATENATE($E$4," &lt;",E157,"&gt; se neshoduje s jednotkou v kartě PP"," &lt;",VLOOKUP(A157,[1]PP!$A:$W,5,FALSE),"&gt;"),IF(AND(COUNTIF(K157:O157,"")&lt;5,J157="",I157=""),CONCATENATE("Doplň: ",$I$4),IF(AND(YEAR(I157)&lt;&gt;$E$2,COUNTIF(I157,"")=0),CONCATENATE("špatně uveden &lt;",$D$2,"&gt; nebo &lt;",$I$4,"&gt;"),IF(OR(AND(OR(COUNTIF(C157,"*a"),COUNTIF(C157,"*ie"),COUNTIF(C157,"*ine"),COUNTIF(D157,"*Á")),F157="muž"),AND(AND(COUNTIF(C157,"&lt;&gt;"&amp;"*a"),COUNTIF(C157,"&lt;&gt;"&amp;"*ie"),COUNTIF(C157,"&lt;&gt;"&amp;"*ine"),COUNTIF(D157,"&lt;&gt;"&amp;"*Á")),F157="žena")),CONCATENATE(C157," ",D157," je ",F157,"?"),""))))))),IF(COUNTIF(B157:O157,"")=14,"",CONCATENATE("Doplň: ",IF(B157="",CONCATENATE($B$4,IF(COUNTIF(C157:G157,"")=0,"",", ")),""),IF(C157="",CONCATENATE($C$4,IF(COUNTIF(D157:G157,"")=0,"",", ")),""),IF(D157="",CONCATENATE($D$4,IF(COUNTIF(E157:G157,"")=0,"",", ")),""),IF(E157="",CONCATENATE($E$4,IF(COUNTIF(F157:G157,"")=0,"",", ")),""),IF(F157="",CONCATENATE($F$4,IF(G157="",", ","")),""),IF(G157="",$G$4,""))))</f>
        <v/>
      </c>
      <c r="AA157" s="30"/>
    </row>
    <row r="158" spans="1:27" ht="16" x14ac:dyDescent="0.35">
      <c r="A158" s="14" t="str">
        <f t="shared" si="8"/>
        <v xml:space="preserve">  </v>
      </c>
      <c r="B158" s="15"/>
      <c r="C158" s="31"/>
      <c r="D158" s="31"/>
      <c r="E158" s="17"/>
      <c r="F158" s="18"/>
      <c r="G158" s="32"/>
      <c r="H158" s="33" t="str">
        <f>IF(G158="","",IF(F158="žena",ROMAN(MATCH(G158+1,'[1]Normy VP'!$Y$27:$Y$33,-1)),ROMAN(MATCH(G158+1,'[1]Normy VP'!$Y$19:$Y$25,-1))))</f>
        <v/>
      </c>
      <c r="I158" s="21"/>
      <c r="J158" s="22"/>
      <c r="K158" s="23"/>
      <c r="L158" s="23"/>
      <c r="M158" s="23"/>
      <c r="N158" s="22"/>
      <c r="O158" s="22"/>
      <c r="P158" s="24" t="str">
        <f>IF(OR($J158="",$J158="odešel"),IF(K158="","",IF($F158="žena",CHOOSE(_xlfn.ARABIC($H158),MATCH(K158+1,'[1]Normy VP'!$C$25:$F$25,-1),MATCH(K158+1,'[1]Normy VP'!$C$26:$F$26,-1),MATCH(K158+1,'[1]Normy VP'!$C$27:$F$27,-1),MATCH(K158+1,'[1]Normy VP'!$C$28:$F$28,-1),MATCH(K158+1,'[1]Normy VP'!$C$29:$F$29,-1),"muž"),CHOOSE(_xlfn.ARABIC($H158),MATCH(K158+1,'[1]Normy VP'!$C$10:$F$10,-1),MATCH(K158+1,'[1]Normy VP'!$C$11:$F$11,-1),MATCH(K158+1,'[1]Normy VP'!$C$12:$F$12,-1),MATCH(K158+1,'[1]Normy VP'!$C$13:$F$13,-1),MATCH(K158+1,'[1]Normy VP'!$C$14:$F$14,-1),""))),"O")</f>
        <v/>
      </c>
      <c r="Q158" s="24" t="str">
        <f>IF(OR($J158="",$J158="odešel"),IF($F158="žena","",IF(L158="","",(CHOOSE(_xlfn.ARABIC($H158),MATCH(L158+1,'[1]Normy VP'!$G$10:$J$10,-1),MATCH(L158+1,'[1]Normy VP'!$G$11:$J$11,-1),MATCH(L158+1,'[1]Normy VP'!$G$12:$J$12,-1),MATCH(L158+1,'[1]Normy VP'!$G$13:$J$13,-1),MATCH(L158+1,'[1]Normy VP'!$G$14:$J$14,-1),"")))),"O")</f>
        <v/>
      </c>
      <c r="R158" s="34" t="str">
        <f t="shared" si="9"/>
        <v>N</v>
      </c>
      <c r="S158" s="24" t="str">
        <f>IF(OR($J158="",$J158="odešel"),IF(M158="","N",IF($F158="žena",CHOOSE(_xlfn.ARABIC($H158),MATCH(M158+1,'[1]Normy VP'!$G$25:$J$25,-1),MATCH(M158+1,'[1]Normy VP'!$G$26:$J$26,-1),MATCH(M158+1,'[1]Normy VP'!$G$27:$J$27,-1),MATCH(M158+1,'[1]Normy VP'!$G$28:$J$28,-1),MATCH(M158+1,'[1]Normy VP'!$G$29:$J$29,-1),"muž"),(CHOOSE(_xlfn.ARABIC($H158),MATCH(M158+1,'[1]Normy VP'!$K$10:$N$10,-1),MATCH(M158+1,'[1]Normy VP'!$K$11:$N$11,-1),MATCH(M158+1,'[1]Normy VP'!$K$12:$N$12,-1),MATCH(M158+1,'[1]Normy VP'!$K$13:$N$13,-1),MATCH(M158+1,'[1]Normy VP'!$K$14:$N$14,-1),"")))),"O")</f>
        <v>N</v>
      </c>
      <c r="T158" s="34" t="str">
        <f t="shared" si="10"/>
        <v>N</v>
      </c>
      <c r="U158" s="24" t="str">
        <f>IF(OR($J158="",$J158="odešel"),IF(N158="","N",IF($F158="žena",CHOOSE(_xlfn.ARABIC($H158),MATCH(N158+1,'[1]Normy VP'!$K$25:$N$25,-1),MATCH(N158+1,'[1]Normy VP'!$K$26:$N$26,-1),MATCH(N158+1,'[1]Normy VP'!$K$27:$N$27,-1),MATCH(N158+1,'[1]Normy VP'!$K$28:$N$28,-1),MATCH(N158+1,'[1]Normy VP'!$K$29:$N$29,-1),MATCH(N158+1,'[1]Normy VP'!$K$30:$N$30,-1)),CHOOSE(_xlfn.ARABIC($H158),MATCH(N158+1,'[1]Normy VP'!$O$10:$R$10,-1),MATCH(N158+1,'[1]Normy VP'!$O$11:$R$11,-1),MATCH(N158+1,'[1]Normy VP'!$O$12:$R$12,-1),MATCH(N158+1,'[1]Normy VP'!$O$13:$R$13,-1),MATCH(N158+1,'[1]Normy VP'!$O$14:$R$14,-1),MATCH(N158+1,'[1]Normy VP'!$O$15:$R$15,-1)))),"O")</f>
        <v>N</v>
      </c>
      <c r="V158" s="26" t="str">
        <f>IF(OR($J158="",$J158="odešel"),IF(O158="","N",IF($F158="žena",CHOOSE(_xlfn.ARABIC($H158),MATCH(O158-1,'[1]Normy VP'!$O$25:$R$25),MATCH(O158-1,'[1]Normy VP'!$O$26:$R$26),MATCH(O158-1,'[1]Normy VP'!$O$27:$R$27),MATCH(O158-1,'[1]Normy VP'!$O$28:$R$28),MATCH(O158-1,'[1]Normy VP'!$O$29:$R$29),MATCH(O158-1,'[1]Normy VP'!$O$30:$R$30)),CHOOSE(_xlfn.ARABIC($H158),MATCH(O158-1,'[1]Normy VP'!$S$10:$V$10),MATCH(O158-1,'[1]Normy VP'!$S$11:$V$11),MATCH(O158-1,'[1]Normy VP'!$S$12:$V$12),MATCH(O158-1,'[1]Normy VP'!$S$13:$V$13),MATCH(O158-1,'[1]Normy VP'!$S$14:$V$14),MATCH(O158-1,'[1]Normy VP'!$S$15:$V$15)))),"O")</f>
        <v>N</v>
      </c>
      <c r="W158" s="34" t="str">
        <f t="shared" si="11"/>
        <v>N</v>
      </c>
      <c r="X158" s="27" t="str">
        <f>IF(COUNTIF(B158:G158,"")&gt;0,"",IF(COUNTIF([1]PP!$A:$A,A158)=0,"neni v PP",IF(OR(Y158="odešel",VLOOKUP(A158,[1]PP!$A:$W,22,FALSE)="odešel"),"odešel",IF(OR(Y158="N",VLOOKUP(A158,[1]PP!$A:$W,22,FALSE)="N"),"N",IF(OR(Y158="C",VLOOKUP(A158,[1]PP!$A:$W,22,FALSE)="C"),"C",IF(OR(Y158="DZO",VLOOKUP(A158,[1]PP!$A:$W,22,FALSE)="DZO"),"DZO",IF(OR(Y158="mise",Y158="disp.",Y158="končí",Y158="DSC",VLOOKUP(A158,[1]PP!$A:$W,22,FALSE)="mise",VLOOKUP(A158,[1]PP!$A:$W,22,FALSE)="disp.",VLOOKUP(A158,[1]PP!$A:$W,22,FALSE)="končí",VLOOKUP(A158,[1]PP!$A:$W,22,FALSE)="DSC"),"jiné",IF(OR(Y158=4,VLOOKUP(A158,[1]PP!$A:$W,22,FALSE)=4),4,IF(OR(Y158=3,VLOOKUP(A158,[1]PP!$A:$W,22,FALSE)=3),3,IF(OR(Y158=2,VLOOKUP(A158,[1]PP!$A:$W,22,FALSE)=2),2,IF(AND(Y158=1,VLOOKUP(A158,[1]PP!$A:$W,22,FALSE)=1),1)))))))))))</f>
        <v/>
      </c>
      <c r="Y158" s="28" t="str">
        <f>IF(COUNTIF(B158:G158,"")&gt;0,"",IF(COUNTIF([1]PP!$A:$A,A158)=0,"neni v PP",IF(VLOOKUP(A158,[1]PP!$A:$W,8,FALSE)="odešel","odešel",IF(F158="","",IF(J158="",IF(OR(T158=4,W158=4),4,IF(AND(T158="N",W158="N"),"N",IF(OR(T158="N",W158="N"),4,ROUND(AVERAGE(T158,W158),0)))),J158)))))</f>
        <v/>
      </c>
      <c r="Z158" s="29" t="str">
        <f>IF(COUNTIF(B158:G158,"")=0,IF(X158="neni v PP",CONCATENATE("ID: &lt;",A158,"&gt; se neshoduje s žádným IDem v kartě PP"),IF(COUNTIF($A:$A,A158)&gt;1,CONCATENATE("ID: &lt;",A158,"&gt; se v kartě VP opakuje. Je nutné tyto IDy od sebe odlišit, např. mezerou za příjmením."),IF(COUNTIF([1]PP!A:A,A158)&gt;1,CONCATENATE("ID: &lt;",A158,"&gt; se v kartě PP opakuje. Je nutné tyto IDy od sebe odlišit, např. mezerou za příjmením."),IF(VLOOKUP(A158,[1]PP!$A:$W,5,FALSE)&lt;&gt;E158,CONCATENATE($E$4," &lt;",E158,"&gt; se neshoduje s jednotkou v kartě PP"," &lt;",VLOOKUP(A158,[1]PP!$A:$W,5,FALSE),"&gt;"),IF(AND(COUNTIF(K158:O158,"")&lt;5,J158="",I158=""),CONCATENATE("Doplň: ",$I$4),IF(AND(YEAR(I158)&lt;&gt;$E$2,COUNTIF(I158,"")=0),CONCATENATE("špatně uveden &lt;",$D$2,"&gt; nebo &lt;",$I$4,"&gt;"),IF(OR(AND(OR(COUNTIF(C158,"*a"),COUNTIF(C158,"*ie"),COUNTIF(C158,"*ine"),COUNTIF(D158,"*Á")),F158="muž"),AND(AND(COUNTIF(C158,"&lt;&gt;"&amp;"*a"),COUNTIF(C158,"&lt;&gt;"&amp;"*ie"),COUNTIF(C158,"&lt;&gt;"&amp;"*ine"),COUNTIF(D158,"&lt;&gt;"&amp;"*Á")),F158="žena")),CONCATENATE(C158," ",D158," je ",F158,"?"),""))))))),IF(COUNTIF(B158:O158,"")=14,"",CONCATENATE("Doplň: ",IF(B158="",CONCATENATE($B$4,IF(COUNTIF(C158:G158,"")=0,"",", ")),""),IF(C158="",CONCATENATE($C$4,IF(COUNTIF(D158:G158,"")=0,"",", ")),""),IF(D158="",CONCATENATE($D$4,IF(COUNTIF(E158:G158,"")=0,"",", ")),""),IF(E158="",CONCATENATE($E$4,IF(COUNTIF(F158:G158,"")=0,"",", ")),""),IF(F158="",CONCATENATE($F$4,IF(G158="",", ","")),""),IF(G158="",$G$4,""))))</f>
        <v/>
      </c>
      <c r="AA158" s="30"/>
    </row>
    <row r="159" spans="1:27" ht="16" x14ac:dyDescent="0.35">
      <c r="A159" s="14" t="str">
        <f t="shared" si="8"/>
        <v xml:space="preserve">  </v>
      </c>
      <c r="B159" s="15"/>
      <c r="C159" s="31"/>
      <c r="D159" s="31"/>
      <c r="E159" s="17"/>
      <c r="F159" s="18"/>
      <c r="G159" s="32"/>
      <c r="H159" s="33" t="str">
        <f>IF(G159="","",IF(F159="žena",ROMAN(MATCH(G159+1,'[1]Normy VP'!$Y$27:$Y$33,-1)),ROMAN(MATCH(G159+1,'[1]Normy VP'!$Y$19:$Y$25,-1))))</f>
        <v/>
      </c>
      <c r="I159" s="21"/>
      <c r="J159" s="22"/>
      <c r="K159" s="23"/>
      <c r="L159" s="23"/>
      <c r="M159" s="23"/>
      <c r="N159" s="22"/>
      <c r="O159" s="22"/>
      <c r="P159" s="24" t="str">
        <f>IF(OR($J159="",$J159="odešel"),IF(K159="","",IF($F159="žena",CHOOSE(_xlfn.ARABIC($H159),MATCH(K159+1,'[1]Normy VP'!$C$25:$F$25,-1),MATCH(K159+1,'[1]Normy VP'!$C$26:$F$26,-1),MATCH(K159+1,'[1]Normy VP'!$C$27:$F$27,-1),MATCH(K159+1,'[1]Normy VP'!$C$28:$F$28,-1),MATCH(K159+1,'[1]Normy VP'!$C$29:$F$29,-1),"muž"),CHOOSE(_xlfn.ARABIC($H159),MATCH(K159+1,'[1]Normy VP'!$C$10:$F$10,-1),MATCH(K159+1,'[1]Normy VP'!$C$11:$F$11,-1),MATCH(K159+1,'[1]Normy VP'!$C$12:$F$12,-1),MATCH(K159+1,'[1]Normy VP'!$C$13:$F$13,-1),MATCH(K159+1,'[1]Normy VP'!$C$14:$F$14,-1),""))),"O")</f>
        <v/>
      </c>
      <c r="Q159" s="24" t="str">
        <f>IF(OR($J159="",$J159="odešel"),IF($F159="žena","",IF(L159="","",(CHOOSE(_xlfn.ARABIC($H159),MATCH(L159+1,'[1]Normy VP'!$G$10:$J$10,-1),MATCH(L159+1,'[1]Normy VP'!$G$11:$J$11,-1),MATCH(L159+1,'[1]Normy VP'!$G$12:$J$12,-1),MATCH(L159+1,'[1]Normy VP'!$G$13:$J$13,-1),MATCH(L159+1,'[1]Normy VP'!$G$14:$J$14,-1),"")))),"O")</f>
        <v/>
      </c>
      <c r="R159" s="34" t="str">
        <f t="shared" si="9"/>
        <v>N</v>
      </c>
      <c r="S159" s="24" t="str">
        <f>IF(OR($J159="",$J159="odešel"),IF(M159="","N",IF($F159="žena",CHOOSE(_xlfn.ARABIC($H159),MATCH(M159+1,'[1]Normy VP'!$G$25:$J$25,-1),MATCH(M159+1,'[1]Normy VP'!$G$26:$J$26,-1),MATCH(M159+1,'[1]Normy VP'!$G$27:$J$27,-1),MATCH(M159+1,'[1]Normy VP'!$G$28:$J$28,-1),MATCH(M159+1,'[1]Normy VP'!$G$29:$J$29,-1),"muž"),(CHOOSE(_xlfn.ARABIC($H159),MATCH(M159+1,'[1]Normy VP'!$K$10:$N$10,-1),MATCH(M159+1,'[1]Normy VP'!$K$11:$N$11,-1),MATCH(M159+1,'[1]Normy VP'!$K$12:$N$12,-1),MATCH(M159+1,'[1]Normy VP'!$K$13:$N$13,-1),MATCH(M159+1,'[1]Normy VP'!$K$14:$N$14,-1),"")))),"O")</f>
        <v>N</v>
      </c>
      <c r="T159" s="34" t="str">
        <f t="shared" si="10"/>
        <v>N</v>
      </c>
      <c r="U159" s="24" t="str">
        <f>IF(OR($J159="",$J159="odešel"),IF(N159="","N",IF($F159="žena",CHOOSE(_xlfn.ARABIC($H159),MATCH(N159+1,'[1]Normy VP'!$K$25:$N$25,-1),MATCH(N159+1,'[1]Normy VP'!$K$26:$N$26,-1),MATCH(N159+1,'[1]Normy VP'!$K$27:$N$27,-1),MATCH(N159+1,'[1]Normy VP'!$K$28:$N$28,-1),MATCH(N159+1,'[1]Normy VP'!$K$29:$N$29,-1),MATCH(N159+1,'[1]Normy VP'!$K$30:$N$30,-1)),CHOOSE(_xlfn.ARABIC($H159),MATCH(N159+1,'[1]Normy VP'!$O$10:$R$10,-1),MATCH(N159+1,'[1]Normy VP'!$O$11:$R$11,-1),MATCH(N159+1,'[1]Normy VP'!$O$12:$R$12,-1),MATCH(N159+1,'[1]Normy VP'!$O$13:$R$13,-1),MATCH(N159+1,'[1]Normy VP'!$O$14:$R$14,-1),MATCH(N159+1,'[1]Normy VP'!$O$15:$R$15,-1)))),"O")</f>
        <v>N</v>
      </c>
      <c r="V159" s="26" t="str">
        <f>IF(OR($J159="",$J159="odešel"),IF(O159="","N",IF($F159="žena",CHOOSE(_xlfn.ARABIC($H159),MATCH(O159-1,'[1]Normy VP'!$O$25:$R$25),MATCH(O159-1,'[1]Normy VP'!$O$26:$R$26),MATCH(O159-1,'[1]Normy VP'!$O$27:$R$27),MATCH(O159-1,'[1]Normy VP'!$O$28:$R$28),MATCH(O159-1,'[1]Normy VP'!$O$29:$R$29),MATCH(O159-1,'[1]Normy VP'!$O$30:$R$30)),CHOOSE(_xlfn.ARABIC($H159),MATCH(O159-1,'[1]Normy VP'!$S$10:$V$10),MATCH(O159-1,'[1]Normy VP'!$S$11:$V$11),MATCH(O159-1,'[1]Normy VP'!$S$12:$V$12),MATCH(O159-1,'[1]Normy VP'!$S$13:$V$13),MATCH(O159-1,'[1]Normy VP'!$S$14:$V$14),MATCH(O159-1,'[1]Normy VP'!$S$15:$V$15)))),"O")</f>
        <v>N</v>
      </c>
      <c r="W159" s="34" t="str">
        <f t="shared" si="11"/>
        <v>N</v>
      </c>
      <c r="X159" s="27" t="str">
        <f>IF(COUNTIF(B159:G159,"")&gt;0,"",IF(COUNTIF([1]PP!$A:$A,A159)=0,"neni v PP",IF(OR(Y159="odešel",VLOOKUP(A159,[1]PP!$A:$W,22,FALSE)="odešel"),"odešel",IF(OR(Y159="N",VLOOKUP(A159,[1]PP!$A:$W,22,FALSE)="N"),"N",IF(OR(Y159="C",VLOOKUP(A159,[1]PP!$A:$W,22,FALSE)="C"),"C",IF(OR(Y159="DZO",VLOOKUP(A159,[1]PP!$A:$W,22,FALSE)="DZO"),"DZO",IF(OR(Y159="mise",Y159="disp.",Y159="končí",Y159="DSC",VLOOKUP(A159,[1]PP!$A:$W,22,FALSE)="mise",VLOOKUP(A159,[1]PP!$A:$W,22,FALSE)="disp.",VLOOKUP(A159,[1]PP!$A:$W,22,FALSE)="končí",VLOOKUP(A159,[1]PP!$A:$W,22,FALSE)="DSC"),"jiné",IF(OR(Y159=4,VLOOKUP(A159,[1]PP!$A:$W,22,FALSE)=4),4,IF(OR(Y159=3,VLOOKUP(A159,[1]PP!$A:$W,22,FALSE)=3),3,IF(OR(Y159=2,VLOOKUP(A159,[1]PP!$A:$W,22,FALSE)=2),2,IF(AND(Y159=1,VLOOKUP(A159,[1]PP!$A:$W,22,FALSE)=1),1)))))))))))</f>
        <v/>
      </c>
      <c r="Y159" s="28" t="str">
        <f>IF(COUNTIF(B159:G159,"")&gt;0,"",IF(COUNTIF([1]PP!$A:$A,A159)=0,"neni v PP",IF(VLOOKUP(A159,[1]PP!$A:$W,8,FALSE)="odešel","odešel",IF(F159="","",IF(J159="",IF(OR(T159=4,W159=4),4,IF(AND(T159="N",W159="N"),"N",IF(OR(T159="N",W159="N"),4,ROUND(AVERAGE(T159,W159),0)))),J159)))))</f>
        <v/>
      </c>
      <c r="Z159" s="29" t="str">
        <f>IF(COUNTIF(B159:G159,"")=0,IF(X159="neni v PP",CONCATENATE("ID: &lt;",A159,"&gt; se neshoduje s žádným IDem v kartě PP"),IF(COUNTIF($A:$A,A159)&gt;1,CONCATENATE("ID: &lt;",A159,"&gt; se v kartě VP opakuje. Je nutné tyto IDy od sebe odlišit, např. mezerou za příjmením."),IF(COUNTIF([1]PP!A:A,A159)&gt;1,CONCATENATE("ID: &lt;",A159,"&gt; se v kartě PP opakuje. Je nutné tyto IDy od sebe odlišit, např. mezerou za příjmením."),IF(VLOOKUP(A159,[1]PP!$A:$W,5,FALSE)&lt;&gt;E159,CONCATENATE($E$4," &lt;",E159,"&gt; se neshoduje s jednotkou v kartě PP"," &lt;",VLOOKUP(A159,[1]PP!$A:$W,5,FALSE),"&gt;"),IF(AND(COUNTIF(K159:O159,"")&lt;5,J159="",I159=""),CONCATENATE("Doplň: ",$I$4),IF(AND(YEAR(I159)&lt;&gt;$E$2,COUNTIF(I159,"")=0),CONCATENATE("špatně uveden &lt;",$D$2,"&gt; nebo &lt;",$I$4,"&gt;"),IF(OR(AND(OR(COUNTIF(C159,"*a"),COUNTIF(C159,"*ie"),COUNTIF(C159,"*ine"),COUNTIF(D159,"*Á")),F159="muž"),AND(AND(COUNTIF(C159,"&lt;&gt;"&amp;"*a"),COUNTIF(C159,"&lt;&gt;"&amp;"*ie"),COUNTIF(C159,"&lt;&gt;"&amp;"*ine"),COUNTIF(D159,"&lt;&gt;"&amp;"*Á")),F159="žena")),CONCATENATE(C159," ",D159," je ",F159,"?"),""))))))),IF(COUNTIF(B159:O159,"")=14,"",CONCATENATE("Doplň: ",IF(B159="",CONCATENATE($B$4,IF(COUNTIF(C159:G159,"")=0,"",", ")),""),IF(C159="",CONCATENATE($C$4,IF(COUNTIF(D159:G159,"")=0,"",", ")),""),IF(D159="",CONCATENATE($D$4,IF(COUNTIF(E159:G159,"")=0,"",", ")),""),IF(E159="",CONCATENATE($E$4,IF(COUNTIF(F159:G159,"")=0,"",", ")),""),IF(F159="",CONCATENATE($F$4,IF(G159="",", ","")),""),IF(G159="",$G$4,""))))</f>
        <v/>
      </c>
      <c r="AA159" s="30"/>
    </row>
    <row r="160" spans="1:27" ht="16" x14ac:dyDescent="0.35">
      <c r="A160" s="14" t="str">
        <f t="shared" si="8"/>
        <v xml:space="preserve">  </v>
      </c>
      <c r="B160" s="15"/>
      <c r="C160" s="31"/>
      <c r="D160" s="31"/>
      <c r="E160" s="17"/>
      <c r="F160" s="18"/>
      <c r="G160" s="32"/>
      <c r="H160" s="33" t="str">
        <f>IF(G160="","",IF(F160="žena",ROMAN(MATCH(G160+1,'[1]Normy VP'!$Y$27:$Y$33,-1)),ROMAN(MATCH(G160+1,'[1]Normy VP'!$Y$19:$Y$25,-1))))</f>
        <v/>
      </c>
      <c r="I160" s="21"/>
      <c r="J160" s="22"/>
      <c r="K160" s="23"/>
      <c r="L160" s="23"/>
      <c r="M160" s="23"/>
      <c r="N160" s="22"/>
      <c r="O160" s="22"/>
      <c r="P160" s="24" t="str">
        <f>IF(OR($J160="",$J160="odešel"),IF(K160="","",IF($F160="žena",CHOOSE(_xlfn.ARABIC($H160),MATCH(K160+1,'[1]Normy VP'!$C$25:$F$25,-1),MATCH(K160+1,'[1]Normy VP'!$C$26:$F$26,-1),MATCH(K160+1,'[1]Normy VP'!$C$27:$F$27,-1),MATCH(K160+1,'[1]Normy VP'!$C$28:$F$28,-1),MATCH(K160+1,'[1]Normy VP'!$C$29:$F$29,-1),"muž"),CHOOSE(_xlfn.ARABIC($H160),MATCH(K160+1,'[1]Normy VP'!$C$10:$F$10,-1),MATCH(K160+1,'[1]Normy VP'!$C$11:$F$11,-1),MATCH(K160+1,'[1]Normy VP'!$C$12:$F$12,-1),MATCH(K160+1,'[1]Normy VP'!$C$13:$F$13,-1),MATCH(K160+1,'[1]Normy VP'!$C$14:$F$14,-1),""))),"O")</f>
        <v/>
      </c>
      <c r="Q160" s="24" t="str">
        <f>IF(OR($J160="",$J160="odešel"),IF($F160="žena","",IF(L160="","",(CHOOSE(_xlfn.ARABIC($H160),MATCH(L160+1,'[1]Normy VP'!$G$10:$J$10,-1),MATCH(L160+1,'[1]Normy VP'!$G$11:$J$11,-1),MATCH(L160+1,'[1]Normy VP'!$G$12:$J$12,-1),MATCH(L160+1,'[1]Normy VP'!$G$13:$J$13,-1),MATCH(L160+1,'[1]Normy VP'!$G$14:$J$14,-1),"")))),"O")</f>
        <v/>
      </c>
      <c r="R160" s="34" t="str">
        <f t="shared" si="9"/>
        <v>N</v>
      </c>
      <c r="S160" s="24" t="str">
        <f>IF(OR($J160="",$J160="odešel"),IF(M160="","N",IF($F160="žena",CHOOSE(_xlfn.ARABIC($H160),MATCH(M160+1,'[1]Normy VP'!$G$25:$J$25,-1),MATCH(M160+1,'[1]Normy VP'!$G$26:$J$26,-1),MATCH(M160+1,'[1]Normy VP'!$G$27:$J$27,-1),MATCH(M160+1,'[1]Normy VP'!$G$28:$J$28,-1),MATCH(M160+1,'[1]Normy VP'!$G$29:$J$29,-1),"muž"),(CHOOSE(_xlfn.ARABIC($H160),MATCH(M160+1,'[1]Normy VP'!$K$10:$N$10,-1),MATCH(M160+1,'[1]Normy VP'!$K$11:$N$11,-1),MATCH(M160+1,'[1]Normy VP'!$K$12:$N$12,-1),MATCH(M160+1,'[1]Normy VP'!$K$13:$N$13,-1),MATCH(M160+1,'[1]Normy VP'!$K$14:$N$14,-1),"")))),"O")</f>
        <v>N</v>
      </c>
      <c r="T160" s="34" t="str">
        <f t="shared" si="10"/>
        <v>N</v>
      </c>
      <c r="U160" s="24" t="str">
        <f>IF(OR($J160="",$J160="odešel"),IF(N160="","N",IF($F160="žena",CHOOSE(_xlfn.ARABIC($H160),MATCH(N160+1,'[1]Normy VP'!$K$25:$N$25,-1),MATCH(N160+1,'[1]Normy VP'!$K$26:$N$26,-1),MATCH(N160+1,'[1]Normy VP'!$K$27:$N$27,-1),MATCH(N160+1,'[1]Normy VP'!$K$28:$N$28,-1),MATCH(N160+1,'[1]Normy VP'!$K$29:$N$29,-1),MATCH(N160+1,'[1]Normy VP'!$K$30:$N$30,-1)),CHOOSE(_xlfn.ARABIC($H160),MATCH(N160+1,'[1]Normy VP'!$O$10:$R$10,-1),MATCH(N160+1,'[1]Normy VP'!$O$11:$R$11,-1),MATCH(N160+1,'[1]Normy VP'!$O$12:$R$12,-1),MATCH(N160+1,'[1]Normy VP'!$O$13:$R$13,-1),MATCH(N160+1,'[1]Normy VP'!$O$14:$R$14,-1),MATCH(N160+1,'[1]Normy VP'!$O$15:$R$15,-1)))),"O")</f>
        <v>N</v>
      </c>
      <c r="V160" s="26" t="str">
        <f>IF(OR($J160="",$J160="odešel"),IF(O160="","N",IF($F160="žena",CHOOSE(_xlfn.ARABIC($H160),MATCH(O160-1,'[1]Normy VP'!$O$25:$R$25),MATCH(O160-1,'[1]Normy VP'!$O$26:$R$26),MATCH(O160-1,'[1]Normy VP'!$O$27:$R$27),MATCH(O160-1,'[1]Normy VP'!$O$28:$R$28),MATCH(O160-1,'[1]Normy VP'!$O$29:$R$29),MATCH(O160-1,'[1]Normy VP'!$O$30:$R$30)),CHOOSE(_xlfn.ARABIC($H160),MATCH(O160-1,'[1]Normy VP'!$S$10:$V$10),MATCH(O160-1,'[1]Normy VP'!$S$11:$V$11),MATCH(O160-1,'[1]Normy VP'!$S$12:$V$12),MATCH(O160-1,'[1]Normy VP'!$S$13:$V$13),MATCH(O160-1,'[1]Normy VP'!$S$14:$V$14),MATCH(O160-1,'[1]Normy VP'!$S$15:$V$15)))),"O")</f>
        <v>N</v>
      </c>
      <c r="W160" s="34" t="str">
        <f t="shared" si="11"/>
        <v>N</v>
      </c>
      <c r="X160" s="27" t="str">
        <f>IF(COUNTIF(B160:G160,"")&gt;0,"",IF(COUNTIF([1]PP!$A:$A,A160)=0,"neni v PP",IF(OR(Y160="odešel",VLOOKUP(A160,[1]PP!$A:$W,22,FALSE)="odešel"),"odešel",IF(OR(Y160="N",VLOOKUP(A160,[1]PP!$A:$W,22,FALSE)="N"),"N",IF(OR(Y160="C",VLOOKUP(A160,[1]PP!$A:$W,22,FALSE)="C"),"C",IF(OR(Y160="DZO",VLOOKUP(A160,[1]PP!$A:$W,22,FALSE)="DZO"),"DZO",IF(OR(Y160="mise",Y160="disp.",Y160="končí",Y160="DSC",VLOOKUP(A160,[1]PP!$A:$W,22,FALSE)="mise",VLOOKUP(A160,[1]PP!$A:$W,22,FALSE)="disp.",VLOOKUP(A160,[1]PP!$A:$W,22,FALSE)="končí",VLOOKUP(A160,[1]PP!$A:$W,22,FALSE)="DSC"),"jiné",IF(OR(Y160=4,VLOOKUP(A160,[1]PP!$A:$W,22,FALSE)=4),4,IF(OR(Y160=3,VLOOKUP(A160,[1]PP!$A:$W,22,FALSE)=3),3,IF(OR(Y160=2,VLOOKUP(A160,[1]PP!$A:$W,22,FALSE)=2),2,IF(AND(Y160=1,VLOOKUP(A160,[1]PP!$A:$W,22,FALSE)=1),1)))))))))))</f>
        <v/>
      </c>
      <c r="Y160" s="28" t="str">
        <f>IF(COUNTIF(B160:G160,"")&gt;0,"",IF(COUNTIF([1]PP!$A:$A,A160)=0,"neni v PP",IF(VLOOKUP(A160,[1]PP!$A:$W,8,FALSE)="odešel","odešel",IF(F160="","",IF(J160="",IF(OR(T160=4,W160=4),4,IF(AND(T160="N",W160="N"),"N",IF(OR(T160="N",W160="N"),4,ROUND(AVERAGE(T160,W160),0)))),J160)))))</f>
        <v/>
      </c>
      <c r="Z160" s="29" t="str">
        <f>IF(COUNTIF(B160:G160,"")=0,IF(X160="neni v PP",CONCATENATE("ID: &lt;",A160,"&gt; se neshoduje s žádným IDem v kartě PP"),IF(COUNTIF($A:$A,A160)&gt;1,CONCATENATE("ID: &lt;",A160,"&gt; se v kartě VP opakuje. Je nutné tyto IDy od sebe odlišit, např. mezerou za příjmením."),IF(COUNTIF([1]PP!A:A,A160)&gt;1,CONCATENATE("ID: &lt;",A160,"&gt; se v kartě PP opakuje. Je nutné tyto IDy od sebe odlišit, např. mezerou za příjmením."),IF(VLOOKUP(A160,[1]PP!$A:$W,5,FALSE)&lt;&gt;E160,CONCATENATE($E$4," &lt;",E160,"&gt; se neshoduje s jednotkou v kartě PP"," &lt;",VLOOKUP(A160,[1]PP!$A:$W,5,FALSE),"&gt;"),IF(AND(COUNTIF(K160:O160,"")&lt;5,J160="",I160=""),CONCATENATE("Doplň: ",$I$4),IF(AND(YEAR(I160)&lt;&gt;$E$2,COUNTIF(I160,"")=0),CONCATENATE("špatně uveden &lt;",$D$2,"&gt; nebo &lt;",$I$4,"&gt;"),IF(OR(AND(OR(COUNTIF(C160,"*a"),COUNTIF(C160,"*ie"),COUNTIF(C160,"*ine"),COUNTIF(D160,"*Á")),F160="muž"),AND(AND(COUNTIF(C160,"&lt;&gt;"&amp;"*a"),COUNTIF(C160,"&lt;&gt;"&amp;"*ie"),COUNTIF(C160,"&lt;&gt;"&amp;"*ine"),COUNTIF(D160,"&lt;&gt;"&amp;"*Á")),F160="žena")),CONCATENATE(C160," ",D160," je ",F160,"?"),""))))))),IF(COUNTIF(B160:O160,"")=14,"",CONCATENATE("Doplň: ",IF(B160="",CONCATENATE($B$4,IF(COUNTIF(C160:G160,"")=0,"",", ")),""),IF(C160="",CONCATENATE($C$4,IF(COUNTIF(D160:G160,"")=0,"",", ")),""),IF(D160="",CONCATENATE($D$4,IF(COUNTIF(E160:G160,"")=0,"",", ")),""),IF(E160="",CONCATENATE($E$4,IF(COUNTIF(F160:G160,"")=0,"",", ")),""),IF(F160="",CONCATENATE($F$4,IF(G160="",", ","")),""),IF(G160="",$G$4,""))))</f>
        <v/>
      </c>
      <c r="AA160" s="30"/>
    </row>
    <row r="161" spans="1:27" ht="16" x14ac:dyDescent="0.35">
      <c r="A161" s="14" t="str">
        <f t="shared" si="8"/>
        <v xml:space="preserve">  </v>
      </c>
      <c r="B161" s="15"/>
      <c r="C161" s="31"/>
      <c r="D161" s="31"/>
      <c r="E161" s="17"/>
      <c r="F161" s="18"/>
      <c r="G161" s="32"/>
      <c r="H161" s="33" t="str">
        <f>IF(G161="","",IF(F161="žena",ROMAN(MATCH(G161+1,'[1]Normy VP'!$Y$27:$Y$33,-1)),ROMAN(MATCH(G161+1,'[1]Normy VP'!$Y$19:$Y$25,-1))))</f>
        <v/>
      </c>
      <c r="I161" s="21"/>
      <c r="J161" s="22"/>
      <c r="K161" s="23"/>
      <c r="L161" s="23"/>
      <c r="M161" s="23"/>
      <c r="N161" s="22"/>
      <c r="O161" s="22"/>
      <c r="P161" s="24" t="str">
        <f>IF(OR($J161="",$J161="odešel"),IF(K161="","",IF($F161="žena",CHOOSE(_xlfn.ARABIC($H161),MATCH(K161+1,'[1]Normy VP'!$C$25:$F$25,-1),MATCH(K161+1,'[1]Normy VP'!$C$26:$F$26,-1),MATCH(K161+1,'[1]Normy VP'!$C$27:$F$27,-1),MATCH(K161+1,'[1]Normy VP'!$C$28:$F$28,-1),MATCH(K161+1,'[1]Normy VP'!$C$29:$F$29,-1),"muž"),CHOOSE(_xlfn.ARABIC($H161),MATCH(K161+1,'[1]Normy VP'!$C$10:$F$10,-1),MATCH(K161+1,'[1]Normy VP'!$C$11:$F$11,-1),MATCH(K161+1,'[1]Normy VP'!$C$12:$F$12,-1),MATCH(K161+1,'[1]Normy VP'!$C$13:$F$13,-1),MATCH(K161+1,'[1]Normy VP'!$C$14:$F$14,-1),""))),"O")</f>
        <v/>
      </c>
      <c r="Q161" s="24" t="str">
        <f>IF(OR($J161="",$J161="odešel"),IF($F161="žena","",IF(L161="","",(CHOOSE(_xlfn.ARABIC($H161),MATCH(L161+1,'[1]Normy VP'!$G$10:$J$10,-1),MATCH(L161+1,'[1]Normy VP'!$G$11:$J$11,-1),MATCH(L161+1,'[1]Normy VP'!$G$12:$J$12,-1),MATCH(L161+1,'[1]Normy VP'!$G$13:$J$13,-1),MATCH(L161+1,'[1]Normy VP'!$G$14:$J$14,-1),"")))),"O")</f>
        <v/>
      </c>
      <c r="R161" s="34" t="str">
        <f t="shared" si="9"/>
        <v>N</v>
      </c>
      <c r="S161" s="24" t="str">
        <f>IF(OR($J161="",$J161="odešel"),IF(M161="","N",IF($F161="žena",CHOOSE(_xlfn.ARABIC($H161),MATCH(M161+1,'[1]Normy VP'!$G$25:$J$25,-1),MATCH(M161+1,'[1]Normy VP'!$G$26:$J$26,-1),MATCH(M161+1,'[1]Normy VP'!$G$27:$J$27,-1),MATCH(M161+1,'[1]Normy VP'!$G$28:$J$28,-1),MATCH(M161+1,'[1]Normy VP'!$G$29:$J$29,-1),"muž"),(CHOOSE(_xlfn.ARABIC($H161),MATCH(M161+1,'[1]Normy VP'!$K$10:$N$10,-1),MATCH(M161+1,'[1]Normy VP'!$K$11:$N$11,-1),MATCH(M161+1,'[1]Normy VP'!$K$12:$N$12,-1),MATCH(M161+1,'[1]Normy VP'!$K$13:$N$13,-1),MATCH(M161+1,'[1]Normy VP'!$K$14:$N$14,-1),"")))),"O")</f>
        <v>N</v>
      </c>
      <c r="T161" s="34" t="str">
        <f t="shared" si="10"/>
        <v>N</v>
      </c>
      <c r="U161" s="24" t="str">
        <f>IF(OR($J161="",$J161="odešel"),IF(N161="","N",IF($F161="žena",CHOOSE(_xlfn.ARABIC($H161),MATCH(N161+1,'[1]Normy VP'!$K$25:$N$25,-1),MATCH(N161+1,'[1]Normy VP'!$K$26:$N$26,-1),MATCH(N161+1,'[1]Normy VP'!$K$27:$N$27,-1),MATCH(N161+1,'[1]Normy VP'!$K$28:$N$28,-1),MATCH(N161+1,'[1]Normy VP'!$K$29:$N$29,-1),MATCH(N161+1,'[1]Normy VP'!$K$30:$N$30,-1)),CHOOSE(_xlfn.ARABIC($H161),MATCH(N161+1,'[1]Normy VP'!$O$10:$R$10,-1),MATCH(N161+1,'[1]Normy VP'!$O$11:$R$11,-1),MATCH(N161+1,'[1]Normy VP'!$O$12:$R$12,-1),MATCH(N161+1,'[1]Normy VP'!$O$13:$R$13,-1),MATCH(N161+1,'[1]Normy VP'!$O$14:$R$14,-1),MATCH(N161+1,'[1]Normy VP'!$O$15:$R$15,-1)))),"O")</f>
        <v>N</v>
      </c>
      <c r="V161" s="26" t="str">
        <f>IF(OR($J161="",$J161="odešel"),IF(O161="","N",IF($F161="žena",CHOOSE(_xlfn.ARABIC($H161),MATCH(O161-1,'[1]Normy VP'!$O$25:$R$25),MATCH(O161-1,'[1]Normy VP'!$O$26:$R$26),MATCH(O161-1,'[1]Normy VP'!$O$27:$R$27),MATCH(O161-1,'[1]Normy VP'!$O$28:$R$28),MATCH(O161-1,'[1]Normy VP'!$O$29:$R$29),MATCH(O161-1,'[1]Normy VP'!$O$30:$R$30)),CHOOSE(_xlfn.ARABIC($H161),MATCH(O161-1,'[1]Normy VP'!$S$10:$V$10),MATCH(O161-1,'[1]Normy VP'!$S$11:$V$11),MATCH(O161-1,'[1]Normy VP'!$S$12:$V$12),MATCH(O161-1,'[1]Normy VP'!$S$13:$V$13),MATCH(O161-1,'[1]Normy VP'!$S$14:$V$14),MATCH(O161-1,'[1]Normy VP'!$S$15:$V$15)))),"O")</f>
        <v>N</v>
      </c>
      <c r="W161" s="34" t="str">
        <f t="shared" si="11"/>
        <v>N</v>
      </c>
      <c r="X161" s="27" t="str">
        <f>IF(COUNTIF(B161:G161,"")&gt;0,"",IF(COUNTIF([1]PP!$A:$A,A161)=0,"neni v PP",IF(OR(Y161="odešel",VLOOKUP(A161,[1]PP!$A:$W,22,FALSE)="odešel"),"odešel",IF(OR(Y161="N",VLOOKUP(A161,[1]PP!$A:$W,22,FALSE)="N"),"N",IF(OR(Y161="C",VLOOKUP(A161,[1]PP!$A:$W,22,FALSE)="C"),"C",IF(OR(Y161="DZO",VLOOKUP(A161,[1]PP!$A:$W,22,FALSE)="DZO"),"DZO",IF(OR(Y161="mise",Y161="disp.",Y161="končí",Y161="DSC",VLOOKUP(A161,[1]PP!$A:$W,22,FALSE)="mise",VLOOKUP(A161,[1]PP!$A:$W,22,FALSE)="disp.",VLOOKUP(A161,[1]PP!$A:$W,22,FALSE)="končí",VLOOKUP(A161,[1]PP!$A:$W,22,FALSE)="DSC"),"jiné",IF(OR(Y161=4,VLOOKUP(A161,[1]PP!$A:$W,22,FALSE)=4),4,IF(OR(Y161=3,VLOOKUP(A161,[1]PP!$A:$W,22,FALSE)=3),3,IF(OR(Y161=2,VLOOKUP(A161,[1]PP!$A:$W,22,FALSE)=2),2,IF(AND(Y161=1,VLOOKUP(A161,[1]PP!$A:$W,22,FALSE)=1),1)))))))))))</f>
        <v/>
      </c>
      <c r="Y161" s="28" t="str">
        <f>IF(COUNTIF(B161:G161,"")&gt;0,"",IF(COUNTIF([1]PP!$A:$A,A161)=0,"neni v PP",IF(VLOOKUP(A161,[1]PP!$A:$W,8,FALSE)="odešel","odešel",IF(F161="","",IF(J161="",IF(OR(T161=4,W161=4),4,IF(AND(T161="N",W161="N"),"N",IF(OR(T161="N",W161="N"),4,ROUND(AVERAGE(T161,W161),0)))),J161)))))</f>
        <v/>
      </c>
      <c r="Z161" s="29" t="str">
        <f>IF(COUNTIF(B161:G161,"")=0,IF(X161="neni v PP",CONCATENATE("ID: &lt;",A161,"&gt; se neshoduje s žádným IDem v kartě PP"),IF(COUNTIF($A:$A,A161)&gt;1,CONCATENATE("ID: &lt;",A161,"&gt; se v kartě VP opakuje. Je nutné tyto IDy od sebe odlišit, např. mezerou za příjmením."),IF(COUNTIF([1]PP!A:A,A161)&gt;1,CONCATENATE("ID: &lt;",A161,"&gt; se v kartě PP opakuje. Je nutné tyto IDy od sebe odlišit, např. mezerou za příjmením."),IF(VLOOKUP(A161,[1]PP!$A:$W,5,FALSE)&lt;&gt;E161,CONCATENATE($E$4," &lt;",E161,"&gt; se neshoduje s jednotkou v kartě PP"," &lt;",VLOOKUP(A161,[1]PP!$A:$W,5,FALSE),"&gt;"),IF(AND(COUNTIF(K161:O161,"")&lt;5,J161="",I161=""),CONCATENATE("Doplň: ",$I$4),IF(AND(YEAR(I161)&lt;&gt;$E$2,COUNTIF(I161,"")=0),CONCATENATE("špatně uveden &lt;",$D$2,"&gt; nebo &lt;",$I$4,"&gt;"),IF(OR(AND(OR(COUNTIF(C161,"*a"),COUNTIF(C161,"*ie"),COUNTIF(C161,"*ine"),COUNTIF(D161,"*Á")),F161="muž"),AND(AND(COUNTIF(C161,"&lt;&gt;"&amp;"*a"),COUNTIF(C161,"&lt;&gt;"&amp;"*ie"),COUNTIF(C161,"&lt;&gt;"&amp;"*ine"),COUNTIF(D161,"&lt;&gt;"&amp;"*Á")),F161="žena")),CONCATENATE(C161," ",D161," je ",F161,"?"),""))))))),IF(COUNTIF(B161:O161,"")=14,"",CONCATENATE("Doplň: ",IF(B161="",CONCATENATE($B$4,IF(COUNTIF(C161:G161,"")=0,"",", ")),""),IF(C161="",CONCATENATE($C$4,IF(COUNTIF(D161:G161,"")=0,"",", ")),""),IF(D161="",CONCATENATE($D$4,IF(COUNTIF(E161:G161,"")=0,"",", ")),""),IF(E161="",CONCATENATE($E$4,IF(COUNTIF(F161:G161,"")=0,"",", ")),""),IF(F161="",CONCATENATE($F$4,IF(G161="",", ","")),""),IF(G161="",$G$4,""))))</f>
        <v/>
      </c>
      <c r="AA161" s="30"/>
    </row>
    <row r="162" spans="1:27" ht="16" x14ac:dyDescent="0.35">
      <c r="A162" s="14" t="str">
        <f t="shared" si="8"/>
        <v xml:space="preserve">  </v>
      </c>
      <c r="B162" s="15"/>
      <c r="C162" s="31"/>
      <c r="D162" s="31"/>
      <c r="E162" s="17"/>
      <c r="F162" s="18"/>
      <c r="G162" s="32"/>
      <c r="H162" s="33" t="str">
        <f>IF(G162="","",IF(F162="žena",ROMAN(MATCH(G162+1,'[1]Normy VP'!$Y$27:$Y$33,-1)),ROMAN(MATCH(G162+1,'[1]Normy VP'!$Y$19:$Y$25,-1))))</f>
        <v/>
      </c>
      <c r="I162" s="21"/>
      <c r="J162" s="22"/>
      <c r="K162" s="23"/>
      <c r="L162" s="23"/>
      <c r="M162" s="23"/>
      <c r="N162" s="22"/>
      <c r="O162" s="22"/>
      <c r="P162" s="24" t="str">
        <f>IF(OR($J162="",$J162="odešel"),IF(K162="","",IF($F162="žena",CHOOSE(_xlfn.ARABIC($H162),MATCH(K162+1,'[1]Normy VP'!$C$25:$F$25,-1),MATCH(K162+1,'[1]Normy VP'!$C$26:$F$26,-1),MATCH(K162+1,'[1]Normy VP'!$C$27:$F$27,-1),MATCH(K162+1,'[1]Normy VP'!$C$28:$F$28,-1),MATCH(K162+1,'[1]Normy VP'!$C$29:$F$29,-1),"muž"),CHOOSE(_xlfn.ARABIC($H162),MATCH(K162+1,'[1]Normy VP'!$C$10:$F$10,-1),MATCH(K162+1,'[1]Normy VP'!$C$11:$F$11,-1),MATCH(K162+1,'[1]Normy VP'!$C$12:$F$12,-1),MATCH(K162+1,'[1]Normy VP'!$C$13:$F$13,-1),MATCH(K162+1,'[1]Normy VP'!$C$14:$F$14,-1),""))),"O")</f>
        <v/>
      </c>
      <c r="Q162" s="24" t="str">
        <f>IF(OR($J162="",$J162="odešel"),IF($F162="žena","",IF(L162="","",(CHOOSE(_xlfn.ARABIC($H162),MATCH(L162+1,'[1]Normy VP'!$G$10:$J$10,-1),MATCH(L162+1,'[1]Normy VP'!$G$11:$J$11,-1),MATCH(L162+1,'[1]Normy VP'!$G$12:$J$12,-1),MATCH(L162+1,'[1]Normy VP'!$G$13:$J$13,-1),MATCH(L162+1,'[1]Normy VP'!$G$14:$J$14,-1),"")))),"O")</f>
        <v/>
      </c>
      <c r="R162" s="34" t="str">
        <f t="shared" si="9"/>
        <v>N</v>
      </c>
      <c r="S162" s="24" t="str">
        <f>IF(OR($J162="",$J162="odešel"),IF(M162="","N",IF($F162="žena",CHOOSE(_xlfn.ARABIC($H162),MATCH(M162+1,'[1]Normy VP'!$G$25:$J$25,-1),MATCH(M162+1,'[1]Normy VP'!$G$26:$J$26,-1),MATCH(M162+1,'[1]Normy VP'!$G$27:$J$27,-1),MATCH(M162+1,'[1]Normy VP'!$G$28:$J$28,-1),MATCH(M162+1,'[1]Normy VP'!$G$29:$J$29,-1),"muž"),(CHOOSE(_xlfn.ARABIC($H162),MATCH(M162+1,'[1]Normy VP'!$K$10:$N$10,-1),MATCH(M162+1,'[1]Normy VP'!$K$11:$N$11,-1),MATCH(M162+1,'[1]Normy VP'!$K$12:$N$12,-1),MATCH(M162+1,'[1]Normy VP'!$K$13:$N$13,-1),MATCH(M162+1,'[1]Normy VP'!$K$14:$N$14,-1),"")))),"O")</f>
        <v>N</v>
      </c>
      <c r="T162" s="34" t="str">
        <f t="shared" si="10"/>
        <v>N</v>
      </c>
      <c r="U162" s="24" t="str">
        <f>IF(OR($J162="",$J162="odešel"),IF(N162="","N",IF($F162="žena",CHOOSE(_xlfn.ARABIC($H162),MATCH(N162+1,'[1]Normy VP'!$K$25:$N$25,-1),MATCH(N162+1,'[1]Normy VP'!$K$26:$N$26,-1),MATCH(N162+1,'[1]Normy VP'!$K$27:$N$27,-1),MATCH(N162+1,'[1]Normy VP'!$K$28:$N$28,-1),MATCH(N162+1,'[1]Normy VP'!$K$29:$N$29,-1),MATCH(N162+1,'[1]Normy VP'!$K$30:$N$30,-1)),CHOOSE(_xlfn.ARABIC($H162),MATCH(N162+1,'[1]Normy VP'!$O$10:$R$10,-1),MATCH(N162+1,'[1]Normy VP'!$O$11:$R$11,-1),MATCH(N162+1,'[1]Normy VP'!$O$12:$R$12,-1),MATCH(N162+1,'[1]Normy VP'!$O$13:$R$13,-1),MATCH(N162+1,'[1]Normy VP'!$O$14:$R$14,-1),MATCH(N162+1,'[1]Normy VP'!$O$15:$R$15,-1)))),"O")</f>
        <v>N</v>
      </c>
      <c r="V162" s="26" t="str">
        <f>IF(OR($J162="",$J162="odešel"),IF(O162="","N",IF($F162="žena",CHOOSE(_xlfn.ARABIC($H162),MATCH(O162-1,'[1]Normy VP'!$O$25:$R$25),MATCH(O162-1,'[1]Normy VP'!$O$26:$R$26),MATCH(O162-1,'[1]Normy VP'!$O$27:$R$27),MATCH(O162-1,'[1]Normy VP'!$O$28:$R$28),MATCH(O162-1,'[1]Normy VP'!$O$29:$R$29),MATCH(O162-1,'[1]Normy VP'!$O$30:$R$30)),CHOOSE(_xlfn.ARABIC($H162),MATCH(O162-1,'[1]Normy VP'!$S$10:$V$10),MATCH(O162-1,'[1]Normy VP'!$S$11:$V$11),MATCH(O162-1,'[1]Normy VP'!$S$12:$V$12),MATCH(O162-1,'[1]Normy VP'!$S$13:$V$13),MATCH(O162-1,'[1]Normy VP'!$S$14:$V$14),MATCH(O162-1,'[1]Normy VP'!$S$15:$V$15)))),"O")</f>
        <v>N</v>
      </c>
      <c r="W162" s="34" t="str">
        <f t="shared" si="11"/>
        <v>N</v>
      </c>
      <c r="X162" s="27" t="str">
        <f>IF(COUNTIF(B162:G162,"")&gt;0,"",IF(COUNTIF([1]PP!$A:$A,A162)=0,"neni v PP",IF(OR(Y162="odešel",VLOOKUP(A162,[1]PP!$A:$W,22,FALSE)="odešel"),"odešel",IF(OR(Y162="N",VLOOKUP(A162,[1]PP!$A:$W,22,FALSE)="N"),"N",IF(OR(Y162="C",VLOOKUP(A162,[1]PP!$A:$W,22,FALSE)="C"),"C",IF(OR(Y162="DZO",VLOOKUP(A162,[1]PP!$A:$W,22,FALSE)="DZO"),"DZO",IF(OR(Y162="mise",Y162="disp.",Y162="končí",Y162="DSC",VLOOKUP(A162,[1]PP!$A:$W,22,FALSE)="mise",VLOOKUP(A162,[1]PP!$A:$W,22,FALSE)="disp.",VLOOKUP(A162,[1]PP!$A:$W,22,FALSE)="končí",VLOOKUP(A162,[1]PP!$A:$W,22,FALSE)="DSC"),"jiné",IF(OR(Y162=4,VLOOKUP(A162,[1]PP!$A:$W,22,FALSE)=4),4,IF(OR(Y162=3,VLOOKUP(A162,[1]PP!$A:$W,22,FALSE)=3),3,IF(OR(Y162=2,VLOOKUP(A162,[1]PP!$A:$W,22,FALSE)=2),2,IF(AND(Y162=1,VLOOKUP(A162,[1]PP!$A:$W,22,FALSE)=1),1)))))))))))</f>
        <v/>
      </c>
      <c r="Y162" s="28" t="str">
        <f>IF(COUNTIF(B162:G162,"")&gt;0,"",IF(COUNTIF([1]PP!$A:$A,A162)=0,"neni v PP",IF(VLOOKUP(A162,[1]PP!$A:$W,8,FALSE)="odešel","odešel",IF(F162="","",IF(J162="",IF(OR(T162=4,W162=4),4,IF(AND(T162="N",W162="N"),"N",IF(OR(T162="N",W162="N"),4,ROUND(AVERAGE(T162,W162),0)))),J162)))))</f>
        <v/>
      </c>
      <c r="Z162" s="29" t="str">
        <f>IF(COUNTIF(B162:G162,"")=0,IF(X162="neni v PP",CONCATENATE("ID: &lt;",A162,"&gt; se neshoduje s žádným IDem v kartě PP"),IF(COUNTIF($A:$A,A162)&gt;1,CONCATENATE("ID: &lt;",A162,"&gt; se v kartě VP opakuje. Je nutné tyto IDy od sebe odlišit, např. mezerou za příjmením."),IF(COUNTIF([1]PP!A:A,A162)&gt;1,CONCATENATE("ID: &lt;",A162,"&gt; se v kartě PP opakuje. Je nutné tyto IDy od sebe odlišit, např. mezerou za příjmením."),IF(VLOOKUP(A162,[1]PP!$A:$W,5,FALSE)&lt;&gt;E162,CONCATENATE($E$4," &lt;",E162,"&gt; se neshoduje s jednotkou v kartě PP"," &lt;",VLOOKUP(A162,[1]PP!$A:$W,5,FALSE),"&gt;"),IF(AND(COUNTIF(K162:O162,"")&lt;5,J162="",I162=""),CONCATENATE("Doplň: ",$I$4),IF(AND(YEAR(I162)&lt;&gt;$E$2,COUNTIF(I162,"")=0),CONCATENATE("špatně uveden &lt;",$D$2,"&gt; nebo &lt;",$I$4,"&gt;"),IF(OR(AND(OR(COUNTIF(C162,"*a"),COUNTIF(C162,"*ie"),COUNTIF(C162,"*ine"),COUNTIF(D162,"*Á")),F162="muž"),AND(AND(COUNTIF(C162,"&lt;&gt;"&amp;"*a"),COUNTIF(C162,"&lt;&gt;"&amp;"*ie"),COUNTIF(C162,"&lt;&gt;"&amp;"*ine"),COUNTIF(D162,"&lt;&gt;"&amp;"*Á")),F162="žena")),CONCATENATE(C162," ",D162," je ",F162,"?"),""))))))),IF(COUNTIF(B162:O162,"")=14,"",CONCATENATE("Doplň: ",IF(B162="",CONCATENATE($B$4,IF(COUNTIF(C162:G162,"")=0,"",", ")),""),IF(C162="",CONCATENATE($C$4,IF(COUNTIF(D162:G162,"")=0,"",", ")),""),IF(D162="",CONCATENATE($D$4,IF(COUNTIF(E162:G162,"")=0,"",", ")),""),IF(E162="",CONCATENATE($E$4,IF(COUNTIF(F162:G162,"")=0,"",", ")),""),IF(F162="",CONCATENATE($F$4,IF(G162="",", ","")),""),IF(G162="",$G$4,""))))</f>
        <v/>
      </c>
      <c r="AA162" s="30"/>
    </row>
    <row r="163" spans="1:27" ht="16" x14ac:dyDescent="0.35">
      <c r="A163" s="14" t="str">
        <f t="shared" si="8"/>
        <v xml:space="preserve">  </v>
      </c>
      <c r="B163" s="15"/>
      <c r="C163" s="31"/>
      <c r="D163" s="31"/>
      <c r="E163" s="17"/>
      <c r="F163" s="18"/>
      <c r="G163" s="32"/>
      <c r="H163" s="33" t="str">
        <f>IF(G163="","",IF(F163="žena",ROMAN(MATCH(G163+1,'[1]Normy VP'!$Y$27:$Y$33,-1)),ROMAN(MATCH(G163+1,'[1]Normy VP'!$Y$19:$Y$25,-1))))</f>
        <v/>
      </c>
      <c r="I163" s="21"/>
      <c r="J163" s="22"/>
      <c r="K163" s="23"/>
      <c r="L163" s="23"/>
      <c r="M163" s="23"/>
      <c r="N163" s="22"/>
      <c r="O163" s="22"/>
      <c r="P163" s="24" t="str">
        <f>IF(OR($J163="",$J163="odešel"),IF(K163="","",IF($F163="žena",CHOOSE(_xlfn.ARABIC($H163),MATCH(K163+1,'[1]Normy VP'!$C$25:$F$25,-1),MATCH(K163+1,'[1]Normy VP'!$C$26:$F$26,-1),MATCH(K163+1,'[1]Normy VP'!$C$27:$F$27,-1),MATCH(K163+1,'[1]Normy VP'!$C$28:$F$28,-1),MATCH(K163+1,'[1]Normy VP'!$C$29:$F$29,-1),"muž"),CHOOSE(_xlfn.ARABIC($H163),MATCH(K163+1,'[1]Normy VP'!$C$10:$F$10,-1),MATCH(K163+1,'[1]Normy VP'!$C$11:$F$11,-1),MATCH(K163+1,'[1]Normy VP'!$C$12:$F$12,-1),MATCH(K163+1,'[1]Normy VP'!$C$13:$F$13,-1),MATCH(K163+1,'[1]Normy VP'!$C$14:$F$14,-1),""))),"O")</f>
        <v/>
      </c>
      <c r="Q163" s="24" t="str">
        <f>IF(OR($J163="",$J163="odešel"),IF($F163="žena","",IF(L163="","",(CHOOSE(_xlfn.ARABIC($H163),MATCH(L163+1,'[1]Normy VP'!$G$10:$J$10,-1),MATCH(L163+1,'[1]Normy VP'!$G$11:$J$11,-1),MATCH(L163+1,'[1]Normy VP'!$G$12:$J$12,-1),MATCH(L163+1,'[1]Normy VP'!$G$13:$J$13,-1),MATCH(L163+1,'[1]Normy VP'!$G$14:$J$14,-1),"")))),"O")</f>
        <v/>
      </c>
      <c r="R163" s="34" t="str">
        <f t="shared" si="9"/>
        <v>N</v>
      </c>
      <c r="S163" s="24" t="str">
        <f>IF(OR($J163="",$J163="odešel"),IF(M163="","N",IF($F163="žena",CHOOSE(_xlfn.ARABIC($H163),MATCH(M163+1,'[1]Normy VP'!$G$25:$J$25,-1),MATCH(M163+1,'[1]Normy VP'!$G$26:$J$26,-1),MATCH(M163+1,'[1]Normy VP'!$G$27:$J$27,-1),MATCH(M163+1,'[1]Normy VP'!$G$28:$J$28,-1),MATCH(M163+1,'[1]Normy VP'!$G$29:$J$29,-1),"muž"),(CHOOSE(_xlfn.ARABIC($H163),MATCH(M163+1,'[1]Normy VP'!$K$10:$N$10,-1),MATCH(M163+1,'[1]Normy VP'!$K$11:$N$11,-1),MATCH(M163+1,'[1]Normy VP'!$K$12:$N$12,-1),MATCH(M163+1,'[1]Normy VP'!$K$13:$N$13,-1),MATCH(M163+1,'[1]Normy VP'!$K$14:$N$14,-1),"")))),"O")</f>
        <v>N</v>
      </c>
      <c r="T163" s="34" t="str">
        <f t="shared" si="10"/>
        <v>N</v>
      </c>
      <c r="U163" s="24" t="str">
        <f>IF(OR($J163="",$J163="odešel"),IF(N163="","N",IF($F163="žena",CHOOSE(_xlfn.ARABIC($H163),MATCH(N163+1,'[1]Normy VP'!$K$25:$N$25,-1),MATCH(N163+1,'[1]Normy VP'!$K$26:$N$26,-1),MATCH(N163+1,'[1]Normy VP'!$K$27:$N$27,-1),MATCH(N163+1,'[1]Normy VP'!$K$28:$N$28,-1),MATCH(N163+1,'[1]Normy VP'!$K$29:$N$29,-1),MATCH(N163+1,'[1]Normy VP'!$K$30:$N$30,-1)),CHOOSE(_xlfn.ARABIC($H163),MATCH(N163+1,'[1]Normy VP'!$O$10:$R$10,-1),MATCH(N163+1,'[1]Normy VP'!$O$11:$R$11,-1),MATCH(N163+1,'[1]Normy VP'!$O$12:$R$12,-1),MATCH(N163+1,'[1]Normy VP'!$O$13:$R$13,-1),MATCH(N163+1,'[1]Normy VP'!$O$14:$R$14,-1),MATCH(N163+1,'[1]Normy VP'!$O$15:$R$15,-1)))),"O")</f>
        <v>N</v>
      </c>
      <c r="V163" s="26" t="str">
        <f>IF(OR($J163="",$J163="odešel"),IF(O163="","N",IF($F163="žena",CHOOSE(_xlfn.ARABIC($H163),MATCH(O163-1,'[1]Normy VP'!$O$25:$R$25),MATCH(O163-1,'[1]Normy VP'!$O$26:$R$26),MATCH(O163-1,'[1]Normy VP'!$O$27:$R$27),MATCH(O163-1,'[1]Normy VP'!$O$28:$R$28),MATCH(O163-1,'[1]Normy VP'!$O$29:$R$29),MATCH(O163-1,'[1]Normy VP'!$O$30:$R$30)),CHOOSE(_xlfn.ARABIC($H163),MATCH(O163-1,'[1]Normy VP'!$S$10:$V$10),MATCH(O163-1,'[1]Normy VP'!$S$11:$V$11),MATCH(O163-1,'[1]Normy VP'!$S$12:$V$12),MATCH(O163-1,'[1]Normy VP'!$S$13:$V$13),MATCH(O163-1,'[1]Normy VP'!$S$14:$V$14),MATCH(O163-1,'[1]Normy VP'!$S$15:$V$15)))),"O")</f>
        <v>N</v>
      </c>
      <c r="W163" s="34" t="str">
        <f t="shared" si="11"/>
        <v>N</v>
      </c>
      <c r="X163" s="27" t="str">
        <f>IF(COUNTIF(B163:G163,"")&gt;0,"",IF(COUNTIF([1]PP!$A:$A,A163)=0,"neni v PP",IF(OR(Y163="odešel",VLOOKUP(A163,[1]PP!$A:$W,22,FALSE)="odešel"),"odešel",IF(OR(Y163="N",VLOOKUP(A163,[1]PP!$A:$W,22,FALSE)="N"),"N",IF(OR(Y163="C",VLOOKUP(A163,[1]PP!$A:$W,22,FALSE)="C"),"C",IF(OR(Y163="DZO",VLOOKUP(A163,[1]PP!$A:$W,22,FALSE)="DZO"),"DZO",IF(OR(Y163="mise",Y163="disp.",Y163="končí",Y163="DSC",VLOOKUP(A163,[1]PP!$A:$W,22,FALSE)="mise",VLOOKUP(A163,[1]PP!$A:$W,22,FALSE)="disp.",VLOOKUP(A163,[1]PP!$A:$W,22,FALSE)="končí",VLOOKUP(A163,[1]PP!$A:$W,22,FALSE)="DSC"),"jiné",IF(OR(Y163=4,VLOOKUP(A163,[1]PP!$A:$W,22,FALSE)=4),4,IF(OR(Y163=3,VLOOKUP(A163,[1]PP!$A:$W,22,FALSE)=3),3,IF(OR(Y163=2,VLOOKUP(A163,[1]PP!$A:$W,22,FALSE)=2),2,IF(AND(Y163=1,VLOOKUP(A163,[1]PP!$A:$W,22,FALSE)=1),1)))))))))))</f>
        <v/>
      </c>
      <c r="Y163" s="28" t="str">
        <f>IF(COUNTIF(B163:G163,"")&gt;0,"",IF(COUNTIF([1]PP!$A:$A,A163)=0,"neni v PP",IF(VLOOKUP(A163,[1]PP!$A:$W,8,FALSE)="odešel","odešel",IF(F163="","",IF(J163="",IF(OR(T163=4,W163=4),4,IF(AND(T163="N",W163="N"),"N",IF(OR(T163="N",W163="N"),4,ROUND(AVERAGE(T163,W163),0)))),J163)))))</f>
        <v/>
      </c>
      <c r="Z163" s="29" t="str">
        <f>IF(COUNTIF(B163:G163,"")=0,IF(X163="neni v PP",CONCATENATE("ID: &lt;",A163,"&gt; se neshoduje s žádným IDem v kartě PP"),IF(COUNTIF($A:$A,A163)&gt;1,CONCATENATE("ID: &lt;",A163,"&gt; se v kartě VP opakuje. Je nutné tyto IDy od sebe odlišit, např. mezerou za příjmením."),IF(COUNTIF([1]PP!A:A,A163)&gt;1,CONCATENATE("ID: &lt;",A163,"&gt; se v kartě PP opakuje. Je nutné tyto IDy od sebe odlišit, např. mezerou za příjmením."),IF(VLOOKUP(A163,[1]PP!$A:$W,5,FALSE)&lt;&gt;E163,CONCATENATE($E$4," &lt;",E163,"&gt; se neshoduje s jednotkou v kartě PP"," &lt;",VLOOKUP(A163,[1]PP!$A:$W,5,FALSE),"&gt;"),IF(AND(COUNTIF(K163:O163,"")&lt;5,J163="",I163=""),CONCATENATE("Doplň: ",$I$4),IF(AND(YEAR(I163)&lt;&gt;$E$2,COUNTIF(I163,"")=0),CONCATENATE("špatně uveden &lt;",$D$2,"&gt; nebo &lt;",$I$4,"&gt;"),IF(OR(AND(OR(COUNTIF(C163,"*a"),COUNTIF(C163,"*ie"),COUNTIF(C163,"*ine"),COUNTIF(D163,"*Á")),F163="muž"),AND(AND(COUNTIF(C163,"&lt;&gt;"&amp;"*a"),COUNTIF(C163,"&lt;&gt;"&amp;"*ie"),COUNTIF(C163,"&lt;&gt;"&amp;"*ine"),COUNTIF(D163,"&lt;&gt;"&amp;"*Á")),F163="žena")),CONCATENATE(C163," ",D163," je ",F163,"?"),""))))))),IF(COUNTIF(B163:O163,"")=14,"",CONCATENATE("Doplň: ",IF(B163="",CONCATENATE($B$4,IF(COUNTIF(C163:G163,"")=0,"",", ")),""),IF(C163="",CONCATENATE($C$4,IF(COUNTIF(D163:G163,"")=0,"",", ")),""),IF(D163="",CONCATENATE($D$4,IF(COUNTIF(E163:G163,"")=0,"",", ")),""),IF(E163="",CONCATENATE($E$4,IF(COUNTIF(F163:G163,"")=0,"",", ")),""),IF(F163="",CONCATENATE($F$4,IF(G163="",", ","")),""),IF(G163="",$G$4,""))))</f>
        <v/>
      </c>
      <c r="AA163" s="30"/>
    </row>
    <row r="164" spans="1:27" ht="16" x14ac:dyDescent="0.35">
      <c r="A164" s="14" t="str">
        <f t="shared" si="8"/>
        <v xml:space="preserve">  </v>
      </c>
      <c r="B164" s="15"/>
      <c r="C164" s="31"/>
      <c r="D164" s="31"/>
      <c r="E164" s="17"/>
      <c r="F164" s="18"/>
      <c r="G164" s="32"/>
      <c r="H164" s="33" t="str">
        <f>IF(G164="","",IF(F164="žena",ROMAN(MATCH(G164+1,'[1]Normy VP'!$Y$27:$Y$33,-1)),ROMAN(MATCH(G164+1,'[1]Normy VP'!$Y$19:$Y$25,-1))))</f>
        <v/>
      </c>
      <c r="I164" s="21"/>
      <c r="J164" s="22"/>
      <c r="K164" s="23"/>
      <c r="L164" s="23"/>
      <c r="M164" s="23"/>
      <c r="N164" s="22"/>
      <c r="O164" s="22"/>
      <c r="P164" s="24" t="str">
        <f>IF(OR($J164="",$J164="odešel"),IF(K164="","",IF($F164="žena",CHOOSE(_xlfn.ARABIC($H164),MATCH(K164+1,'[1]Normy VP'!$C$25:$F$25,-1),MATCH(K164+1,'[1]Normy VP'!$C$26:$F$26,-1),MATCH(K164+1,'[1]Normy VP'!$C$27:$F$27,-1),MATCH(K164+1,'[1]Normy VP'!$C$28:$F$28,-1),MATCH(K164+1,'[1]Normy VP'!$C$29:$F$29,-1),"muž"),CHOOSE(_xlfn.ARABIC($H164),MATCH(K164+1,'[1]Normy VP'!$C$10:$F$10,-1),MATCH(K164+1,'[1]Normy VP'!$C$11:$F$11,-1),MATCH(K164+1,'[1]Normy VP'!$C$12:$F$12,-1),MATCH(K164+1,'[1]Normy VP'!$C$13:$F$13,-1),MATCH(K164+1,'[1]Normy VP'!$C$14:$F$14,-1),""))),"O")</f>
        <v/>
      </c>
      <c r="Q164" s="24" t="str">
        <f>IF(OR($J164="",$J164="odešel"),IF($F164="žena","",IF(L164="","",(CHOOSE(_xlfn.ARABIC($H164),MATCH(L164+1,'[1]Normy VP'!$G$10:$J$10,-1),MATCH(L164+1,'[1]Normy VP'!$G$11:$J$11,-1),MATCH(L164+1,'[1]Normy VP'!$G$12:$J$12,-1),MATCH(L164+1,'[1]Normy VP'!$G$13:$J$13,-1),MATCH(L164+1,'[1]Normy VP'!$G$14:$J$14,-1),"")))),"O")</f>
        <v/>
      </c>
      <c r="R164" s="34" t="str">
        <f t="shared" si="9"/>
        <v>N</v>
      </c>
      <c r="S164" s="24" t="str">
        <f>IF(OR($J164="",$J164="odešel"),IF(M164="","N",IF($F164="žena",CHOOSE(_xlfn.ARABIC($H164),MATCH(M164+1,'[1]Normy VP'!$G$25:$J$25,-1),MATCH(M164+1,'[1]Normy VP'!$G$26:$J$26,-1),MATCH(M164+1,'[1]Normy VP'!$G$27:$J$27,-1),MATCH(M164+1,'[1]Normy VP'!$G$28:$J$28,-1),MATCH(M164+1,'[1]Normy VP'!$G$29:$J$29,-1),"muž"),(CHOOSE(_xlfn.ARABIC($H164),MATCH(M164+1,'[1]Normy VP'!$K$10:$N$10,-1),MATCH(M164+1,'[1]Normy VP'!$K$11:$N$11,-1),MATCH(M164+1,'[1]Normy VP'!$K$12:$N$12,-1),MATCH(M164+1,'[1]Normy VP'!$K$13:$N$13,-1),MATCH(M164+1,'[1]Normy VP'!$K$14:$N$14,-1),"")))),"O")</f>
        <v>N</v>
      </c>
      <c r="T164" s="34" t="str">
        <f t="shared" si="10"/>
        <v>N</v>
      </c>
      <c r="U164" s="24" t="str">
        <f>IF(OR($J164="",$J164="odešel"),IF(N164="","N",IF($F164="žena",CHOOSE(_xlfn.ARABIC($H164),MATCH(N164+1,'[1]Normy VP'!$K$25:$N$25,-1),MATCH(N164+1,'[1]Normy VP'!$K$26:$N$26,-1),MATCH(N164+1,'[1]Normy VP'!$K$27:$N$27,-1),MATCH(N164+1,'[1]Normy VP'!$K$28:$N$28,-1),MATCH(N164+1,'[1]Normy VP'!$K$29:$N$29,-1),MATCH(N164+1,'[1]Normy VP'!$K$30:$N$30,-1)),CHOOSE(_xlfn.ARABIC($H164),MATCH(N164+1,'[1]Normy VP'!$O$10:$R$10,-1),MATCH(N164+1,'[1]Normy VP'!$O$11:$R$11,-1),MATCH(N164+1,'[1]Normy VP'!$O$12:$R$12,-1),MATCH(N164+1,'[1]Normy VP'!$O$13:$R$13,-1),MATCH(N164+1,'[1]Normy VP'!$O$14:$R$14,-1),MATCH(N164+1,'[1]Normy VP'!$O$15:$R$15,-1)))),"O")</f>
        <v>N</v>
      </c>
      <c r="V164" s="26" t="str">
        <f>IF(OR($J164="",$J164="odešel"),IF(O164="","N",IF($F164="žena",CHOOSE(_xlfn.ARABIC($H164),MATCH(O164-1,'[1]Normy VP'!$O$25:$R$25),MATCH(O164-1,'[1]Normy VP'!$O$26:$R$26),MATCH(O164-1,'[1]Normy VP'!$O$27:$R$27),MATCH(O164-1,'[1]Normy VP'!$O$28:$R$28),MATCH(O164-1,'[1]Normy VP'!$O$29:$R$29),MATCH(O164-1,'[1]Normy VP'!$O$30:$R$30)),CHOOSE(_xlfn.ARABIC($H164),MATCH(O164-1,'[1]Normy VP'!$S$10:$V$10),MATCH(O164-1,'[1]Normy VP'!$S$11:$V$11),MATCH(O164-1,'[1]Normy VP'!$S$12:$V$12),MATCH(O164-1,'[1]Normy VP'!$S$13:$V$13),MATCH(O164-1,'[1]Normy VP'!$S$14:$V$14),MATCH(O164-1,'[1]Normy VP'!$S$15:$V$15)))),"O")</f>
        <v>N</v>
      </c>
      <c r="W164" s="34" t="str">
        <f t="shared" si="11"/>
        <v>N</v>
      </c>
      <c r="X164" s="27" t="str">
        <f>IF(COUNTIF(B164:G164,"")&gt;0,"",IF(COUNTIF([1]PP!$A:$A,A164)=0,"neni v PP",IF(OR(Y164="odešel",VLOOKUP(A164,[1]PP!$A:$W,22,FALSE)="odešel"),"odešel",IF(OR(Y164="N",VLOOKUP(A164,[1]PP!$A:$W,22,FALSE)="N"),"N",IF(OR(Y164="C",VLOOKUP(A164,[1]PP!$A:$W,22,FALSE)="C"),"C",IF(OR(Y164="DZO",VLOOKUP(A164,[1]PP!$A:$W,22,FALSE)="DZO"),"DZO",IF(OR(Y164="mise",Y164="disp.",Y164="končí",Y164="DSC",VLOOKUP(A164,[1]PP!$A:$W,22,FALSE)="mise",VLOOKUP(A164,[1]PP!$A:$W,22,FALSE)="disp.",VLOOKUP(A164,[1]PP!$A:$W,22,FALSE)="končí",VLOOKUP(A164,[1]PP!$A:$W,22,FALSE)="DSC"),"jiné",IF(OR(Y164=4,VLOOKUP(A164,[1]PP!$A:$W,22,FALSE)=4),4,IF(OR(Y164=3,VLOOKUP(A164,[1]PP!$A:$W,22,FALSE)=3),3,IF(OR(Y164=2,VLOOKUP(A164,[1]PP!$A:$W,22,FALSE)=2),2,IF(AND(Y164=1,VLOOKUP(A164,[1]PP!$A:$W,22,FALSE)=1),1)))))))))))</f>
        <v/>
      </c>
      <c r="Y164" s="28" t="str">
        <f>IF(COUNTIF(B164:G164,"")&gt;0,"",IF(COUNTIF([1]PP!$A:$A,A164)=0,"neni v PP",IF(VLOOKUP(A164,[1]PP!$A:$W,8,FALSE)="odešel","odešel",IF(F164="","",IF(J164="",IF(OR(T164=4,W164=4),4,IF(AND(T164="N",W164="N"),"N",IF(OR(T164="N",W164="N"),4,ROUND(AVERAGE(T164,W164),0)))),J164)))))</f>
        <v/>
      </c>
      <c r="Z164" s="29" t="str">
        <f>IF(COUNTIF(B164:G164,"")=0,IF(X164="neni v PP",CONCATENATE("ID: &lt;",A164,"&gt; se neshoduje s žádným IDem v kartě PP"),IF(COUNTIF($A:$A,A164)&gt;1,CONCATENATE("ID: &lt;",A164,"&gt; se v kartě VP opakuje. Je nutné tyto IDy od sebe odlišit, např. mezerou za příjmením."),IF(COUNTIF([1]PP!A:A,A164)&gt;1,CONCATENATE("ID: &lt;",A164,"&gt; se v kartě PP opakuje. Je nutné tyto IDy od sebe odlišit, např. mezerou za příjmením."),IF(VLOOKUP(A164,[1]PP!$A:$W,5,FALSE)&lt;&gt;E164,CONCATENATE($E$4," &lt;",E164,"&gt; se neshoduje s jednotkou v kartě PP"," &lt;",VLOOKUP(A164,[1]PP!$A:$W,5,FALSE),"&gt;"),IF(AND(COUNTIF(K164:O164,"")&lt;5,J164="",I164=""),CONCATENATE("Doplň: ",$I$4),IF(AND(YEAR(I164)&lt;&gt;$E$2,COUNTIF(I164,"")=0),CONCATENATE("špatně uveden &lt;",$D$2,"&gt; nebo &lt;",$I$4,"&gt;"),IF(OR(AND(OR(COUNTIF(C164,"*a"),COUNTIF(C164,"*ie"),COUNTIF(C164,"*ine"),COUNTIF(D164,"*Á")),F164="muž"),AND(AND(COUNTIF(C164,"&lt;&gt;"&amp;"*a"),COUNTIF(C164,"&lt;&gt;"&amp;"*ie"),COUNTIF(C164,"&lt;&gt;"&amp;"*ine"),COUNTIF(D164,"&lt;&gt;"&amp;"*Á")),F164="žena")),CONCATENATE(C164," ",D164," je ",F164,"?"),""))))))),IF(COUNTIF(B164:O164,"")=14,"",CONCATENATE("Doplň: ",IF(B164="",CONCATENATE($B$4,IF(COUNTIF(C164:G164,"")=0,"",", ")),""),IF(C164="",CONCATENATE($C$4,IF(COUNTIF(D164:G164,"")=0,"",", ")),""),IF(D164="",CONCATENATE($D$4,IF(COUNTIF(E164:G164,"")=0,"",", ")),""),IF(E164="",CONCATENATE($E$4,IF(COUNTIF(F164:G164,"")=0,"",", ")),""),IF(F164="",CONCATENATE($F$4,IF(G164="",", ","")),""),IF(G164="",$G$4,""))))</f>
        <v/>
      </c>
      <c r="AA164" s="30"/>
    </row>
    <row r="165" spans="1:27" ht="16" x14ac:dyDescent="0.35">
      <c r="A165" s="14" t="str">
        <f t="shared" si="8"/>
        <v xml:space="preserve">  </v>
      </c>
      <c r="B165" s="15"/>
      <c r="C165" s="31"/>
      <c r="D165" s="31"/>
      <c r="E165" s="17"/>
      <c r="F165" s="18"/>
      <c r="G165" s="32"/>
      <c r="H165" s="33" t="str">
        <f>IF(G165="","",IF(F165="žena",ROMAN(MATCH(G165+1,'[1]Normy VP'!$Y$27:$Y$33,-1)),ROMAN(MATCH(G165+1,'[1]Normy VP'!$Y$19:$Y$25,-1))))</f>
        <v/>
      </c>
      <c r="I165" s="21"/>
      <c r="J165" s="22"/>
      <c r="K165" s="23"/>
      <c r="L165" s="23"/>
      <c r="M165" s="23"/>
      <c r="N165" s="22"/>
      <c r="O165" s="22"/>
      <c r="P165" s="24" t="str">
        <f>IF(OR($J165="",$J165="odešel"),IF(K165="","",IF($F165="žena",CHOOSE(_xlfn.ARABIC($H165),MATCH(K165+1,'[1]Normy VP'!$C$25:$F$25,-1),MATCH(K165+1,'[1]Normy VP'!$C$26:$F$26,-1),MATCH(K165+1,'[1]Normy VP'!$C$27:$F$27,-1),MATCH(K165+1,'[1]Normy VP'!$C$28:$F$28,-1),MATCH(K165+1,'[1]Normy VP'!$C$29:$F$29,-1),"muž"),CHOOSE(_xlfn.ARABIC($H165),MATCH(K165+1,'[1]Normy VP'!$C$10:$F$10,-1),MATCH(K165+1,'[1]Normy VP'!$C$11:$F$11,-1),MATCH(K165+1,'[1]Normy VP'!$C$12:$F$12,-1),MATCH(K165+1,'[1]Normy VP'!$C$13:$F$13,-1),MATCH(K165+1,'[1]Normy VP'!$C$14:$F$14,-1),""))),"O")</f>
        <v/>
      </c>
      <c r="Q165" s="24" t="str">
        <f>IF(OR($J165="",$J165="odešel"),IF($F165="žena","",IF(L165="","",(CHOOSE(_xlfn.ARABIC($H165),MATCH(L165+1,'[1]Normy VP'!$G$10:$J$10,-1),MATCH(L165+1,'[1]Normy VP'!$G$11:$J$11,-1),MATCH(L165+1,'[1]Normy VP'!$G$12:$J$12,-1),MATCH(L165+1,'[1]Normy VP'!$G$13:$J$13,-1),MATCH(L165+1,'[1]Normy VP'!$G$14:$J$14,-1),"")))),"O")</f>
        <v/>
      </c>
      <c r="R165" s="34" t="str">
        <f t="shared" si="9"/>
        <v>N</v>
      </c>
      <c r="S165" s="24" t="str">
        <f>IF(OR($J165="",$J165="odešel"),IF(M165="","N",IF($F165="žena",CHOOSE(_xlfn.ARABIC($H165),MATCH(M165+1,'[1]Normy VP'!$G$25:$J$25,-1),MATCH(M165+1,'[1]Normy VP'!$G$26:$J$26,-1),MATCH(M165+1,'[1]Normy VP'!$G$27:$J$27,-1),MATCH(M165+1,'[1]Normy VP'!$G$28:$J$28,-1),MATCH(M165+1,'[1]Normy VP'!$G$29:$J$29,-1),"muž"),(CHOOSE(_xlfn.ARABIC($H165),MATCH(M165+1,'[1]Normy VP'!$K$10:$N$10,-1),MATCH(M165+1,'[1]Normy VP'!$K$11:$N$11,-1),MATCH(M165+1,'[1]Normy VP'!$K$12:$N$12,-1),MATCH(M165+1,'[1]Normy VP'!$K$13:$N$13,-1),MATCH(M165+1,'[1]Normy VP'!$K$14:$N$14,-1),"")))),"O")</f>
        <v>N</v>
      </c>
      <c r="T165" s="34" t="str">
        <f t="shared" si="10"/>
        <v>N</v>
      </c>
      <c r="U165" s="24" t="str">
        <f>IF(OR($J165="",$J165="odešel"),IF(N165="","N",IF($F165="žena",CHOOSE(_xlfn.ARABIC($H165),MATCH(N165+1,'[1]Normy VP'!$K$25:$N$25,-1),MATCH(N165+1,'[1]Normy VP'!$K$26:$N$26,-1),MATCH(N165+1,'[1]Normy VP'!$K$27:$N$27,-1),MATCH(N165+1,'[1]Normy VP'!$K$28:$N$28,-1),MATCH(N165+1,'[1]Normy VP'!$K$29:$N$29,-1),MATCH(N165+1,'[1]Normy VP'!$K$30:$N$30,-1)),CHOOSE(_xlfn.ARABIC($H165),MATCH(N165+1,'[1]Normy VP'!$O$10:$R$10,-1),MATCH(N165+1,'[1]Normy VP'!$O$11:$R$11,-1),MATCH(N165+1,'[1]Normy VP'!$O$12:$R$12,-1),MATCH(N165+1,'[1]Normy VP'!$O$13:$R$13,-1),MATCH(N165+1,'[1]Normy VP'!$O$14:$R$14,-1),MATCH(N165+1,'[1]Normy VP'!$O$15:$R$15,-1)))),"O")</f>
        <v>N</v>
      </c>
      <c r="V165" s="26" t="str">
        <f>IF(OR($J165="",$J165="odešel"),IF(O165="","N",IF($F165="žena",CHOOSE(_xlfn.ARABIC($H165),MATCH(O165-1,'[1]Normy VP'!$O$25:$R$25),MATCH(O165-1,'[1]Normy VP'!$O$26:$R$26),MATCH(O165-1,'[1]Normy VP'!$O$27:$R$27),MATCH(O165-1,'[1]Normy VP'!$O$28:$R$28),MATCH(O165-1,'[1]Normy VP'!$O$29:$R$29),MATCH(O165-1,'[1]Normy VP'!$O$30:$R$30)),CHOOSE(_xlfn.ARABIC($H165),MATCH(O165-1,'[1]Normy VP'!$S$10:$V$10),MATCH(O165-1,'[1]Normy VP'!$S$11:$V$11),MATCH(O165-1,'[1]Normy VP'!$S$12:$V$12),MATCH(O165-1,'[1]Normy VP'!$S$13:$V$13),MATCH(O165-1,'[1]Normy VP'!$S$14:$V$14),MATCH(O165-1,'[1]Normy VP'!$S$15:$V$15)))),"O")</f>
        <v>N</v>
      </c>
      <c r="W165" s="34" t="str">
        <f t="shared" si="11"/>
        <v>N</v>
      </c>
      <c r="X165" s="27" t="str">
        <f>IF(COUNTIF(B165:G165,"")&gt;0,"",IF(COUNTIF([1]PP!$A:$A,A165)=0,"neni v PP",IF(OR(Y165="odešel",VLOOKUP(A165,[1]PP!$A:$W,22,FALSE)="odešel"),"odešel",IF(OR(Y165="N",VLOOKUP(A165,[1]PP!$A:$W,22,FALSE)="N"),"N",IF(OR(Y165="C",VLOOKUP(A165,[1]PP!$A:$W,22,FALSE)="C"),"C",IF(OR(Y165="DZO",VLOOKUP(A165,[1]PP!$A:$W,22,FALSE)="DZO"),"DZO",IF(OR(Y165="mise",Y165="disp.",Y165="končí",Y165="DSC",VLOOKUP(A165,[1]PP!$A:$W,22,FALSE)="mise",VLOOKUP(A165,[1]PP!$A:$W,22,FALSE)="disp.",VLOOKUP(A165,[1]PP!$A:$W,22,FALSE)="končí",VLOOKUP(A165,[1]PP!$A:$W,22,FALSE)="DSC"),"jiné",IF(OR(Y165=4,VLOOKUP(A165,[1]PP!$A:$W,22,FALSE)=4),4,IF(OR(Y165=3,VLOOKUP(A165,[1]PP!$A:$W,22,FALSE)=3),3,IF(OR(Y165=2,VLOOKUP(A165,[1]PP!$A:$W,22,FALSE)=2),2,IF(AND(Y165=1,VLOOKUP(A165,[1]PP!$A:$W,22,FALSE)=1),1)))))))))))</f>
        <v/>
      </c>
      <c r="Y165" s="28" t="str">
        <f>IF(COUNTIF(B165:G165,"")&gt;0,"",IF(COUNTIF([1]PP!$A:$A,A165)=0,"neni v PP",IF(VLOOKUP(A165,[1]PP!$A:$W,8,FALSE)="odešel","odešel",IF(F165="","",IF(J165="",IF(OR(T165=4,W165=4),4,IF(AND(T165="N",W165="N"),"N",IF(OR(T165="N",W165="N"),4,ROUND(AVERAGE(T165,W165),0)))),J165)))))</f>
        <v/>
      </c>
      <c r="Z165" s="29" t="str">
        <f>IF(COUNTIF(B165:G165,"")=0,IF(X165="neni v PP",CONCATENATE("ID: &lt;",A165,"&gt; se neshoduje s žádným IDem v kartě PP"),IF(COUNTIF($A:$A,A165)&gt;1,CONCATENATE("ID: &lt;",A165,"&gt; se v kartě VP opakuje. Je nutné tyto IDy od sebe odlišit, např. mezerou za příjmením."),IF(COUNTIF([1]PP!A:A,A165)&gt;1,CONCATENATE("ID: &lt;",A165,"&gt; se v kartě PP opakuje. Je nutné tyto IDy od sebe odlišit, např. mezerou za příjmením."),IF(VLOOKUP(A165,[1]PP!$A:$W,5,FALSE)&lt;&gt;E165,CONCATENATE($E$4," &lt;",E165,"&gt; se neshoduje s jednotkou v kartě PP"," &lt;",VLOOKUP(A165,[1]PP!$A:$W,5,FALSE),"&gt;"),IF(AND(COUNTIF(K165:O165,"")&lt;5,J165="",I165=""),CONCATENATE("Doplň: ",$I$4),IF(AND(YEAR(I165)&lt;&gt;$E$2,COUNTIF(I165,"")=0),CONCATENATE("špatně uveden &lt;",$D$2,"&gt; nebo &lt;",$I$4,"&gt;"),IF(OR(AND(OR(COUNTIF(C165,"*a"),COUNTIF(C165,"*ie"),COUNTIF(C165,"*ine"),COUNTIF(D165,"*Á")),F165="muž"),AND(AND(COUNTIF(C165,"&lt;&gt;"&amp;"*a"),COUNTIF(C165,"&lt;&gt;"&amp;"*ie"),COUNTIF(C165,"&lt;&gt;"&amp;"*ine"),COUNTIF(D165,"&lt;&gt;"&amp;"*Á")),F165="žena")),CONCATENATE(C165," ",D165," je ",F165,"?"),""))))))),IF(COUNTIF(B165:O165,"")=14,"",CONCATENATE("Doplň: ",IF(B165="",CONCATENATE($B$4,IF(COUNTIF(C165:G165,"")=0,"",", ")),""),IF(C165="",CONCATENATE($C$4,IF(COUNTIF(D165:G165,"")=0,"",", ")),""),IF(D165="",CONCATENATE($D$4,IF(COUNTIF(E165:G165,"")=0,"",", ")),""),IF(E165="",CONCATENATE($E$4,IF(COUNTIF(F165:G165,"")=0,"",", ")),""),IF(F165="",CONCATENATE($F$4,IF(G165="",", ","")),""),IF(G165="",$G$4,""))))</f>
        <v/>
      </c>
      <c r="AA165" s="30"/>
    </row>
    <row r="166" spans="1:27" ht="16" x14ac:dyDescent="0.35">
      <c r="A166" s="14" t="str">
        <f t="shared" si="8"/>
        <v xml:space="preserve">  </v>
      </c>
      <c r="B166" s="15"/>
      <c r="C166" s="31"/>
      <c r="D166" s="31"/>
      <c r="E166" s="17"/>
      <c r="F166" s="18"/>
      <c r="G166" s="32"/>
      <c r="H166" s="33" t="str">
        <f>IF(G166="","",IF(F166="žena",ROMAN(MATCH(G166+1,'[1]Normy VP'!$Y$27:$Y$33,-1)),ROMAN(MATCH(G166+1,'[1]Normy VP'!$Y$19:$Y$25,-1))))</f>
        <v/>
      </c>
      <c r="I166" s="21"/>
      <c r="J166" s="22"/>
      <c r="K166" s="23"/>
      <c r="L166" s="23"/>
      <c r="M166" s="23"/>
      <c r="N166" s="22"/>
      <c r="O166" s="22"/>
      <c r="P166" s="24" t="str">
        <f>IF(OR($J166="",$J166="odešel"),IF(K166="","",IF($F166="žena",CHOOSE(_xlfn.ARABIC($H166),MATCH(K166+1,'[1]Normy VP'!$C$25:$F$25,-1),MATCH(K166+1,'[1]Normy VP'!$C$26:$F$26,-1),MATCH(K166+1,'[1]Normy VP'!$C$27:$F$27,-1),MATCH(K166+1,'[1]Normy VP'!$C$28:$F$28,-1),MATCH(K166+1,'[1]Normy VP'!$C$29:$F$29,-1),"muž"),CHOOSE(_xlfn.ARABIC($H166),MATCH(K166+1,'[1]Normy VP'!$C$10:$F$10,-1),MATCH(K166+1,'[1]Normy VP'!$C$11:$F$11,-1),MATCH(K166+1,'[1]Normy VP'!$C$12:$F$12,-1),MATCH(K166+1,'[1]Normy VP'!$C$13:$F$13,-1),MATCH(K166+1,'[1]Normy VP'!$C$14:$F$14,-1),""))),"O")</f>
        <v/>
      </c>
      <c r="Q166" s="24" t="str">
        <f>IF(OR($J166="",$J166="odešel"),IF($F166="žena","",IF(L166="","",(CHOOSE(_xlfn.ARABIC($H166),MATCH(L166+1,'[1]Normy VP'!$G$10:$J$10,-1),MATCH(L166+1,'[1]Normy VP'!$G$11:$J$11,-1),MATCH(L166+1,'[1]Normy VP'!$G$12:$J$12,-1),MATCH(L166+1,'[1]Normy VP'!$G$13:$J$13,-1),MATCH(L166+1,'[1]Normy VP'!$G$14:$J$14,-1),"")))),"O")</f>
        <v/>
      </c>
      <c r="R166" s="34" t="str">
        <f t="shared" si="9"/>
        <v>N</v>
      </c>
      <c r="S166" s="24" t="str">
        <f>IF(OR($J166="",$J166="odešel"),IF(M166="","N",IF($F166="žena",CHOOSE(_xlfn.ARABIC($H166),MATCH(M166+1,'[1]Normy VP'!$G$25:$J$25,-1),MATCH(M166+1,'[1]Normy VP'!$G$26:$J$26,-1),MATCH(M166+1,'[1]Normy VP'!$G$27:$J$27,-1),MATCH(M166+1,'[1]Normy VP'!$G$28:$J$28,-1),MATCH(M166+1,'[1]Normy VP'!$G$29:$J$29,-1),"muž"),(CHOOSE(_xlfn.ARABIC($H166),MATCH(M166+1,'[1]Normy VP'!$K$10:$N$10,-1),MATCH(M166+1,'[1]Normy VP'!$K$11:$N$11,-1),MATCH(M166+1,'[1]Normy VP'!$K$12:$N$12,-1),MATCH(M166+1,'[1]Normy VP'!$K$13:$N$13,-1),MATCH(M166+1,'[1]Normy VP'!$K$14:$N$14,-1),"")))),"O")</f>
        <v>N</v>
      </c>
      <c r="T166" s="34" t="str">
        <f t="shared" si="10"/>
        <v>N</v>
      </c>
      <c r="U166" s="24" t="str">
        <f>IF(OR($J166="",$J166="odešel"),IF(N166="","N",IF($F166="žena",CHOOSE(_xlfn.ARABIC($H166),MATCH(N166+1,'[1]Normy VP'!$K$25:$N$25,-1),MATCH(N166+1,'[1]Normy VP'!$K$26:$N$26,-1),MATCH(N166+1,'[1]Normy VP'!$K$27:$N$27,-1),MATCH(N166+1,'[1]Normy VP'!$K$28:$N$28,-1),MATCH(N166+1,'[1]Normy VP'!$K$29:$N$29,-1),MATCH(N166+1,'[1]Normy VP'!$K$30:$N$30,-1)),CHOOSE(_xlfn.ARABIC($H166),MATCH(N166+1,'[1]Normy VP'!$O$10:$R$10,-1),MATCH(N166+1,'[1]Normy VP'!$O$11:$R$11,-1),MATCH(N166+1,'[1]Normy VP'!$O$12:$R$12,-1),MATCH(N166+1,'[1]Normy VP'!$O$13:$R$13,-1),MATCH(N166+1,'[1]Normy VP'!$O$14:$R$14,-1),MATCH(N166+1,'[1]Normy VP'!$O$15:$R$15,-1)))),"O")</f>
        <v>N</v>
      </c>
      <c r="V166" s="26" t="str">
        <f>IF(OR($J166="",$J166="odešel"),IF(O166="","N",IF($F166="žena",CHOOSE(_xlfn.ARABIC($H166),MATCH(O166-1,'[1]Normy VP'!$O$25:$R$25),MATCH(O166-1,'[1]Normy VP'!$O$26:$R$26),MATCH(O166-1,'[1]Normy VP'!$O$27:$R$27),MATCH(O166-1,'[1]Normy VP'!$O$28:$R$28),MATCH(O166-1,'[1]Normy VP'!$O$29:$R$29),MATCH(O166-1,'[1]Normy VP'!$O$30:$R$30)),CHOOSE(_xlfn.ARABIC($H166),MATCH(O166-1,'[1]Normy VP'!$S$10:$V$10),MATCH(O166-1,'[1]Normy VP'!$S$11:$V$11),MATCH(O166-1,'[1]Normy VP'!$S$12:$V$12),MATCH(O166-1,'[1]Normy VP'!$S$13:$V$13),MATCH(O166-1,'[1]Normy VP'!$S$14:$V$14),MATCH(O166-1,'[1]Normy VP'!$S$15:$V$15)))),"O")</f>
        <v>N</v>
      </c>
      <c r="W166" s="34" t="str">
        <f t="shared" si="11"/>
        <v>N</v>
      </c>
      <c r="X166" s="27" t="str">
        <f>IF(COUNTIF(B166:G166,"")&gt;0,"",IF(COUNTIF([1]PP!$A:$A,A166)=0,"neni v PP",IF(OR(Y166="odešel",VLOOKUP(A166,[1]PP!$A:$W,22,FALSE)="odešel"),"odešel",IF(OR(Y166="N",VLOOKUP(A166,[1]PP!$A:$W,22,FALSE)="N"),"N",IF(OR(Y166="C",VLOOKUP(A166,[1]PP!$A:$W,22,FALSE)="C"),"C",IF(OR(Y166="DZO",VLOOKUP(A166,[1]PP!$A:$W,22,FALSE)="DZO"),"DZO",IF(OR(Y166="mise",Y166="disp.",Y166="končí",Y166="DSC",VLOOKUP(A166,[1]PP!$A:$W,22,FALSE)="mise",VLOOKUP(A166,[1]PP!$A:$W,22,FALSE)="disp.",VLOOKUP(A166,[1]PP!$A:$W,22,FALSE)="končí",VLOOKUP(A166,[1]PP!$A:$W,22,FALSE)="DSC"),"jiné",IF(OR(Y166=4,VLOOKUP(A166,[1]PP!$A:$W,22,FALSE)=4),4,IF(OR(Y166=3,VLOOKUP(A166,[1]PP!$A:$W,22,FALSE)=3),3,IF(OR(Y166=2,VLOOKUP(A166,[1]PP!$A:$W,22,FALSE)=2),2,IF(AND(Y166=1,VLOOKUP(A166,[1]PP!$A:$W,22,FALSE)=1),1)))))))))))</f>
        <v/>
      </c>
      <c r="Y166" s="28" t="str">
        <f>IF(COUNTIF(B166:G166,"")&gt;0,"",IF(COUNTIF([1]PP!$A:$A,A166)=0,"neni v PP",IF(VLOOKUP(A166,[1]PP!$A:$W,8,FALSE)="odešel","odešel",IF(F166="","",IF(J166="",IF(OR(T166=4,W166=4),4,IF(AND(T166="N",W166="N"),"N",IF(OR(T166="N",W166="N"),4,ROUND(AVERAGE(T166,W166),0)))),J166)))))</f>
        <v/>
      </c>
      <c r="Z166" s="29"/>
      <c r="AA166" s="30"/>
    </row>
    <row r="167" spans="1:27" ht="16" x14ac:dyDescent="0.35">
      <c r="A167" s="14" t="str">
        <f t="shared" si="8"/>
        <v xml:space="preserve">  </v>
      </c>
      <c r="B167" s="15"/>
      <c r="C167" s="31"/>
      <c r="D167" s="31"/>
      <c r="E167" s="17"/>
      <c r="F167" s="18"/>
      <c r="G167" s="32"/>
      <c r="H167" s="33" t="str">
        <f>IF(G167="","",IF(F167="žena",ROMAN(MATCH(G167+1,'[1]Normy VP'!$Y$27:$Y$33,-1)),ROMAN(MATCH(G167+1,'[1]Normy VP'!$Y$19:$Y$25,-1))))</f>
        <v/>
      </c>
      <c r="I167" s="21"/>
      <c r="J167" s="22"/>
      <c r="K167" s="23"/>
      <c r="L167" s="23"/>
      <c r="M167" s="23"/>
      <c r="N167" s="22"/>
      <c r="O167" s="22"/>
      <c r="P167" s="24" t="str">
        <f>IF(OR($J167="",$J167="odešel"),IF(K167="","",IF($F167="žena",CHOOSE(_xlfn.ARABIC($H167),MATCH(K167+1,'[1]Normy VP'!$C$25:$F$25,-1),MATCH(K167+1,'[1]Normy VP'!$C$26:$F$26,-1),MATCH(K167+1,'[1]Normy VP'!$C$27:$F$27,-1),MATCH(K167+1,'[1]Normy VP'!$C$28:$F$28,-1),MATCH(K167+1,'[1]Normy VP'!$C$29:$F$29,-1),"muž"),CHOOSE(_xlfn.ARABIC($H167),MATCH(K167+1,'[1]Normy VP'!$C$10:$F$10,-1),MATCH(K167+1,'[1]Normy VP'!$C$11:$F$11,-1),MATCH(K167+1,'[1]Normy VP'!$C$12:$F$12,-1),MATCH(K167+1,'[1]Normy VP'!$C$13:$F$13,-1),MATCH(K167+1,'[1]Normy VP'!$C$14:$F$14,-1),""))),"O")</f>
        <v/>
      </c>
      <c r="Q167" s="24" t="str">
        <f>IF(OR($J167="",$J167="odešel"),IF($F167="žena","",IF(L167="","",(CHOOSE(_xlfn.ARABIC($H167),MATCH(L167+1,'[1]Normy VP'!$G$10:$J$10,-1),MATCH(L167+1,'[1]Normy VP'!$G$11:$J$11,-1),MATCH(L167+1,'[1]Normy VP'!$G$12:$J$12,-1),MATCH(L167+1,'[1]Normy VP'!$G$13:$J$13,-1),MATCH(L167+1,'[1]Normy VP'!$G$14:$J$14,-1),"")))),"O")</f>
        <v/>
      </c>
      <c r="R167" s="34" t="str">
        <f t="shared" si="9"/>
        <v>N</v>
      </c>
      <c r="S167" s="24" t="str">
        <f>IF(OR($J167="",$J167="odešel"),IF(M167="","N",IF($F167="žena",CHOOSE(_xlfn.ARABIC($H167),MATCH(M167+1,'[1]Normy VP'!$G$25:$J$25,-1),MATCH(M167+1,'[1]Normy VP'!$G$26:$J$26,-1),MATCH(M167+1,'[1]Normy VP'!$G$27:$J$27,-1),MATCH(M167+1,'[1]Normy VP'!$G$28:$J$28,-1),MATCH(M167+1,'[1]Normy VP'!$G$29:$J$29,-1),"muž"),(CHOOSE(_xlfn.ARABIC($H167),MATCH(M167+1,'[1]Normy VP'!$K$10:$N$10,-1),MATCH(M167+1,'[1]Normy VP'!$K$11:$N$11,-1),MATCH(M167+1,'[1]Normy VP'!$K$12:$N$12,-1),MATCH(M167+1,'[1]Normy VP'!$K$13:$N$13,-1),MATCH(M167+1,'[1]Normy VP'!$K$14:$N$14,-1),"")))),"O")</f>
        <v>N</v>
      </c>
      <c r="T167" s="34" t="str">
        <f t="shared" si="10"/>
        <v>N</v>
      </c>
      <c r="U167" s="24" t="str">
        <f>IF(OR($J167="",$J167="odešel"),IF(N167="","N",IF($F167="žena",CHOOSE(_xlfn.ARABIC($H167),MATCH(N167+1,'[1]Normy VP'!$K$25:$N$25,-1),MATCH(N167+1,'[1]Normy VP'!$K$26:$N$26,-1),MATCH(N167+1,'[1]Normy VP'!$K$27:$N$27,-1),MATCH(N167+1,'[1]Normy VP'!$K$28:$N$28,-1),MATCH(N167+1,'[1]Normy VP'!$K$29:$N$29,-1),MATCH(N167+1,'[1]Normy VP'!$K$30:$N$30,-1)),CHOOSE(_xlfn.ARABIC($H167),MATCH(N167+1,'[1]Normy VP'!$O$10:$R$10,-1),MATCH(N167+1,'[1]Normy VP'!$O$11:$R$11,-1),MATCH(N167+1,'[1]Normy VP'!$O$12:$R$12,-1),MATCH(N167+1,'[1]Normy VP'!$O$13:$R$13,-1),MATCH(N167+1,'[1]Normy VP'!$O$14:$R$14,-1),MATCH(N167+1,'[1]Normy VP'!$O$15:$R$15,-1)))),"O")</f>
        <v>N</v>
      </c>
      <c r="V167" s="26" t="str">
        <f>IF(OR($J167="",$J167="odešel"),IF(O167="","N",IF($F167="žena",CHOOSE(_xlfn.ARABIC($H167),MATCH(O167-1,'[1]Normy VP'!$O$25:$R$25),MATCH(O167-1,'[1]Normy VP'!$O$26:$R$26),MATCH(O167-1,'[1]Normy VP'!$O$27:$R$27),MATCH(O167-1,'[1]Normy VP'!$O$28:$R$28),MATCH(O167-1,'[1]Normy VP'!$O$29:$R$29),MATCH(O167-1,'[1]Normy VP'!$O$30:$R$30)),CHOOSE(_xlfn.ARABIC($H167),MATCH(O167-1,'[1]Normy VP'!$S$10:$V$10),MATCH(O167-1,'[1]Normy VP'!$S$11:$V$11),MATCH(O167-1,'[1]Normy VP'!$S$12:$V$12),MATCH(O167-1,'[1]Normy VP'!$S$13:$V$13),MATCH(O167-1,'[1]Normy VP'!$S$14:$V$14),MATCH(O167-1,'[1]Normy VP'!$S$15:$V$15)))),"O")</f>
        <v>N</v>
      </c>
      <c r="W167" s="34" t="str">
        <f t="shared" si="11"/>
        <v>N</v>
      </c>
      <c r="X167" s="27" t="str">
        <f>IF(COUNTIF(B167:G167,"")&gt;0,"",IF(COUNTIF([1]PP!$A:$A,A167)=0,"neni v PP",IF(OR(Y167="odešel",VLOOKUP(A167,[1]PP!$A:$W,22,FALSE)="odešel"),"odešel",IF(OR(Y167="N",VLOOKUP(A167,[1]PP!$A:$W,22,FALSE)="N"),"N",IF(OR(Y167="C",VLOOKUP(A167,[1]PP!$A:$W,22,FALSE)="C"),"C",IF(OR(Y167="DZO",VLOOKUP(A167,[1]PP!$A:$W,22,FALSE)="DZO"),"DZO",IF(OR(Y167="mise",Y167="disp.",Y167="končí",Y167="DSC",VLOOKUP(A167,[1]PP!$A:$W,22,FALSE)="mise",VLOOKUP(A167,[1]PP!$A:$W,22,FALSE)="disp.",VLOOKUP(A167,[1]PP!$A:$W,22,FALSE)="končí",VLOOKUP(A167,[1]PP!$A:$W,22,FALSE)="DSC"),"jiné",IF(OR(Y167=4,VLOOKUP(A167,[1]PP!$A:$W,22,FALSE)=4),4,IF(OR(Y167=3,VLOOKUP(A167,[1]PP!$A:$W,22,FALSE)=3),3,IF(OR(Y167=2,VLOOKUP(A167,[1]PP!$A:$W,22,FALSE)=2),2,IF(AND(Y167=1,VLOOKUP(A167,[1]PP!$A:$W,22,FALSE)=1),1)))))))))))</f>
        <v/>
      </c>
      <c r="Y167" s="28" t="str">
        <f>IF(COUNTIF(B167:G167,"")&gt;0,"",IF(COUNTIF([1]PP!$A:$A,A167)=0,"neni v PP",IF(VLOOKUP(A167,[1]PP!$A:$W,8,FALSE)="odešel","odešel",IF(F167="","",IF(J167="",IF(OR(T167=4,W167=4),4,IF(AND(T167="N",W167="N"),"N",IF(OR(T167="N",W167="N"),4,ROUND(AVERAGE(T167,W167),0)))),J167)))))</f>
        <v/>
      </c>
      <c r="Z167" s="29" t="str">
        <f>IF(COUNTIF(B167:G167,"")=0,IF(X167="neni v PP",CONCATENATE("ID: &lt;",A167,"&gt; se neshoduje s žádným IDem v kartě PP"),IF(COUNTIF($A:$A,A167)&gt;1,CONCATENATE("ID: &lt;",A167,"&gt; se v kartě VP opakuje. Je nutné tyto IDy od sebe odlišit, např. mezerou za příjmením."),IF(COUNTIF([1]PP!A:A,A167)&gt;1,CONCATENATE("ID: &lt;",A167,"&gt; se v kartě PP opakuje. Je nutné tyto IDy od sebe odlišit, např. mezerou za příjmením."),IF(VLOOKUP(A167,[1]PP!$A:$W,5,FALSE)&lt;&gt;E167,CONCATENATE($E$4," &lt;",E167,"&gt; se neshoduje s jednotkou v kartě PP"," &lt;",VLOOKUP(A167,[1]PP!$A:$W,5,FALSE),"&gt;"),IF(AND(COUNTIF(K167:O167,"")&lt;5,J167="",I167=""),CONCATENATE("Doplň: ",$I$4),IF(AND(YEAR(I167)&lt;&gt;$E$2,COUNTIF(I167,"")=0),CONCATENATE("špatně uveden &lt;",$D$2,"&gt; nebo &lt;",$I$4,"&gt;"),IF(OR(AND(OR(COUNTIF(C167,"*a"),COUNTIF(C167,"*ie"),COUNTIF(C167,"*ine"),COUNTIF(D167,"*Á")),F167="muž"),AND(AND(COUNTIF(C167,"&lt;&gt;"&amp;"*a"),COUNTIF(C167,"&lt;&gt;"&amp;"*ie"),COUNTIF(C167,"&lt;&gt;"&amp;"*ine"),COUNTIF(D167,"&lt;&gt;"&amp;"*Á")),F167="žena")),CONCATENATE(C167," ",D167," je ",F167,"?"),""))))))),IF(COUNTIF(B167:O167,"")=14,"",CONCATENATE("Doplň: ",IF(B167="",CONCATENATE($B$4,IF(COUNTIF(C167:G167,"")=0,"",", ")),""),IF(C167="",CONCATENATE($C$4,IF(COUNTIF(D167:G167,"")=0,"",", ")),""),IF(D167="",CONCATENATE($D$4,IF(COUNTIF(E167:G167,"")=0,"",", ")),""),IF(E167="",CONCATENATE($E$4,IF(COUNTIF(F167:G167,"")=0,"",", ")),""),IF(F167="",CONCATENATE($F$4,IF(G167="",", ","")),""),IF(G167="",$G$4,""))))</f>
        <v/>
      </c>
      <c r="AA167" s="30"/>
    </row>
    <row r="168" spans="1:27" ht="16" x14ac:dyDescent="0.35">
      <c r="A168" s="14" t="str">
        <f t="shared" si="8"/>
        <v xml:space="preserve">  </v>
      </c>
      <c r="B168" s="15"/>
      <c r="C168" s="31"/>
      <c r="D168" s="31"/>
      <c r="E168" s="17"/>
      <c r="F168" s="18"/>
      <c r="G168" s="32"/>
      <c r="H168" s="33" t="str">
        <f>IF(G168="","",IF(F168="žena",ROMAN(MATCH(G168+1,'[1]Normy VP'!$Y$27:$Y$33,-1)),ROMAN(MATCH(G168+1,'[1]Normy VP'!$Y$19:$Y$25,-1))))</f>
        <v/>
      </c>
      <c r="I168" s="21"/>
      <c r="J168" s="22"/>
      <c r="K168" s="23"/>
      <c r="L168" s="23"/>
      <c r="M168" s="23"/>
      <c r="N168" s="22"/>
      <c r="O168" s="22"/>
      <c r="P168" s="24" t="str">
        <f>IF(OR($J168="",$J168="odešel"),IF(K168="","",IF($F168="žena",CHOOSE(_xlfn.ARABIC($H168),MATCH(K168+1,'[1]Normy VP'!$C$25:$F$25,-1),MATCH(K168+1,'[1]Normy VP'!$C$26:$F$26,-1),MATCH(K168+1,'[1]Normy VP'!$C$27:$F$27,-1),MATCH(K168+1,'[1]Normy VP'!$C$28:$F$28,-1),MATCH(K168+1,'[1]Normy VP'!$C$29:$F$29,-1),"muž"),CHOOSE(_xlfn.ARABIC($H168),MATCH(K168+1,'[1]Normy VP'!$C$10:$F$10,-1),MATCH(K168+1,'[1]Normy VP'!$C$11:$F$11,-1),MATCH(K168+1,'[1]Normy VP'!$C$12:$F$12,-1),MATCH(K168+1,'[1]Normy VP'!$C$13:$F$13,-1),MATCH(K168+1,'[1]Normy VP'!$C$14:$F$14,-1),""))),"O")</f>
        <v/>
      </c>
      <c r="Q168" s="24" t="str">
        <f>IF(OR($J168="",$J168="odešel"),IF($F168="žena","",IF(L168="","",(CHOOSE(_xlfn.ARABIC($H168),MATCH(L168+1,'[1]Normy VP'!$G$10:$J$10,-1),MATCH(L168+1,'[1]Normy VP'!$G$11:$J$11,-1),MATCH(L168+1,'[1]Normy VP'!$G$12:$J$12,-1),MATCH(L168+1,'[1]Normy VP'!$G$13:$J$13,-1),MATCH(L168+1,'[1]Normy VP'!$G$14:$J$14,-1),"")))),"O")</f>
        <v/>
      </c>
      <c r="R168" s="34" t="str">
        <f t="shared" si="9"/>
        <v>N</v>
      </c>
      <c r="S168" s="24" t="str">
        <f>IF(OR($J168="",$J168="odešel"),IF(M168="","N",IF($F168="žena",CHOOSE(_xlfn.ARABIC($H168),MATCH(M168+1,'[1]Normy VP'!$G$25:$J$25,-1),MATCH(M168+1,'[1]Normy VP'!$G$26:$J$26,-1),MATCH(M168+1,'[1]Normy VP'!$G$27:$J$27,-1),MATCH(M168+1,'[1]Normy VP'!$G$28:$J$28,-1),MATCH(M168+1,'[1]Normy VP'!$G$29:$J$29,-1),"muž"),(CHOOSE(_xlfn.ARABIC($H168),MATCH(M168+1,'[1]Normy VP'!$K$10:$N$10,-1),MATCH(M168+1,'[1]Normy VP'!$K$11:$N$11,-1),MATCH(M168+1,'[1]Normy VP'!$K$12:$N$12,-1),MATCH(M168+1,'[1]Normy VP'!$K$13:$N$13,-1),MATCH(M168+1,'[1]Normy VP'!$K$14:$N$14,-1),"")))),"O")</f>
        <v>N</v>
      </c>
      <c r="T168" s="34" t="str">
        <f t="shared" si="10"/>
        <v>N</v>
      </c>
      <c r="U168" s="24" t="str">
        <f>IF(OR($J168="",$J168="odešel"),IF(N168="","N",IF($F168="žena",CHOOSE(_xlfn.ARABIC($H168),MATCH(N168+1,'[1]Normy VP'!$K$25:$N$25,-1),MATCH(N168+1,'[1]Normy VP'!$K$26:$N$26,-1),MATCH(N168+1,'[1]Normy VP'!$K$27:$N$27,-1),MATCH(N168+1,'[1]Normy VP'!$K$28:$N$28,-1),MATCH(N168+1,'[1]Normy VP'!$K$29:$N$29,-1),MATCH(N168+1,'[1]Normy VP'!$K$30:$N$30,-1)),CHOOSE(_xlfn.ARABIC($H168),MATCH(N168+1,'[1]Normy VP'!$O$10:$R$10,-1),MATCH(N168+1,'[1]Normy VP'!$O$11:$R$11,-1),MATCH(N168+1,'[1]Normy VP'!$O$12:$R$12,-1),MATCH(N168+1,'[1]Normy VP'!$O$13:$R$13,-1),MATCH(N168+1,'[1]Normy VP'!$O$14:$R$14,-1),MATCH(N168+1,'[1]Normy VP'!$O$15:$R$15,-1)))),"O")</f>
        <v>N</v>
      </c>
      <c r="V168" s="26" t="str">
        <f>IF(OR($J168="",$J168="odešel"),IF(O168="","N",IF($F168="žena",CHOOSE(_xlfn.ARABIC($H168),MATCH(O168-1,'[1]Normy VP'!$O$25:$R$25),MATCH(O168-1,'[1]Normy VP'!$O$26:$R$26),MATCH(O168-1,'[1]Normy VP'!$O$27:$R$27),MATCH(O168-1,'[1]Normy VP'!$O$28:$R$28),MATCH(O168-1,'[1]Normy VP'!$O$29:$R$29),MATCH(O168-1,'[1]Normy VP'!$O$30:$R$30)),CHOOSE(_xlfn.ARABIC($H168),MATCH(O168-1,'[1]Normy VP'!$S$10:$V$10),MATCH(O168-1,'[1]Normy VP'!$S$11:$V$11),MATCH(O168-1,'[1]Normy VP'!$S$12:$V$12),MATCH(O168-1,'[1]Normy VP'!$S$13:$V$13),MATCH(O168-1,'[1]Normy VP'!$S$14:$V$14),MATCH(O168-1,'[1]Normy VP'!$S$15:$V$15)))),"O")</f>
        <v>N</v>
      </c>
      <c r="W168" s="34" t="str">
        <f t="shared" si="11"/>
        <v>N</v>
      </c>
      <c r="X168" s="27" t="str">
        <f>IF(COUNTIF(B168:G168,"")&gt;0,"",IF(COUNTIF([1]PP!$A:$A,A168)=0,"neni v PP",IF(OR(Y168="odešel",VLOOKUP(A168,[1]PP!$A:$W,22,FALSE)="odešel"),"odešel",IF(OR(Y168="N",VLOOKUP(A168,[1]PP!$A:$W,22,FALSE)="N"),"N",IF(OR(Y168="C",VLOOKUP(A168,[1]PP!$A:$W,22,FALSE)="C"),"C",IF(OR(Y168="DZO",VLOOKUP(A168,[1]PP!$A:$W,22,FALSE)="DZO"),"DZO",IF(OR(Y168="mise",Y168="disp.",Y168="končí",Y168="DSC",VLOOKUP(A168,[1]PP!$A:$W,22,FALSE)="mise",VLOOKUP(A168,[1]PP!$A:$W,22,FALSE)="disp.",VLOOKUP(A168,[1]PP!$A:$W,22,FALSE)="končí",VLOOKUP(A168,[1]PP!$A:$W,22,FALSE)="DSC"),"jiné",IF(OR(Y168=4,VLOOKUP(A168,[1]PP!$A:$W,22,FALSE)=4),4,IF(OR(Y168=3,VLOOKUP(A168,[1]PP!$A:$W,22,FALSE)=3),3,IF(OR(Y168=2,VLOOKUP(A168,[1]PP!$A:$W,22,FALSE)=2),2,IF(AND(Y168=1,VLOOKUP(A168,[1]PP!$A:$W,22,FALSE)=1),1)))))))))))</f>
        <v/>
      </c>
      <c r="Y168" s="28" t="str">
        <f>IF(COUNTIF(B168:G168,"")&gt;0,"",IF(COUNTIF([1]PP!$A:$A,A168)=0,"neni v PP",IF(VLOOKUP(A168,[1]PP!$A:$W,8,FALSE)="odešel","odešel",IF(F168="","",IF(J168="",IF(OR(T168=4,W168=4),4,IF(AND(T168="N",W168="N"),"N",IF(OR(T168="N",W168="N"),4,ROUND(AVERAGE(T168,W168),0)))),J168)))))</f>
        <v/>
      </c>
      <c r="Z168" s="29" t="str">
        <f>IF(COUNTIF(B168:G168,"")=0,IF(X168="neni v PP",CONCATENATE("ID: &lt;",A168,"&gt; se neshoduje s žádným IDem v kartě PP"),IF(COUNTIF($A:$A,A168)&gt;1,CONCATENATE("ID: &lt;",A168,"&gt; se v kartě VP opakuje. Je nutné tyto IDy od sebe odlišit, např. mezerou za příjmením."),IF(COUNTIF([1]PP!A:A,A168)&gt;1,CONCATENATE("ID: &lt;",A168,"&gt; se v kartě PP opakuje. Je nutné tyto IDy od sebe odlišit, např. mezerou za příjmením."),IF(VLOOKUP(A168,[1]PP!$A:$W,5,FALSE)&lt;&gt;E168,CONCATENATE($E$4," &lt;",E168,"&gt; se neshoduje s jednotkou v kartě PP"," &lt;",VLOOKUP(A168,[1]PP!$A:$W,5,FALSE),"&gt;"),IF(AND(COUNTIF(K168:O168,"")&lt;5,J168="",I168=""),CONCATENATE("Doplň: ",$I$4),IF(AND(YEAR(I168)&lt;&gt;$E$2,COUNTIF(I168,"")=0),CONCATENATE("špatně uveden &lt;",$D$2,"&gt; nebo &lt;",$I$4,"&gt;"),IF(OR(AND(OR(COUNTIF(C168,"*a"),COUNTIF(C168,"*ie"),COUNTIF(C168,"*ine"),COUNTIF(D168,"*Á")),F168="muž"),AND(AND(COUNTIF(C168,"&lt;&gt;"&amp;"*a"),COUNTIF(C168,"&lt;&gt;"&amp;"*ie"),COUNTIF(C168,"&lt;&gt;"&amp;"*ine"),COUNTIF(D168,"&lt;&gt;"&amp;"*Á")),F168="žena")),CONCATENATE(C168," ",D168," je ",F168,"?"),""))))))),IF(COUNTIF(B168:O168,"")=14,"",CONCATENATE("Doplň: ",IF(B168="",CONCATENATE($B$4,IF(COUNTIF(C168:G168,"")=0,"",", ")),""),IF(C168="",CONCATENATE($C$4,IF(COUNTIF(D168:G168,"")=0,"",", ")),""),IF(D168="",CONCATENATE($D$4,IF(COUNTIF(E168:G168,"")=0,"",", ")),""),IF(E168="",CONCATENATE($E$4,IF(COUNTIF(F168:G168,"")=0,"",", ")),""),IF(F168="",CONCATENATE($F$4,IF(G168="",", ","")),""),IF(G168="",$G$4,""))))</f>
        <v/>
      </c>
      <c r="AA168" s="30"/>
    </row>
    <row r="169" spans="1:27" ht="16" x14ac:dyDescent="0.35">
      <c r="A169" s="14" t="str">
        <f t="shared" si="8"/>
        <v xml:space="preserve">  </v>
      </c>
      <c r="B169" s="15"/>
      <c r="C169" s="31"/>
      <c r="D169" s="31"/>
      <c r="E169" s="17"/>
      <c r="F169" s="18"/>
      <c r="G169" s="32"/>
      <c r="H169" s="33" t="str">
        <f>IF(G169="","",IF(F169="žena",ROMAN(MATCH(G169+1,'[1]Normy VP'!$Y$27:$Y$33,-1)),ROMAN(MATCH(G169+1,'[1]Normy VP'!$Y$19:$Y$25,-1))))</f>
        <v/>
      </c>
      <c r="I169" s="21"/>
      <c r="J169" s="22"/>
      <c r="K169" s="23"/>
      <c r="L169" s="23"/>
      <c r="M169" s="23"/>
      <c r="N169" s="22"/>
      <c r="O169" s="22"/>
      <c r="P169" s="24" t="str">
        <f>IF(OR($J169="",$J169="odešel"),IF(K169="","",IF($F169="žena",CHOOSE(_xlfn.ARABIC($H169),MATCH(K169+1,'[1]Normy VP'!$C$25:$F$25,-1),MATCH(K169+1,'[1]Normy VP'!$C$26:$F$26,-1),MATCH(K169+1,'[1]Normy VP'!$C$27:$F$27,-1),MATCH(K169+1,'[1]Normy VP'!$C$28:$F$28,-1),MATCH(K169+1,'[1]Normy VP'!$C$29:$F$29,-1),"muž"),CHOOSE(_xlfn.ARABIC($H169),MATCH(K169+1,'[1]Normy VP'!$C$10:$F$10,-1),MATCH(K169+1,'[1]Normy VP'!$C$11:$F$11,-1),MATCH(K169+1,'[1]Normy VP'!$C$12:$F$12,-1),MATCH(K169+1,'[1]Normy VP'!$C$13:$F$13,-1),MATCH(K169+1,'[1]Normy VP'!$C$14:$F$14,-1),""))),"O")</f>
        <v/>
      </c>
      <c r="Q169" s="24" t="str">
        <f>IF(OR($J169="",$J169="odešel"),IF($F169="žena","",IF(L169="","",(CHOOSE(_xlfn.ARABIC($H169),MATCH(L169+1,'[1]Normy VP'!$G$10:$J$10,-1),MATCH(L169+1,'[1]Normy VP'!$G$11:$J$11,-1),MATCH(L169+1,'[1]Normy VP'!$G$12:$J$12,-1),MATCH(L169+1,'[1]Normy VP'!$G$13:$J$13,-1),MATCH(L169+1,'[1]Normy VP'!$G$14:$J$14,-1),"")))),"O")</f>
        <v/>
      </c>
      <c r="R169" s="34" t="str">
        <f t="shared" si="9"/>
        <v>N</v>
      </c>
      <c r="S169" s="24" t="str">
        <f>IF(OR($J169="",$J169="odešel"),IF(M169="","N",IF($F169="žena",CHOOSE(_xlfn.ARABIC($H169),MATCH(M169+1,'[1]Normy VP'!$G$25:$J$25,-1),MATCH(M169+1,'[1]Normy VP'!$G$26:$J$26,-1),MATCH(M169+1,'[1]Normy VP'!$G$27:$J$27,-1),MATCH(M169+1,'[1]Normy VP'!$G$28:$J$28,-1),MATCH(M169+1,'[1]Normy VP'!$G$29:$J$29,-1),"muž"),(CHOOSE(_xlfn.ARABIC($H169),MATCH(M169+1,'[1]Normy VP'!$K$10:$N$10,-1),MATCH(M169+1,'[1]Normy VP'!$K$11:$N$11,-1),MATCH(M169+1,'[1]Normy VP'!$K$12:$N$12,-1),MATCH(M169+1,'[1]Normy VP'!$K$13:$N$13,-1),MATCH(M169+1,'[1]Normy VP'!$K$14:$N$14,-1),"")))),"O")</f>
        <v>N</v>
      </c>
      <c r="T169" s="34" t="str">
        <f t="shared" si="10"/>
        <v>N</v>
      </c>
      <c r="U169" s="24" t="str">
        <f>IF(OR($J169="",$J169="odešel"),IF(N169="","N",IF($F169="žena",CHOOSE(_xlfn.ARABIC($H169),MATCH(N169+1,'[1]Normy VP'!$K$25:$N$25,-1),MATCH(N169+1,'[1]Normy VP'!$K$26:$N$26,-1),MATCH(N169+1,'[1]Normy VP'!$K$27:$N$27,-1),MATCH(N169+1,'[1]Normy VP'!$K$28:$N$28,-1),MATCH(N169+1,'[1]Normy VP'!$K$29:$N$29,-1),MATCH(N169+1,'[1]Normy VP'!$K$30:$N$30,-1)),CHOOSE(_xlfn.ARABIC($H169),MATCH(N169+1,'[1]Normy VP'!$O$10:$R$10,-1),MATCH(N169+1,'[1]Normy VP'!$O$11:$R$11,-1),MATCH(N169+1,'[1]Normy VP'!$O$12:$R$12,-1),MATCH(N169+1,'[1]Normy VP'!$O$13:$R$13,-1),MATCH(N169+1,'[1]Normy VP'!$O$14:$R$14,-1),MATCH(N169+1,'[1]Normy VP'!$O$15:$R$15,-1)))),"O")</f>
        <v>N</v>
      </c>
      <c r="V169" s="26" t="str">
        <f>IF(OR($J169="",$J169="odešel"),IF(O169="","N",IF($F169="žena",CHOOSE(_xlfn.ARABIC($H169),MATCH(O169-1,'[1]Normy VP'!$O$25:$R$25),MATCH(O169-1,'[1]Normy VP'!$O$26:$R$26),MATCH(O169-1,'[1]Normy VP'!$O$27:$R$27),MATCH(O169-1,'[1]Normy VP'!$O$28:$R$28),MATCH(O169-1,'[1]Normy VP'!$O$29:$R$29),MATCH(O169-1,'[1]Normy VP'!$O$30:$R$30)),CHOOSE(_xlfn.ARABIC($H169),MATCH(O169-1,'[1]Normy VP'!$S$10:$V$10),MATCH(O169-1,'[1]Normy VP'!$S$11:$V$11),MATCH(O169-1,'[1]Normy VP'!$S$12:$V$12),MATCH(O169-1,'[1]Normy VP'!$S$13:$V$13),MATCH(O169-1,'[1]Normy VP'!$S$14:$V$14),MATCH(O169-1,'[1]Normy VP'!$S$15:$V$15)))),"O")</f>
        <v>N</v>
      </c>
      <c r="W169" s="34" t="str">
        <f t="shared" si="11"/>
        <v>N</v>
      </c>
      <c r="X169" s="27" t="str">
        <f>IF(COUNTIF(B169:G169,"")&gt;0,"",IF(COUNTIF([1]PP!$A:$A,A169)=0,"neni v PP",IF(OR(Y169="odešel",VLOOKUP(A169,[1]PP!$A:$W,22,FALSE)="odešel"),"odešel",IF(OR(Y169="N",VLOOKUP(A169,[1]PP!$A:$W,22,FALSE)="N"),"N",IF(OR(Y169="C",VLOOKUP(A169,[1]PP!$A:$W,22,FALSE)="C"),"C",IF(OR(Y169="DZO",VLOOKUP(A169,[1]PP!$A:$W,22,FALSE)="DZO"),"DZO",IF(OR(Y169="mise",Y169="disp.",Y169="končí",Y169="DSC",VLOOKUP(A169,[1]PP!$A:$W,22,FALSE)="mise",VLOOKUP(A169,[1]PP!$A:$W,22,FALSE)="disp.",VLOOKUP(A169,[1]PP!$A:$W,22,FALSE)="končí",VLOOKUP(A169,[1]PP!$A:$W,22,FALSE)="DSC"),"jiné",IF(OR(Y169=4,VLOOKUP(A169,[1]PP!$A:$W,22,FALSE)=4),4,IF(OR(Y169=3,VLOOKUP(A169,[1]PP!$A:$W,22,FALSE)=3),3,IF(OR(Y169=2,VLOOKUP(A169,[1]PP!$A:$W,22,FALSE)=2),2,IF(AND(Y169=1,VLOOKUP(A169,[1]PP!$A:$W,22,FALSE)=1),1)))))))))))</f>
        <v/>
      </c>
      <c r="Y169" s="28" t="str">
        <f>IF(COUNTIF(B169:G169,"")&gt;0,"",IF(COUNTIF([1]PP!$A:$A,A169)=0,"neni v PP",IF(VLOOKUP(A169,[1]PP!$A:$W,8,FALSE)="odešel","odešel",IF(F169="","",IF(J169="",IF(OR(T169=4,W169=4),4,IF(AND(T169="N",W169="N"),"N",IF(OR(T169="N",W169="N"),4,ROUND(AVERAGE(T169,W169),0)))),J169)))))</f>
        <v/>
      </c>
      <c r="Z169" s="29" t="str">
        <f>IF(COUNTIF(B169:G169,"")=0,IF(X169="neni v PP",CONCATENATE("ID: &lt;",A169,"&gt; se neshoduje s žádným IDem v kartě PP"),IF(COUNTIF($A:$A,A169)&gt;1,CONCATENATE("ID: &lt;",A169,"&gt; se v kartě VP opakuje. Je nutné tyto IDy od sebe odlišit, např. mezerou za příjmením."),IF(COUNTIF([1]PP!A:A,A169)&gt;1,CONCATENATE("ID: &lt;",A169,"&gt; se v kartě PP opakuje. Je nutné tyto IDy od sebe odlišit, např. mezerou za příjmením."),IF(VLOOKUP(A169,[1]PP!$A:$W,5,FALSE)&lt;&gt;E169,CONCATENATE($E$4," &lt;",E169,"&gt; se neshoduje s jednotkou v kartě PP"," &lt;",VLOOKUP(A169,[1]PP!$A:$W,5,FALSE),"&gt;"),IF(AND(COUNTIF(K169:O169,"")&lt;5,J169="",I169=""),CONCATENATE("Doplň: ",$I$4),IF(AND(YEAR(I169)&lt;&gt;$E$2,COUNTIF(I169,"")=0),CONCATENATE("špatně uveden &lt;",$D$2,"&gt; nebo &lt;",$I$4,"&gt;"),IF(OR(AND(OR(COUNTIF(C169,"*a"),COUNTIF(C169,"*ie"),COUNTIF(C169,"*ine"),COUNTIF(D169,"*Á")),F169="muž"),AND(AND(COUNTIF(C169,"&lt;&gt;"&amp;"*a"),COUNTIF(C169,"&lt;&gt;"&amp;"*ie"),COUNTIF(C169,"&lt;&gt;"&amp;"*ine"),COUNTIF(D169,"&lt;&gt;"&amp;"*Á")),F169="žena")),CONCATENATE(C169," ",D169," je ",F169,"?"),""))))))),IF(COUNTIF(B169:O169,"")=14,"",CONCATENATE("Doplň: ",IF(B169="",CONCATENATE($B$4,IF(COUNTIF(C169:G169,"")=0,"",", ")),""),IF(C169="",CONCATENATE($C$4,IF(COUNTIF(D169:G169,"")=0,"",", ")),""),IF(D169="",CONCATENATE($D$4,IF(COUNTIF(E169:G169,"")=0,"",", ")),""),IF(E169="",CONCATENATE($E$4,IF(COUNTIF(F169:G169,"")=0,"",", ")),""),IF(F169="",CONCATENATE($F$4,IF(G169="",", ","")),""),IF(G169="",$G$4,""))))</f>
        <v/>
      </c>
      <c r="AA169" s="30"/>
    </row>
    <row r="170" spans="1:27" ht="16" x14ac:dyDescent="0.35">
      <c r="A170" s="14" t="str">
        <f t="shared" si="8"/>
        <v xml:space="preserve">  </v>
      </c>
      <c r="B170" s="36"/>
      <c r="C170" s="31"/>
      <c r="D170" s="31"/>
      <c r="E170" s="37"/>
      <c r="F170" s="38"/>
      <c r="G170" s="39"/>
      <c r="H170" s="33" t="str">
        <f>IF(G170="","",IF(F170="žena",ROMAN(MATCH(G170+1,'[1]Normy VP'!$Y$27:$Y$33,-1)),ROMAN(MATCH(G170+1,'[1]Normy VP'!$Y$19:$Y$25,-1))))</f>
        <v/>
      </c>
      <c r="I170" s="21"/>
      <c r="J170" s="22"/>
      <c r="K170" s="23"/>
      <c r="L170" s="23"/>
      <c r="M170" s="23"/>
      <c r="N170" s="22"/>
      <c r="O170" s="22"/>
      <c r="P170" s="24" t="str">
        <f>IF(OR($J170="",$J170="odešel"),IF(K170="","",IF($F170="žena",CHOOSE(_xlfn.ARABIC($H170),MATCH(K170+1,'[1]Normy VP'!$C$25:$F$25,-1),MATCH(K170+1,'[1]Normy VP'!$C$26:$F$26,-1),MATCH(K170+1,'[1]Normy VP'!$C$27:$F$27,-1),MATCH(K170+1,'[1]Normy VP'!$C$28:$F$28,-1),MATCH(K170+1,'[1]Normy VP'!$C$29:$F$29,-1),"muž"),CHOOSE(_xlfn.ARABIC($H170),MATCH(K170+1,'[1]Normy VP'!$C$10:$F$10,-1),MATCH(K170+1,'[1]Normy VP'!$C$11:$F$11,-1),MATCH(K170+1,'[1]Normy VP'!$C$12:$F$12,-1),MATCH(K170+1,'[1]Normy VP'!$C$13:$F$13,-1),MATCH(K170+1,'[1]Normy VP'!$C$14:$F$14,-1),""))),"O")</f>
        <v/>
      </c>
      <c r="Q170" s="24" t="str">
        <f>IF(OR($J170="",$J170="odešel"),IF($F170="žena","",IF(L170="","",(CHOOSE(_xlfn.ARABIC($H170),MATCH(L170+1,'[1]Normy VP'!$G$10:$J$10,-1),MATCH(L170+1,'[1]Normy VP'!$G$11:$J$11,-1),MATCH(L170+1,'[1]Normy VP'!$G$12:$J$12,-1),MATCH(L170+1,'[1]Normy VP'!$G$13:$J$13,-1),MATCH(L170+1,'[1]Normy VP'!$G$14:$J$14,-1),"")))),"O")</f>
        <v/>
      </c>
      <c r="R170" s="34" t="str">
        <f t="shared" si="9"/>
        <v>N</v>
      </c>
      <c r="S170" s="24" t="str">
        <f>IF(OR($J170="",$J170="odešel"),IF(M170="","N",IF($F170="žena",CHOOSE(_xlfn.ARABIC($H170),MATCH(M170+1,'[1]Normy VP'!$G$25:$J$25,-1),MATCH(M170+1,'[1]Normy VP'!$G$26:$J$26,-1),MATCH(M170+1,'[1]Normy VP'!$G$27:$J$27,-1),MATCH(M170+1,'[1]Normy VP'!$G$28:$J$28,-1),MATCH(M170+1,'[1]Normy VP'!$G$29:$J$29,-1),"muž"),(CHOOSE(_xlfn.ARABIC($H170),MATCH(M170+1,'[1]Normy VP'!$K$10:$N$10,-1),MATCH(M170+1,'[1]Normy VP'!$K$11:$N$11,-1),MATCH(M170+1,'[1]Normy VP'!$K$12:$N$12,-1),MATCH(M170+1,'[1]Normy VP'!$K$13:$N$13,-1),MATCH(M170+1,'[1]Normy VP'!$K$14:$N$14,-1),"")))),"O")</f>
        <v>N</v>
      </c>
      <c r="T170" s="34" t="str">
        <f t="shared" si="10"/>
        <v>N</v>
      </c>
      <c r="U170" s="24" t="str">
        <f>IF(OR($J170="",$J170="odešel"),IF(N170="","N",IF($F170="žena",CHOOSE(_xlfn.ARABIC($H170),MATCH(N170+1,'[1]Normy VP'!$K$25:$N$25,-1),MATCH(N170+1,'[1]Normy VP'!$K$26:$N$26,-1),MATCH(N170+1,'[1]Normy VP'!$K$27:$N$27,-1),MATCH(N170+1,'[1]Normy VP'!$K$28:$N$28,-1),MATCH(N170+1,'[1]Normy VP'!$K$29:$N$29,-1),MATCH(N170+1,'[1]Normy VP'!$K$30:$N$30,-1)),CHOOSE(_xlfn.ARABIC($H170),MATCH(N170+1,'[1]Normy VP'!$O$10:$R$10,-1),MATCH(N170+1,'[1]Normy VP'!$O$11:$R$11,-1),MATCH(N170+1,'[1]Normy VP'!$O$12:$R$12,-1),MATCH(N170+1,'[1]Normy VP'!$O$13:$R$13,-1),MATCH(N170+1,'[1]Normy VP'!$O$14:$R$14,-1),MATCH(N170+1,'[1]Normy VP'!$O$15:$R$15,-1)))),"O")</f>
        <v>N</v>
      </c>
      <c r="V170" s="26" t="str">
        <f>IF(OR($J170="",$J170="odešel"),IF(O170="","N",IF($F170="žena",CHOOSE(_xlfn.ARABIC($H170),MATCH(O170-1,'[1]Normy VP'!$O$25:$R$25),MATCH(O170-1,'[1]Normy VP'!$O$26:$R$26),MATCH(O170-1,'[1]Normy VP'!$O$27:$R$27),MATCH(O170-1,'[1]Normy VP'!$O$28:$R$28),MATCH(O170-1,'[1]Normy VP'!$O$29:$R$29),MATCH(O170-1,'[1]Normy VP'!$O$30:$R$30)),CHOOSE(_xlfn.ARABIC($H170),MATCH(O170-1,'[1]Normy VP'!$S$10:$V$10),MATCH(O170-1,'[1]Normy VP'!$S$11:$V$11),MATCH(O170-1,'[1]Normy VP'!$S$12:$V$12),MATCH(O170-1,'[1]Normy VP'!$S$13:$V$13),MATCH(O170-1,'[1]Normy VP'!$S$14:$V$14),MATCH(O170-1,'[1]Normy VP'!$S$15:$V$15)))),"O")</f>
        <v>N</v>
      </c>
      <c r="W170" s="34" t="str">
        <f t="shared" si="11"/>
        <v>N</v>
      </c>
      <c r="X170" s="27" t="str">
        <f>IF(COUNTIF(B170:G170,"")&gt;0,"",IF(COUNTIF([1]PP!$A:$A,A170)=0,"neni v PP",IF(OR(Y170="odešel",VLOOKUP(A170,[1]PP!$A:$W,22,FALSE)="odešel"),"odešel",IF(OR(Y170="N",VLOOKUP(A170,[1]PP!$A:$W,22,FALSE)="N"),"N",IF(OR(Y170="C",VLOOKUP(A170,[1]PP!$A:$W,22,FALSE)="C"),"C",IF(OR(Y170="DZO",VLOOKUP(A170,[1]PP!$A:$W,22,FALSE)="DZO"),"DZO",IF(OR(Y170="mise",Y170="disp.",Y170="končí",Y170="DSC",VLOOKUP(A170,[1]PP!$A:$W,22,FALSE)="mise",VLOOKUP(A170,[1]PP!$A:$W,22,FALSE)="disp.",VLOOKUP(A170,[1]PP!$A:$W,22,FALSE)="končí",VLOOKUP(A170,[1]PP!$A:$W,22,FALSE)="DSC"),"jiné",IF(OR(Y170=4,VLOOKUP(A170,[1]PP!$A:$W,22,FALSE)=4),4,IF(OR(Y170=3,VLOOKUP(A170,[1]PP!$A:$W,22,FALSE)=3),3,IF(OR(Y170=2,VLOOKUP(A170,[1]PP!$A:$W,22,FALSE)=2),2,IF(AND(Y170=1,VLOOKUP(A170,[1]PP!$A:$W,22,FALSE)=1),1)))))))))))</f>
        <v/>
      </c>
      <c r="Y170" s="28" t="str">
        <f>IF(COUNTIF(B170:G170,"")&gt;0,"",IF(COUNTIF([1]PP!$A:$A,A170)=0,"neni v PP",IF(VLOOKUP(A170,[1]PP!$A:$W,8,FALSE)="odešel","odešel",IF(F170="","",IF(J170="",IF(OR(T170=4,W170=4),4,IF(AND(T170="N",W170="N"),"N",IF(OR(T170="N",W170="N"),4,ROUND(AVERAGE(T170,W170),0)))),J170)))))</f>
        <v/>
      </c>
      <c r="Z170" s="29"/>
      <c r="AA170" s="30"/>
    </row>
    <row r="171" spans="1:27" ht="16" x14ac:dyDescent="0.35">
      <c r="A171" s="14" t="str">
        <f t="shared" si="8"/>
        <v xml:space="preserve">  </v>
      </c>
      <c r="B171" s="15"/>
      <c r="C171" s="31"/>
      <c r="D171" s="31"/>
      <c r="E171" s="17"/>
      <c r="F171" s="18"/>
      <c r="G171" s="32"/>
      <c r="H171" s="33" t="str">
        <f>IF(G171="","",IF(F171="žena",ROMAN(MATCH(G171+1,'[1]Normy VP'!$Y$27:$Y$33,-1)),ROMAN(MATCH(G171+1,'[1]Normy VP'!$Y$19:$Y$25,-1))))</f>
        <v/>
      </c>
      <c r="I171" s="21"/>
      <c r="J171" s="22"/>
      <c r="K171" s="23"/>
      <c r="L171" s="23"/>
      <c r="M171" s="23"/>
      <c r="N171" s="22"/>
      <c r="O171" s="22"/>
      <c r="P171" s="24" t="str">
        <f>IF(OR($J171="",$J171="odešel"),IF(K171="","",IF($F171="žena",CHOOSE(_xlfn.ARABIC($H171),MATCH(K171+1,'[1]Normy VP'!$C$25:$F$25,-1),MATCH(K171+1,'[1]Normy VP'!$C$26:$F$26,-1),MATCH(K171+1,'[1]Normy VP'!$C$27:$F$27,-1),MATCH(K171+1,'[1]Normy VP'!$C$28:$F$28,-1),MATCH(K171+1,'[1]Normy VP'!$C$29:$F$29,-1),"muž"),CHOOSE(_xlfn.ARABIC($H171),MATCH(K171+1,'[1]Normy VP'!$C$10:$F$10,-1),MATCH(K171+1,'[1]Normy VP'!$C$11:$F$11,-1),MATCH(K171+1,'[1]Normy VP'!$C$12:$F$12,-1),MATCH(K171+1,'[1]Normy VP'!$C$13:$F$13,-1),MATCH(K171+1,'[1]Normy VP'!$C$14:$F$14,-1),""))),"O")</f>
        <v/>
      </c>
      <c r="Q171" s="24" t="str">
        <f>IF(OR($J171="",$J171="odešel"),IF($F171="žena","",IF(L171="","",(CHOOSE(_xlfn.ARABIC($H171),MATCH(L171+1,'[1]Normy VP'!$G$10:$J$10,-1),MATCH(L171+1,'[1]Normy VP'!$G$11:$J$11,-1),MATCH(L171+1,'[1]Normy VP'!$G$12:$J$12,-1),MATCH(L171+1,'[1]Normy VP'!$G$13:$J$13,-1),MATCH(L171+1,'[1]Normy VP'!$G$14:$J$14,-1),"")))),"O")</f>
        <v/>
      </c>
      <c r="R171" s="34" t="str">
        <f t="shared" si="9"/>
        <v>N</v>
      </c>
      <c r="S171" s="24" t="str">
        <f>IF(OR($J171="",$J171="odešel"),IF(M171="","N",IF($F171="žena",CHOOSE(_xlfn.ARABIC($H171),MATCH(M171+1,'[1]Normy VP'!$G$25:$J$25,-1),MATCH(M171+1,'[1]Normy VP'!$G$26:$J$26,-1),MATCH(M171+1,'[1]Normy VP'!$G$27:$J$27,-1),MATCH(M171+1,'[1]Normy VP'!$G$28:$J$28,-1),MATCH(M171+1,'[1]Normy VP'!$G$29:$J$29,-1),"muž"),(CHOOSE(_xlfn.ARABIC($H171),MATCH(M171+1,'[1]Normy VP'!$K$10:$N$10,-1),MATCH(M171+1,'[1]Normy VP'!$K$11:$N$11,-1),MATCH(M171+1,'[1]Normy VP'!$K$12:$N$12,-1),MATCH(M171+1,'[1]Normy VP'!$K$13:$N$13,-1),MATCH(M171+1,'[1]Normy VP'!$K$14:$N$14,-1),"")))),"O")</f>
        <v>N</v>
      </c>
      <c r="T171" s="34" t="str">
        <f t="shared" si="10"/>
        <v>N</v>
      </c>
      <c r="U171" s="24" t="str">
        <f>IF(OR($J171="",$J171="odešel"),IF(N171="","N",IF($F171="žena",CHOOSE(_xlfn.ARABIC($H171),MATCH(N171+1,'[1]Normy VP'!$K$25:$N$25,-1),MATCH(N171+1,'[1]Normy VP'!$K$26:$N$26,-1),MATCH(N171+1,'[1]Normy VP'!$K$27:$N$27,-1),MATCH(N171+1,'[1]Normy VP'!$K$28:$N$28,-1),MATCH(N171+1,'[1]Normy VP'!$K$29:$N$29,-1),MATCH(N171+1,'[1]Normy VP'!$K$30:$N$30,-1)),CHOOSE(_xlfn.ARABIC($H171),MATCH(N171+1,'[1]Normy VP'!$O$10:$R$10,-1),MATCH(N171+1,'[1]Normy VP'!$O$11:$R$11,-1),MATCH(N171+1,'[1]Normy VP'!$O$12:$R$12,-1),MATCH(N171+1,'[1]Normy VP'!$O$13:$R$13,-1),MATCH(N171+1,'[1]Normy VP'!$O$14:$R$14,-1),MATCH(N171+1,'[1]Normy VP'!$O$15:$R$15,-1)))),"O")</f>
        <v>N</v>
      </c>
      <c r="V171" s="26" t="str">
        <f>IF(OR($J171="",$J171="odešel"),IF(O171="","N",IF($F171="žena",CHOOSE(_xlfn.ARABIC($H171),MATCH(O171-1,'[1]Normy VP'!$O$25:$R$25),MATCH(O171-1,'[1]Normy VP'!$O$26:$R$26),MATCH(O171-1,'[1]Normy VP'!$O$27:$R$27),MATCH(O171-1,'[1]Normy VP'!$O$28:$R$28),MATCH(O171-1,'[1]Normy VP'!$O$29:$R$29),MATCH(O171-1,'[1]Normy VP'!$O$30:$R$30)),CHOOSE(_xlfn.ARABIC($H171),MATCH(O171-1,'[1]Normy VP'!$S$10:$V$10),MATCH(O171-1,'[1]Normy VP'!$S$11:$V$11),MATCH(O171-1,'[1]Normy VP'!$S$12:$V$12),MATCH(O171-1,'[1]Normy VP'!$S$13:$V$13),MATCH(O171-1,'[1]Normy VP'!$S$14:$V$14),MATCH(O171-1,'[1]Normy VP'!$S$15:$V$15)))),"O")</f>
        <v>N</v>
      </c>
      <c r="W171" s="34" t="str">
        <f t="shared" si="11"/>
        <v>N</v>
      </c>
      <c r="X171" s="27" t="str">
        <f>IF(COUNTIF(B171:G171,"")&gt;0,"",IF(COUNTIF([1]PP!$A:$A,A171)=0,"neni v PP",IF(OR(Y171="odešel",VLOOKUP(A171,[1]PP!$A:$W,22,FALSE)="odešel"),"odešel",IF(OR(Y171="N",VLOOKUP(A171,[1]PP!$A:$W,22,FALSE)="N"),"N",IF(OR(Y171="C",VLOOKUP(A171,[1]PP!$A:$W,22,FALSE)="C"),"C",IF(OR(Y171="DZO",VLOOKUP(A171,[1]PP!$A:$W,22,FALSE)="DZO"),"DZO",IF(OR(Y171="mise",Y171="disp.",Y171="končí",Y171="DSC",VLOOKUP(A171,[1]PP!$A:$W,22,FALSE)="mise",VLOOKUP(A171,[1]PP!$A:$W,22,FALSE)="disp.",VLOOKUP(A171,[1]PP!$A:$W,22,FALSE)="končí",VLOOKUP(A171,[1]PP!$A:$W,22,FALSE)="DSC"),"jiné",IF(OR(Y171=4,VLOOKUP(A171,[1]PP!$A:$W,22,FALSE)=4),4,IF(OR(Y171=3,VLOOKUP(A171,[1]PP!$A:$W,22,FALSE)=3),3,IF(OR(Y171=2,VLOOKUP(A171,[1]PP!$A:$W,22,FALSE)=2),2,IF(AND(Y171=1,VLOOKUP(A171,[1]PP!$A:$W,22,FALSE)=1),1)))))))))))</f>
        <v/>
      </c>
      <c r="Y171" s="28" t="str">
        <f>IF(COUNTIF(B171:G171,"")&gt;0,"",IF(COUNTIF([1]PP!$A:$A,A171)=0,"neni v PP",IF(VLOOKUP(A171,[1]PP!$A:$W,8,FALSE)="odešel","odešel",IF(F171="","",IF(J171="",IF(OR(T171=4,W171=4),4,IF(AND(T171="N",W171="N"),"N",IF(OR(T171="N",W171="N"),4,ROUND(AVERAGE(T171,W171),0)))),J171)))))</f>
        <v/>
      </c>
      <c r="Z171" s="29" t="str">
        <f>IF(COUNTIF(B171:G171,"")=0,IF(X171="neni v PP",CONCATENATE("ID: &lt;",A171,"&gt; se neshoduje s žádným IDem v kartě PP"),IF(COUNTIF($A:$A,A171)&gt;1,CONCATENATE("ID: &lt;",A171,"&gt; se v kartě VP opakuje. Je nutné tyto IDy od sebe odlišit, např. mezerou za příjmením."),IF(COUNTIF([1]PP!A:A,A171)&gt;1,CONCATENATE("ID: &lt;",A171,"&gt; se v kartě PP opakuje. Je nutné tyto IDy od sebe odlišit, např. mezerou za příjmením."),IF(VLOOKUP(A171,[1]PP!$A:$W,5,FALSE)&lt;&gt;E171,CONCATENATE($E$4," &lt;",E171,"&gt; se neshoduje s jednotkou v kartě PP"," &lt;",VLOOKUP(A171,[1]PP!$A:$W,5,FALSE),"&gt;"),IF(AND(COUNTIF(K171:O171,"")&lt;5,J171="",I171=""),CONCATENATE("Doplň: ",$I$4),IF(AND(YEAR(I171)&lt;&gt;$E$2,COUNTIF(I171,"")=0),CONCATENATE("špatně uveden &lt;",$D$2,"&gt; nebo &lt;",$I$4,"&gt;"),IF(OR(AND(OR(COUNTIF(C171,"*a"),COUNTIF(C171,"*ie"),COUNTIF(C171,"*ine"),COUNTIF(D171,"*Á")),F171="muž"),AND(AND(COUNTIF(C171,"&lt;&gt;"&amp;"*a"),COUNTIF(C171,"&lt;&gt;"&amp;"*ie"),COUNTIF(C171,"&lt;&gt;"&amp;"*ine"),COUNTIF(D171,"&lt;&gt;"&amp;"*Á")),F171="žena")),CONCATENATE(C171," ",D171," je ",F171,"?"),""))))))),IF(COUNTIF(B171:O171,"")=14,"",CONCATENATE("Doplň: ",IF(B171="",CONCATENATE($B$4,IF(COUNTIF(C171:G171,"")=0,"",", ")),""),IF(C171="",CONCATENATE($C$4,IF(COUNTIF(D171:G171,"")=0,"",", ")),""),IF(D171="",CONCATENATE($D$4,IF(COUNTIF(E171:G171,"")=0,"",", ")),""),IF(E171="",CONCATENATE($E$4,IF(COUNTIF(F171:G171,"")=0,"",", ")),""),IF(F171="",CONCATENATE($F$4,IF(G171="",", ","")),""),IF(G171="",$G$4,""))))</f>
        <v/>
      </c>
      <c r="AA171" s="30"/>
    </row>
    <row r="172" spans="1:27" ht="16" x14ac:dyDescent="0.35">
      <c r="A172" s="14" t="str">
        <f t="shared" si="8"/>
        <v xml:space="preserve">  </v>
      </c>
      <c r="B172" s="15"/>
      <c r="C172" s="31"/>
      <c r="D172" s="31"/>
      <c r="E172" s="17"/>
      <c r="F172" s="18"/>
      <c r="G172" s="32"/>
      <c r="H172" s="33" t="str">
        <f>IF(G172="","",IF(F172="žena",ROMAN(MATCH(G172+1,'[1]Normy VP'!$Y$27:$Y$33,-1)),ROMAN(MATCH(G172+1,'[1]Normy VP'!$Y$19:$Y$25,-1))))</f>
        <v/>
      </c>
      <c r="I172" s="21"/>
      <c r="J172" s="22"/>
      <c r="K172" s="23"/>
      <c r="L172" s="23"/>
      <c r="M172" s="23"/>
      <c r="N172" s="22"/>
      <c r="O172" s="22"/>
      <c r="P172" s="24" t="str">
        <f>IF(OR($J172="",$J172="odešel"),IF(K172="","",IF($F172="žena",CHOOSE(_xlfn.ARABIC($H172),MATCH(K172+1,'[1]Normy VP'!$C$25:$F$25,-1),MATCH(K172+1,'[1]Normy VP'!$C$26:$F$26,-1),MATCH(K172+1,'[1]Normy VP'!$C$27:$F$27,-1),MATCH(K172+1,'[1]Normy VP'!$C$28:$F$28,-1),MATCH(K172+1,'[1]Normy VP'!$C$29:$F$29,-1),"muž"),CHOOSE(_xlfn.ARABIC($H172),MATCH(K172+1,'[1]Normy VP'!$C$10:$F$10,-1),MATCH(K172+1,'[1]Normy VP'!$C$11:$F$11,-1),MATCH(K172+1,'[1]Normy VP'!$C$12:$F$12,-1),MATCH(K172+1,'[1]Normy VP'!$C$13:$F$13,-1),MATCH(K172+1,'[1]Normy VP'!$C$14:$F$14,-1),""))),"O")</f>
        <v/>
      </c>
      <c r="Q172" s="24" t="str">
        <f>IF(OR($J172="",$J172="odešel"),IF($F172="žena","",IF(L172="","",(CHOOSE(_xlfn.ARABIC($H172),MATCH(L172+1,'[1]Normy VP'!$G$10:$J$10,-1),MATCH(L172+1,'[1]Normy VP'!$G$11:$J$11,-1),MATCH(L172+1,'[1]Normy VP'!$G$12:$J$12,-1),MATCH(L172+1,'[1]Normy VP'!$G$13:$J$13,-1),MATCH(L172+1,'[1]Normy VP'!$G$14:$J$14,-1),"")))),"O")</f>
        <v/>
      </c>
      <c r="R172" s="34" t="str">
        <f t="shared" si="9"/>
        <v>N</v>
      </c>
      <c r="S172" s="24" t="str">
        <f>IF(OR($J172="",$J172="odešel"),IF(M172="","N",IF($F172="žena",CHOOSE(_xlfn.ARABIC($H172),MATCH(M172+1,'[1]Normy VP'!$G$25:$J$25,-1),MATCH(M172+1,'[1]Normy VP'!$G$26:$J$26,-1),MATCH(M172+1,'[1]Normy VP'!$G$27:$J$27,-1),MATCH(M172+1,'[1]Normy VP'!$G$28:$J$28,-1),MATCH(M172+1,'[1]Normy VP'!$G$29:$J$29,-1),"muž"),(CHOOSE(_xlfn.ARABIC($H172),MATCH(M172+1,'[1]Normy VP'!$K$10:$N$10,-1),MATCH(M172+1,'[1]Normy VP'!$K$11:$N$11,-1),MATCH(M172+1,'[1]Normy VP'!$K$12:$N$12,-1),MATCH(M172+1,'[1]Normy VP'!$K$13:$N$13,-1),MATCH(M172+1,'[1]Normy VP'!$K$14:$N$14,-1),"")))),"O")</f>
        <v>N</v>
      </c>
      <c r="T172" s="34" t="str">
        <f t="shared" si="10"/>
        <v>N</v>
      </c>
      <c r="U172" s="24" t="str">
        <f>IF(OR($J172="",$J172="odešel"),IF(N172="","N",IF($F172="žena",CHOOSE(_xlfn.ARABIC($H172),MATCH(N172+1,'[1]Normy VP'!$K$25:$N$25,-1),MATCH(N172+1,'[1]Normy VP'!$K$26:$N$26,-1),MATCH(N172+1,'[1]Normy VP'!$K$27:$N$27,-1),MATCH(N172+1,'[1]Normy VP'!$K$28:$N$28,-1),MATCH(N172+1,'[1]Normy VP'!$K$29:$N$29,-1),MATCH(N172+1,'[1]Normy VP'!$K$30:$N$30,-1)),CHOOSE(_xlfn.ARABIC($H172),MATCH(N172+1,'[1]Normy VP'!$O$10:$R$10,-1),MATCH(N172+1,'[1]Normy VP'!$O$11:$R$11,-1),MATCH(N172+1,'[1]Normy VP'!$O$12:$R$12,-1),MATCH(N172+1,'[1]Normy VP'!$O$13:$R$13,-1),MATCH(N172+1,'[1]Normy VP'!$O$14:$R$14,-1),MATCH(N172+1,'[1]Normy VP'!$O$15:$R$15,-1)))),"O")</f>
        <v>N</v>
      </c>
      <c r="V172" s="26" t="str">
        <f>IF(OR($J172="",$J172="odešel"),IF(O172="","N",IF($F172="žena",CHOOSE(_xlfn.ARABIC($H172),MATCH(O172-1,'[1]Normy VP'!$O$25:$R$25),MATCH(O172-1,'[1]Normy VP'!$O$26:$R$26),MATCH(O172-1,'[1]Normy VP'!$O$27:$R$27),MATCH(O172-1,'[1]Normy VP'!$O$28:$R$28),MATCH(O172-1,'[1]Normy VP'!$O$29:$R$29),MATCH(O172-1,'[1]Normy VP'!$O$30:$R$30)),CHOOSE(_xlfn.ARABIC($H172),MATCH(O172-1,'[1]Normy VP'!$S$10:$V$10),MATCH(O172-1,'[1]Normy VP'!$S$11:$V$11),MATCH(O172-1,'[1]Normy VP'!$S$12:$V$12),MATCH(O172-1,'[1]Normy VP'!$S$13:$V$13),MATCH(O172-1,'[1]Normy VP'!$S$14:$V$14),MATCH(O172-1,'[1]Normy VP'!$S$15:$V$15)))),"O")</f>
        <v>N</v>
      </c>
      <c r="W172" s="34" t="str">
        <f t="shared" si="11"/>
        <v>N</v>
      </c>
      <c r="X172" s="27" t="str">
        <f>IF(COUNTIF(B172:G172,"")&gt;0,"",IF(COUNTIF([1]PP!$A:$A,A172)=0,"neni v PP",IF(OR(Y172="odešel",VLOOKUP(A172,[1]PP!$A:$W,22,FALSE)="odešel"),"odešel",IF(OR(Y172="N",VLOOKUP(A172,[1]PP!$A:$W,22,FALSE)="N"),"N",IF(OR(Y172="C",VLOOKUP(A172,[1]PP!$A:$W,22,FALSE)="C"),"C",IF(OR(Y172="DZO",VLOOKUP(A172,[1]PP!$A:$W,22,FALSE)="DZO"),"DZO",IF(OR(Y172="mise",Y172="disp.",Y172="končí",Y172="DSC",VLOOKUP(A172,[1]PP!$A:$W,22,FALSE)="mise",VLOOKUP(A172,[1]PP!$A:$W,22,FALSE)="disp.",VLOOKUP(A172,[1]PP!$A:$W,22,FALSE)="končí",VLOOKUP(A172,[1]PP!$A:$W,22,FALSE)="DSC"),"jiné",IF(OR(Y172=4,VLOOKUP(A172,[1]PP!$A:$W,22,FALSE)=4),4,IF(OR(Y172=3,VLOOKUP(A172,[1]PP!$A:$W,22,FALSE)=3),3,IF(OR(Y172=2,VLOOKUP(A172,[1]PP!$A:$W,22,FALSE)=2),2,IF(AND(Y172=1,VLOOKUP(A172,[1]PP!$A:$W,22,FALSE)=1),1)))))))))))</f>
        <v/>
      </c>
      <c r="Y172" s="28" t="str">
        <f>IF(COUNTIF(B172:G172,"")&gt;0,"",IF(COUNTIF([1]PP!$A:$A,A172)=0,"neni v PP",IF(VLOOKUP(A172,[1]PP!$A:$W,8,FALSE)="odešel","odešel",IF(F172="","",IF(J172="",IF(OR(T172=4,W172=4),4,IF(AND(T172="N",W172="N"),"N",IF(OR(T172="N",W172="N"),4,ROUND(AVERAGE(T172,W172),0)))),J172)))))</f>
        <v/>
      </c>
      <c r="Z172" s="29" t="str">
        <f>IF(COUNTIF(B172:G172,"")=0,IF(X172="neni v PP",CONCATENATE("ID: &lt;",A172,"&gt; se neshoduje s žádným IDem v kartě PP"),IF(COUNTIF($A:$A,A172)&gt;1,CONCATENATE("ID: &lt;",A172,"&gt; se v kartě VP opakuje. Je nutné tyto IDy od sebe odlišit, např. mezerou za příjmením."),IF(COUNTIF([1]PP!A:A,A172)&gt;1,CONCATENATE("ID: &lt;",A172,"&gt; se v kartě PP opakuje. Je nutné tyto IDy od sebe odlišit, např. mezerou za příjmením."),IF(VLOOKUP(A172,[1]PP!$A:$W,5,FALSE)&lt;&gt;E172,CONCATENATE($E$4," &lt;",E172,"&gt; se neshoduje s jednotkou v kartě PP"," &lt;",VLOOKUP(A172,[1]PP!$A:$W,5,FALSE),"&gt;"),IF(AND(COUNTIF(K172:O172,"")&lt;5,J172="",I172=""),CONCATENATE("Doplň: ",$I$4),IF(AND(YEAR(I172)&lt;&gt;$E$2,COUNTIF(I172,"")=0),CONCATENATE("špatně uveden &lt;",$D$2,"&gt; nebo &lt;",$I$4,"&gt;"),IF(OR(AND(OR(COUNTIF(C172,"*a"),COUNTIF(C172,"*ie"),COUNTIF(C172,"*ine"),COUNTIF(D172,"*Á")),F172="muž"),AND(AND(COUNTIF(C172,"&lt;&gt;"&amp;"*a"),COUNTIF(C172,"&lt;&gt;"&amp;"*ie"),COUNTIF(C172,"&lt;&gt;"&amp;"*ine"),COUNTIF(D172,"&lt;&gt;"&amp;"*Á")),F172="žena")),CONCATENATE(C172," ",D172," je ",F172,"?"),""))))))),IF(COUNTIF(B172:O172,"")=14,"",CONCATENATE("Doplň: ",IF(B172="",CONCATENATE($B$4,IF(COUNTIF(C172:G172,"")=0,"",", ")),""),IF(C172="",CONCATENATE($C$4,IF(COUNTIF(D172:G172,"")=0,"",", ")),""),IF(D172="",CONCATENATE($D$4,IF(COUNTIF(E172:G172,"")=0,"",", ")),""),IF(E172="",CONCATENATE($E$4,IF(COUNTIF(F172:G172,"")=0,"",", ")),""),IF(F172="",CONCATENATE($F$4,IF(G172="",", ","")),""),IF(G172="",$G$4,""))))</f>
        <v/>
      </c>
      <c r="AA172" s="30"/>
    </row>
    <row r="173" spans="1:27" ht="16" x14ac:dyDescent="0.35">
      <c r="A173" s="14" t="str">
        <f t="shared" si="8"/>
        <v xml:space="preserve">  </v>
      </c>
      <c r="B173" s="15"/>
      <c r="C173" s="31"/>
      <c r="D173" s="31"/>
      <c r="E173" s="17"/>
      <c r="F173" s="18"/>
      <c r="G173" s="32"/>
      <c r="H173" s="33" t="str">
        <f>IF(G173="","",IF(F173="žena",ROMAN(MATCH(G173+1,'[1]Normy VP'!$Y$27:$Y$33,-1)),ROMAN(MATCH(G173+1,'[1]Normy VP'!$Y$19:$Y$25,-1))))</f>
        <v/>
      </c>
      <c r="I173" s="21"/>
      <c r="J173" s="22"/>
      <c r="K173" s="23"/>
      <c r="L173" s="23"/>
      <c r="M173" s="23"/>
      <c r="N173" s="22"/>
      <c r="O173" s="22"/>
      <c r="P173" s="24" t="str">
        <f>IF(OR($J173="",$J173="odešel"),IF(K173="","",IF($F173="žena",CHOOSE(_xlfn.ARABIC($H173),MATCH(K173+1,'[1]Normy VP'!$C$25:$F$25,-1),MATCH(K173+1,'[1]Normy VP'!$C$26:$F$26,-1),MATCH(K173+1,'[1]Normy VP'!$C$27:$F$27,-1),MATCH(K173+1,'[1]Normy VP'!$C$28:$F$28,-1),MATCH(K173+1,'[1]Normy VP'!$C$29:$F$29,-1),"muž"),CHOOSE(_xlfn.ARABIC($H173),MATCH(K173+1,'[1]Normy VP'!$C$10:$F$10,-1),MATCH(K173+1,'[1]Normy VP'!$C$11:$F$11,-1),MATCH(K173+1,'[1]Normy VP'!$C$12:$F$12,-1),MATCH(K173+1,'[1]Normy VP'!$C$13:$F$13,-1),MATCH(K173+1,'[1]Normy VP'!$C$14:$F$14,-1),""))),"O")</f>
        <v/>
      </c>
      <c r="Q173" s="24" t="str">
        <f>IF(OR($J173="",$J173="odešel"),IF($F173="žena","",IF(L173="","",(CHOOSE(_xlfn.ARABIC($H173),MATCH(L173+1,'[1]Normy VP'!$G$10:$J$10,-1),MATCH(L173+1,'[1]Normy VP'!$G$11:$J$11,-1),MATCH(L173+1,'[1]Normy VP'!$G$12:$J$12,-1),MATCH(L173+1,'[1]Normy VP'!$G$13:$J$13,-1),MATCH(L173+1,'[1]Normy VP'!$G$14:$J$14,-1),"")))),"O")</f>
        <v/>
      </c>
      <c r="R173" s="34" t="str">
        <f t="shared" si="9"/>
        <v>N</v>
      </c>
      <c r="S173" s="24" t="str">
        <f>IF(OR($J173="",$J173="odešel"),IF(M173="","N",IF($F173="žena",CHOOSE(_xlfn.ARABIC($H173),MATCH(M173+1,'[1]Normy VP'!$G$25:$J$25,-1),MATCH(M173+1,'[1]Normy VP'!$G$26:$J$26,-1),MATCH(M173+1,'[1]Normy VP'!$G$27:$J$27,-1),MATCH(M173+1,'[1]Normy VP'!$G$28:$J$28,-1),MATCH(M173+1,'[1]Normy VP'!$G$29:$J$29,-1),"muž"),(CHOOSE(_xlfn.ARABIC($H173),MATCH(M173+1,'[1]Normy VP'!$K$10:$N$10,-1),MATCH(M173+1,'[1]Normy VP'!$K$11:$N$11,-1),MATCH(M173+1,'[1]Normy VP'!$K$12:$N$12,-1),MATCH(M173+1,'[1]Normy VP'!$K$13:$N$13,-1),MATCH(M173+1,'[1]Normy VP'!$K$14:$N$14,-1),"")))),"O")</f>
        <v>N</v>
      </c>
      <c r="T173" s="34" t="str">
        <f t="shared" si="10"/>
        <v>N</v>
      </c>
      <c r="U173" s="24" t="str">
        <f>IF(OR($J173="",$J173="odešel"),IF(N173="","N",IF($F173="žena",CHOOSE(_xlfn.ARABIC($H173),MATCH(N173+1,'[1]Normy VP'!$K$25:$N$25,-1),MATCH(N173+1,'[1]Normy VP'!$K$26:$N$26,-1),MATCH(N173+1,'[1]Normy VP'!$K$27:$N$27,-1),MATCH(N173+1,'[1]Normy VP'!$K$28:$N$28,-1),MATCH(N173+1,'[1]Normy VP'!$K$29:$N$29,-1),MATCH(N173+1,'[1]Normy VP'!$K$30:$N$30,-1)),CHOOSE(_xlfn.ARABIC($H173),MATCH(N173+1,'[1]Normy VP'!$O$10:$R$10,-1),MATCH(N173+1,'[1]Normy VP'!$O$11:$R$11,-1),MATCH(N173+1,'[1]Normy VP'!$O$12:$R$12,-1),MATCH(N173+1,'[1]Normy VP'!$O$13:$R$13,-1),MATCH(N173+1,'[1]Normy VP'!$O$14:$R$14,-1),MATCH(N173+1,'[1]Normy VP'!$O$15:$R$15,-1)))),"O")</f>
        <v>N</v>
      </c>
      <c r="V173" s="26" t="str">
        <f>IF(OR($J173="",$J173="odešel"),IF(O173="","N",IF($F173="žena",CHOOSE(_xlfn.ARABIC($H173),MATCH(O173-1,'[1]Normy VP'!$O$25:$R$25),MATCH(O173-1,'[1]Normy VP'!$O$26:$R$26),MATCH(O173-1,'[1]Normy VP'!$O$27:$R$27),MATCH(O173-1,'[1]Normy VP'!$O$28:$R$28),MATCH(O173-1,'[1]Normy VP'!$O$29:$R$29),MATCH(O173-1,'[1]Normy VP'!$O$30:$R$30)),CHOOSE(_xlfn.ARABIC($H173),MATCH(O173-1,'[1]Normy VP'!$S$10:$V$10),MATCH(O173-1,'[1]Normy VP'!$S$11:$V$11),MATCH(O173-1,'[1]Normy VP'!$S$12:$V$12),MATCH(O173-1,'[1]Normy VP'!$S$13:$V$13),MATCH(O173-1,'[1]Normy VP'!$S$14:$V$14),MATCH(O173-1,'[1]Normy VP'!$S$15:$V$15)))),"O")</f>
        <v>N</v>
      </c>
      <c r="W173" s="34" t="str">
        <f t="shared" si="11"/>
        <v>N</v>
      </c>
      <c r="X173" s="27" t="str">
        <f>IF(COUNTIF(B173:G173,"")&gt;0,"",IF(COUNTIF([1]PP!$A:$A,A173)=0,"neni v PP",IF(OR(Y173="odešel",VLOOKUP(A173,[1]PP!$A:$W,22,FALSE)="odešel"),"odešel",IF(OR(Y173="N",VLOOKUP(A173,[1]PP!$A:$W,22,FALSE)="N"),"N",IF(OR(Y173="C",VLOOKUP(A173,[1]PP!$A:$W,22,FALSE)="C"),"C",IF(OR(Y173="DZO",VLOOKUP(A173,[1]PP!$A:$W,22,FALSE)="DZO"),"DZO",IF(OR(Y173="mise",Y173="disp.",Y173="končí",Y173="DSC",VLOOKUP(A173,[1]PP!$A:$W,22,FALSE)="mise",VLOOKUP(A173,[1]PP!$A:$W,22,FALSE)="disp.",VLOOKUP(A173,[1]PP!$A:$W,22,FALSE)="končí",VLOOKUP(A173,[1]PP!$A:$W,22,FALSE)="DSC"),"jiné",IF(OR(Y173=4,VLOOKUP(A173,[1]PP!$A:$W,22,FALSE)=4),4,IF(OR(Y173=3,VLOOKUP(A173,[1]PP!$A:$W,22,FALSE)=3),3,IF(OR(Y173=2,VLOOKUP(A173,[1]PP!$A:$W,22,FALSE)=2),2,IF(AND(Y173=1,VLOOKUP(A173,[1]PP!$A:$W,22,FALSE)=1),1)))))))))))</f>
        <v/>
      </c>
      <c r="Y173" s="28" t="str">
        <f>IF(COUNTIF(B173:G173,"")&gt;0,"",IF(COUNTIF([1]PP!$A:$A,A173)=0,"neni v PP",IF(VLOOKUP(A173,[1]PP!$A:$W,8,FALSE)="odešel","odešel",IF(F173="","",IF(J173="",IF(OR(T173=4,W173=4),4,IF(AND(T173="N",W173="N"),"N",IF(OR(T173="N",W173="N"),4,ROUND(AVERAGE(T173,W173),0)))),J173)))))</f>
        <v/>
      </c>
      <c r="Z173" s="29" t="str">
        <f>IF(COUNTIF(B173:G173,"")=0,IF(X173="neni v PP",CONCATENATE("ID: &lt;",A173,"&gt; se neshoduje s žádným IDem v kartě PP"),IF(COUNTIF($A:$A,A173)&gt;1,CONCATENATE("ID: &lt;",A173,"&gt; se v kartě VP opakuje. Je nutné tyto IDy od sebe odlišit, např. mezerou za příjmením."),IF(COUNTIF([1]PP!A:A,A173)&gt;1,CONCATENATE("ID: &lt;",A173,"&gt; se v kartě PP opakuje. Je nutné tyto IDy od sebe odlišit, např. mezerou za příjmením."),IF(VLOOKUP(A173,[1]PP!$A:$W,5,FALSE)&lt;&gt;E173,CONCATENATE($E$4," &lt;",E173,"&gt; se neshoduje s jednotkou v kartě PP"," &lt;",VLOOKUP(A173,[1]PP!$A:$W,5,FALSE),"&gt;"),IF(AND(COUNTIF(K173:O173,"")&lt;5,J173="",I173=""),CONCATENATE("Doplň: ",$I$4),IF(AND(YEAR(I173)&lt;&gt;$E$2,COUNTIF(I173,"")=0),CONCATENATE("špatně uveden &lt;",$D$2,"&gt; nebo &lt;",$I$4,"&gt;"),IF(OR(AND(OR(COUNTIF(C173,"*a"),COUNTIF(C173,"*ie"),COUNTIF(C173,"*ine"),COUNTIF(D173,"*Á")),F173="muž"),AND(AND(COUNTIF(C173,"&lt;&gt;"&amp;"*a"),COUNTIF(C173,"&lt;&gt;"&amp;"*ie"),COUNTIF(C173,"&lt;&gt;"&amp;"*ine"),COUNTIF(D173,"&lt;&gt;"&amp;"*Á")),F173="žena")),CONCATENATE(C173," ",D173," je ",F173,"?"),""))))))),IF(COUNTIF(B173:O173,"")=14,"",CONCATENATE("Doplň: ",IF(B173="",CONCATENATE($B$4,IF(COUNTIF(C173:G173,"")=0,"",", ")),""),IF(C173="",CONCATENATE($C$4,IF(COUNTIF(D173:G173,"")=0,"",", ")),""),IF(D173="",CONCATENATE($D$4,IF(COUNTIF(E173:G173,"")=0,"",", ")),""),IF(E173="",CONCATENATE($E$4,IF(COUNTIF(F173:G173,"")=0,"",", ")),""),IF(F173="",CONCATENATE($F$4,IF(G173="",", ","")),""),IF(G173="",$G$4,""))))</f>
        <v/>
      </c>
      <c r="AA173" s="30"/>
    </row>
    <row r="174" spans="1:27" ht="16" x14ac:dyDescent="0.35">
      <c r="A174" s="14" t="str">
        <f t="shared" si="8"/>
        <v xml:space="preserve">  </v>
      </c>
      <c r="B174" s="15"/>
      <c r="C174" s="31"/>
      <c r="D174" s="31"/>
      <c r="E174" s="17"/>
      <c r="F174" s="18"/>
      <c r="G174" s="32"/>
      <c r="H174" s="33" t="str">
        <f>IF(G174="","",IF(F174="žena",ROMAN(MATCH(G174+1,'[1]Normy VP'!$Y$27:$Y$33,-1)),ROMAN(MATCH(G174+1,'[1]Normy VP'!$Y$19:$Y$25,-1))))</f>
        <v/>
      </c>
      <c r="I174" s="21"/>
      <c r="J174" s="22"/>
      <c r="K174" s="23"/>
      <c r="L174" s="23"/>
      <c r="M174" s="23"/>
      <c r="N174" s="22"/>
      <c r="O174" s="22"/>
      <c r="P174" s="24" t="str">
        <f>IF(OR($J174="",$J174="odešel"),IF(K174="","",IF($F174="žena",CHOOSE(_xlfn.ARABIC($H174),MATCH(K174+1,'[1]Normy VP'!$C$25:$F$25,-1),MATCH(K174+1,'[1]Normy VP'!$C$26:$F$26,-1),MATCH(K174+1,'[1]Normy VP'!$C$27:$F$27,-1),MATCH(K174+1,'[1]Normy VP'!$C$28:$F$28,-1),MATCH(K174+1,'[1]Normy VP'!$C$29:$F$29,-1),"muž"),CHOOSE(_xlfn.ARABIC($H174),MATCH(K174+1,'[1]Normy VP'!$C$10:$F$10,-1),MATCH(K174+1,'[1]Normy VP'!$C$11:$F$11,-1),MATCH(K174+1,'[1]Normy VP'!$C$12:$F$12,-1),MATCH(K174+1,'[1]Normy VP'!$C$13:$F$13,-1),MATCH(K174+1,'[1]Normy VP'!$C$14:$F$14,-1),""))),"O")</f>
        <v/>
      </c>
      <c r="Q174" s="24" t="str">
        <f>IF(OR($J174="",$J174="odešel"),IF($F174="žena","",IF(L174="","",(CHOOSE(_xlfn.ARABIC($H174),MATCH(L174+1,'[1]Normy VP'!$G$10:$J$10,-1),MATCH(L174+1,'[1]Normy VP'!$G$11:$J$11,-1),MATCH(L174+1,'[1]Normy VP'!$G$12:$J$12,-1),MATCH(L174+1,'[1]Normy VP'!$G$13:$J$13,-1),MATCH(L174+1,'[1]Normy VP'!$G$14:$J$14,-1),"")))),"O")</f>
        <v/>
      </c>
      <c r="R174" s="34" t="str">
        <f t="shared" si="9"/>
        <v>N</v>
      </c>
      <c r="S174" s="24" t="str">
        <f>IF(OR($J174="",$J174="odešel"),IF(M174="","N",IF($F174="žena",CHOOSE(_xlfn.ARABIC($H174),MATCH(M174+1,'[1]Normy VP'!$G$25:$J$25,-1),MATCH(M174+1,'[1]Normy VP'!$G$26:$J$26,-1),MATCH(M174+1,'[1]Normy VP'!$G$27:$J$27,-1),MATCH(M174+1,'[1]Normy VP'!$G$28:$J$28,-1),MATCH(M174+1,'[1]Normy VP'!$G$29:$J$29,-1),"muž"),(CHOOSE(_xlfn.ARABIC($H174),MATCH(M174+1,'[1]Normy VP'!$K$10:$N$10,-1),MATCH(M174+1,'[1]Normy VP'!$K$11:$N$11,-1),MATCH(M174+1,'[1]Normy VP'!$K$12:$N$12,-1),MATCH(M174+1,'[1]Normy VP'!$K$13:$N$13,-1),MATCH(M174+1,'[1]Normy VP'!$K$14:$N$14,-1),"")))),"O")</f>
        <v>N</v>
      </c>
      <c r="T174" s="34" t="str">
        <f t="shared" si="10"/>
        <v>N</v>
      </c>
      <c r="U174" s="24" t="str">
        <f>IF(OR($J174="",$J174="odešel"),IF(N174="","N",IF($F174="žena",CHOOSE(_xlfn.ARABIC($H174),MATCH(N174+1,'[1]Normy VP'!$K$25:$N$25,-1),MATCH(N174+1,'[1]Normy VP'!$K$26:$N$26,-1),MATCH(N174+1,'[1]Normy VP'!$K$27:$N$27,-1),MATCH(N174+1,'[1]Normy VP'!$K$28:$N$28,-1),MATCH(N174+1,'[1]Normy VP'!$K$29:$N$29,-1),MATCH(N174+1,'[1]Normy VP'!$K$30:$N$30,-1)),CHOOSE(_xlfn.ARABIC($H174),MATCH(N174+1,'[1]Normy VP'!$O$10:$R$10,-1),MATCH(N174+1,'[1]Normy VP'!$O$11:$R$11,-1),MATCH(N174+1,'[1]Normy VP'!$O$12:$R$12,-1),MATCH(N174+1,'[1]Normy VP'!$O$13:$R$13,-1),MATCH(N174+1,'[1]Normy VP'!$O$14:$R$14,-1),MATCH(N174+1,'[1]Normy VP'!$O$15:$R$15,-1)))),"O")</f>
        <v>N</v>
      </c>
      <c r="V174" s="26" t="str">
        <f>IF(OR($J174="",$J174="odešel"),IF(O174="","N",IF($F174="žena",CHOOSE(_xlfn.ARABIC($H174),MATCH(O174-1,'[1]Normy VP'!$O$25:$R$25),MATCH(O174-1,'[1]Normy VP'!$O$26:$R$26),MATCH(O174-1,'[1]Normy VP'!$O$27:$R$27),MATCH(O174-1,'[1]Normy VP'!$O$28:$R$28),MATCH(O174-1,'[1]Normy VP'!$O$29:$R$29),MATCH(O174-1,'[1]Normy VP'!$O$30:$R$30)),CHOOSE(_xlfn.ARABIC($H174),MATCH(O174-1,'[1]Normy VP'!$S$10:$V$10),MATCH(O174-1,'[1]Normy VP'!$S$11:$V$11),MATCH(O174-1,'[1]Normy VP'!$S$12:$V$12),MATCH(O174-1,'[1]Normy VP'!$S$13:$V$13),MATCH(O174-1,'[1]Normy VP'!$S$14:$V$14),MATCH(O174-1,'[1]Normy VP'!$S$15:$V$15)))),"O")</f>
        <v>N</v>
      </c>
      <c r="W174" s="34" t="str">
        <f t="shared" si="11"/>
        <v>N</v>
      </c>
      <c r="X174" s="27" t="str">
        <f>IF(COUNTIF(B174:G174,"")&gt;0,"",IF(COUNTIF([1]PP!$A:$A,A174)=0,"neni v PP",IF(OR(Y174="odešel",VLOOKUP(A174,[1]PP!$A:$W,22,FALSE)="odešel"),"odešel",IF(OR(Y174="N",VLOOKUP(A174,[1]PP!$A:$W,22,FALSE)="N"),"N",IF(OR(Y174="C",VLOOKUP(A174,[1]PP!$A:$W,22,FALSE)="C"),"C",IF(OR(Y174="DZO",VLOOKUP(A174,[1]PP!$A:$W,22,FALSE)="DZO"),"DZO",IF(OR(Y174="mise",Y174="disp.",Y174="končí",Y174="DSC",VLOOKUP(A174,[1]PP!$A:$W,22,FALSE)="mise",VLOOKUP(A174,[1]PP!$A:$W,22,FALSE)="disp.",VLOOKUP(A174,[1]PP!$A:$W,22,FALSE)="končí",VLOOKUP(A174,[1]PP!$A:$W,22,FALSE)="DSC"),"jiné",IF(OR(Y174=4,VLOOKUP(A174,[1]PP!$A:$W,22,FALSE)=4),4,IF(OR(Y174=3,VLOOKUP(A174,[1]PP!$A:$W,22,FALSE)=3),3,IF(OR(Y174=2,VLOOKUP(A174,[1]PP!$A:$W,22,FALSE)=2),2,IF(AND(Y174=1,VLOOKUP(A174,[1]PP!$A:$W,22,FALSE)=1),1)))))))))))</f>
        <v/>
      </c>
      <c r="Y174" s="28" t="str">
        <f>IF(COUNTIF(B174:G174,"")&gt;0,"",IF(COUNTIF([1]PP!$A:$A,A174)=0,"neni v PP",IF(VLOOKUP(A174,[1]PP!$A:$W,8,FALSE)="odešel","odešel",IF(F174="","",IF(J174="",IF(OR(T174=4,W174=4),4,IF(AND(T174="N",W174="N"),"N",IF(OR(T174="N",W174="N"),4,ROUND(AVERAGE(T174,W174),0)))),J174)))))</f>
        <v/>
      </c>
      <c r="Z174" s="29" t="str">
        <f>IF(COUNTIF(B174:G174,"")=0,IF(X174="neni v PP",CONCATENATE("ID: &lt;",A174,"&gt; se neshoduje s žádným IDem v kartě PP"),IF(COUNTIF($A:$A,A174)&gt;1,CONCATENATE("ID: &lt;",A174,"&gt; se v kartě VP opakuje. Je nutné tyto IDy od sebe odlišit, např. mezerou za příjmením."),IF(COUNTIF([1]PP!A:A,A174)&gt;1,CONCATENATE("ID: &lt;",A174,"&gt; se v kartě PP opakuje. Je nutné tyto IDy od sebe odlišit, např. mezerou za příjmením."),IF(VLOOKUP(A174,[1]PP!$A:$W,5,FALSE)&lt;&gt;E174,CONCATENATE($E$4," &lt;",E174,"&gt; se neshoduje s jednotkou v kartě PP"," &lt;",VLOOKUP(A174,[1]PP!$A:$W,5,FALSE),"&gt;"),IF(AND(COUNTIF(K174:O174,"")&lt;5,J174="",I174=""),CONCATENATE("Doplň: ",$I$4),IF(AND(YEAR(I174)&lt;&gt;$E$2,COUNTIF(I174,"")=0),CONCATENATE("špatně uveden &lt;",$D$2,"&gt; nebo &lt;",$I$4,"&gt;"),IF(OR(AND(OR(COUNTIF(C174,"*a"),COUNTIF(C174,"*ie"),COUNTIF(C174,"*ine"),COUNTIF(D174,"*Á")),F174="muž"),AND(AND(COUNTIF(C174,"&lt;&gt;"&amp;"*a"),COUNTIF(C174,"&lt;&gt;"&amp;"*ie"),COUNTIF(C174,"&lt;&gt;"&amp;"*ine"),COUNTIF(D174,"&lt;&gt;"&amp;"*Á")),F174="žena")),CONCATENATE(C174," ",D174," je ",F174,"?"),""))))))),IF(COUNTIF(B174:O174,"")=14,"",CONCATENATE("Doplň: ",IF(B174="",CONCATENATE($B$4,IF(COUNTIF(C174:G174,"")=0,"",", ")),""),IF(C174="",CONCATENATE($C$4,IF(COUNTIF(D174:G174,"")=0,"",", ")),""),IF(D174="",CONCATENATE($D$4,IF(COUNTIF(E174:G174,"")=0,"",", ")),""),IF(E174="",CONCATENATE($E$4,IF(COUNTIF(F174:G174,"")=0,"",", ")),""),IF(F174="",CONCATENATE($F$4,IF(G174="",", ","")),""),IF(G174="",$G$4,""))))</f>
        <v/>
      </c>
      <c r="AA174" s="30"/>
    </row>
    <row r="175" spans="1:27" ht="16" x14ac:dyDescent="0.35">
      <c r="A175" s="14" t="str">
        <f t="shared" si="8"/>
        <v xml:space="preserve">  </v>
      </c>
      <c r="B175" s="15"/>
      <c r="C175" s="31"/>
      <c r="D175" s="31"/>
      <c r="E175" s="17"/>
      <c r="F175" s="18"/>
      <c r="G175" s="32"/>
      <c r="H175" s="33" t="str">
        <f>IF(G175="","",IF(F175="žena",ROMAN(MATCH(G175+1,'[1]Normy VP'!$Y$27:$Y$33,-1)),ROMAN(MATCH(G175+1,'[1]Normy VP'!$Y$19:$Y$25,-1))))</f>
        <v/>
      </c>
      <c r="I175" s="21"/>
      <c r="J175" s="22"/>
      <c r="K175" s="23"/>
      <c r="L175" s="23"/>
      <c r="M175" s="23"/>
      <c r="N175" s="22"/>
      <c r="O175" s="22"/>
      <c r="P175" s="24" t="str">
        <f>IF(OR($J175="",$J175="odešel"),IF(K175="","",IF($F175="žena",CHOOSE(_xlfn.ARABIC($H175),MATCH(K175+1,'[1]Normy VP'!$C$25:$F$25,-1),MATCH(K175+1,'[1]Normy VP'!$C$26:$F$26,-1),MATCH(K175+1,'[1]Normy VP'!$C$27:$F$27,-1),MATCH(K175+1,'[1]Normy VP'!$C$28:$F$28,-1),MATCH(K175+1,'[1]Normy VP'!$C$29:$F$29,-1),"muž"),CHOOSE(_xlfn.ARABIC($H175),MATCH(K175+1,'[1]Normy VP'!$C$10:$F$10,-1),MATCH(K175+1,'[1]Normy VP'!$C$11:$F$11,-1),MATCH(K175+1,'[1]Normy VP'!$C$12:$F$12,-1),MATCH(K175+1,'[1]Normy VP'!$C$13:$F$13,-1),MATCH(K175+1,'[1]Normy VP'!$C$14:$F$14,-1),""))),"O")</f>
        <v/>
      </c>
      <c r="Q175" s="24" t="str">
        <f>IF(OR($J175="",$J175="odešel"),IF($F175="žena","",IF(L175="","",(CHOOSE(_xlfn.ARABIC($H175),MATCH(L175+1,'[1]Normy VP'!$G$10:$J$10,-1),MATCH(L175+1,'[1]Normy VP'!$G$11:$J$11,-1),MATCH(L175+1,'[1]Normy VP'!$G$12:$J$12,-1),MATCH(L175+1,'[1]Normy VP'!$G$13:$J$13,-1),MATCH(L175+1,'[1]Normy VP'!$G$14:$J$14,-1),"")))),"O")</f>
        <v/>
      </c>
      <c r="R175" s="34" t="str">
        <f t="shared" si="9"/>
        <v>N</v>
      </c>
      <c r="S175" s="24" t="str">
        <f>IF(OR($J175="",$J175="odešel"),IF(M175="","N",IF($F175="žena",CHOOSE(_xlfn.ARABIC($H175),MATCH(M175+1,'[1]Normy VP'!$G$25:$J$25,-1),MATCH(M175+1,'[1]Normy VP'!$G$26:$J$26,-1),MATCH(M175+1,'[1]Normy VP'!$G$27:$J$27,-1),MATCH(M175+1,'[1]Normy VP'!$G$28:$J$28,-1),MATCH(M175+1,'[1]Normy VP'!$G$29:$J$29,-1),"muž"),(CHOOSE(_xlfn.ARABIC($H175),MATCH(M175+1,'[1]Normy VP'!$K$10:$N$10,-1),MATCH(M175+1,'[1]Normy VP'!$K$11:$N$11,-1),MATCH(M175+1,'[1]Normy VP'!$K$12:$N$12,-1),MATCH(M175+1,'[1]Normy VP'!$K$13:$N$13,-1),MATCH(M175+1,'[1]Normy VP'!$K$14:$N$14,-1),"")))),"O")</f>
        <v>N</v>
      </c>
      <c r="T175" s="34" t="str">
        <f t="shared" si="10"/>
        <v>N</v>
      </c>
      <c r="U175" s="24" t="str">
        <f>IF(OR($J175="",$J175="odešel"),IF(N175="","N",IF($F175="žena",CHOOSE(_xlfn.ARABIC($H175),MATCH(N175+1,'[1]Normy VP'!$K$25:$N$25,-1),MATCH(N175+1,'[1]Normy VP'!$K$26:$N$26,-1),MATCH(N175+1,'[1]Normy VP'!$K$27:$N$27,-1),MATCH(N175+1,'[1]Normy VP'!$K$28:$N$28,-1),MATCH(N175+1,'[1]Normy VP'!$K$29:$N$29,-1),MATCH(N175+1,'[1]Normy VP'!$K$30:$N$30,-1)),CHOOSE(_xlfn.ARABIC($H175),MATCH(N175+1,'[1]Normy VP'!$O$10:$R$10,-1),MATCH(N175+1,'[1]Normy VP'!$O$11:$R$11,-1),MATCH(N175+1,'[1]Normy VP'!$O$12:$R$12,-1),MATCH(N175+1,'[1]Normy VP'!$O$13:$R$13,-1),MATCH(N175+1,'[1]Normy VP'!$O$14:$R$14,-1),MATCH(N175+1,'[1]Normy VP'!$O$15:$R$15,-1)))),"O")</f>
        <v>N</v>
      </c>
      <c r="V175" s="26" t="str">
        <f>IF(OR($J175="",$J175="odešel"),IF(O175="","N",IF($F175="žena",CHOOSE(_xlfn.ARABIC($H175),MATCH(O175-1,'[1]Normy VP'!$O$25:$R$25),MATCH(O175-1,'[1]Normy VP'!$O$26:$R$26),MATCH(O175-1,'[1]Normy VP'!$O$27:$R$27),MATCH(O175-1,'[1]Normy VP'!$O$28:$R$28),MATCH(O175-1,'[1]Normy VP'!$O$29:$R$29),MATCH(O175-1,'[1]Normy VP'!$O$30:$R$30)),CHOOSE(_xlfn.ARABIC($H175),MATCH(O175-1,'[1]Normy VP'!$S$10:$V$10),MATCH(O175-1,'[1]Normy VP'!$S$11:$V$11),MATCH(O175-1,'[1]Normy VP'!$S$12:$V$12),MATCH(O175-1,'[1]Normy VP'!$S$13:$V$13),MATCH(O175-1,'[1]Normy VP'!$S$14:$V$14),MATCH(O175-1,'[1]Normy VP'!$S$15:$V$15)))),"O")</f>
        <v>N</v>
      </c>
      <c r="W175" s="34" t="str">
        <f t="shared" si="11"/>
        <v>N</v>
      </c>
      <c r="X175" s="27" t="str">
        <f>IF(COUNTIF(B175:G175,"")&gt;0,"",IF(COUNTIF([1]PP!$A:$A,A175)=0,"neni v PP",IF(OR(Y175="odešel",VLOOKUP(A175,[1]PP!$A:$W,22,FALSE)="odešel"),"odešel",IF(OR(Y175="N",VLOOKUP(A175,[1]PP!$A:$W,22,FALSE)="N"),"N",IF(OR(Y175="C",VLOOKUP(A175,[1]PP!$A:$W,22,FALSE)="C"),"C",IF(OR(Y175="DZO",VLOOKUP(A175,[1]PP!$A:$W,22,FALSE)="DZO"),"DZO",IF(OR(Y175="mise",Y175="disp.",Y175="končí",Y175="DSC",VLOOKUP(A175,[1]PP!$A:$W,22,FALSE)="mise",VLOOKUP(A175,[1]PP!$A:$W,22,FALSE)="disp.",VLOOKUP(A175,[1]PP!$A:$W,22,FALSE)="končí",VLOOKUP(A175,[1]PP!$A:$W,22,FALSE)="DSC"),"jiné",IF(OR(Y175=4,VLOOKUP(A175,[1]PP!$A:$W,22,FALSE)=4),4,IF(OR(Y175=3,VLOOKUP(A175,[1]PP!$A:$W,22,FALSE)=3),3,IF(OR(Y175=2,VLOOKUP(A175,[1]PP!$A:$W,22,FALSE)=2),2,IF(AND(Y175=1,VLOOKUP(A175,[1]PP!$A:$W,22,FALSE)=1),1)))))))))))</f>
        <v/>
      </c>
      <c r="Y175" s="28" t="str">
        <f>IF(COUNTIF(B175:G175,"")&gt;0,"",IF(COUNTIF([1]PP!$A:$A,A175)=0,"neni v PP",IF(VLOOKUP(A175,[1]PP!$A:$W,8,FALSE)="odešel","odešel",IF(F175="","",IF(J175="",IF(OR(T175=4,W175=4),4,IF(AND(T175="N",W175="N"),"N",IF(OR(T175="N",W175="N"),4,ROUND(AVERAGE(T175,W175),0)))),J175)))))</f>
        <v/>
      </c>
      <c r="Z175" s="29" t="str">
        <f>IF(COUNTIF(B175:G175,"")=0,IF(X175="neni v PP",CONCATENATE("ID: &lt;",A175,"&gt; se neshoduje s žádným IDem v kartě PP"),IF(COUNTIF($A:$A,A175)&gt;1,CONCATENATE("ID: &lt;",A175,"&gt; se v kartě VP opakuje. Je nutné tyto IDy od sebe odlišit, např. mezerou za příjmením."),IF(COUNTIF([1]PP!A:A,A175)&gt;1,CONCATENATE("ID: &lt;",A175,"&gt; se v kartě PP opakuje. Je nutné tyto IDy od sebe odlišit, např. mezerou za příjmením."),IF(VLOOKUP(A175,[1]PP!$A:$W,5,FALSE)&lt;&gt;E175,CONCATENATE($E$4," &lt;",E175,"&gt; se neshoduje s jednotkou v kartě PP"," &lt;",VLOOKUP(A175,[1]PP!$A:$W,5,FALSE),"&gt;"),IF(AND(COUNTIF(K175:O175,"")&lt;5,J175="",I175=""),CONCATENATE("Doplň: ",$I$4),IF(AND(YEAR(I175)&lt;&gt;$E$2,COUNTIF(I175,"")=0),CONCATENATE("špatně uveden &lt;",$D$2,"&gt; nebo &lt;",$I$4,"&gt;"),IF(OR(AND(OR(COUNTIF(C175,"*a"),COUNTIF(C175,"*ie"),COUNTIF(C175,"*ine"),COUNTIF(D175,"*Á")),F175="muž"),AND(AND(COUNTIF(C175,"&lt;&gt;"&amp;"*a"),COUNTIF(C175,"&lt;&gt;"&amp;"*ie"),COUNTIF(C175,"&lt;&gt;"&amp;"*ine"),COUNTIF(D175,"&lt;&gt;"&amp;"*Á")),F175="žena")),CONCATENATE(C175," ",D175," je ",F175,"?"),""))))))),IF(COUNTIF(B175:O175,"")=14,"",CONCATENATE("Doplň: ",IF(B175="",CONCATENATE($B$4,IF(COUNTIF(C175:G175,"")=0,"",", ")),""),IF(C175="",CONCATENATE($C$4,IF(COUNTIF(D175:G175,"")=0,"",", ")),""),IF(D175="",CONCATENATE($D$4,IF(COUNTIF(E175:G175,"")=0,"",", ")),""),IF(E175="",CONCATENATE($E$4,IF(COUNTIF(F175:G175,"")=0,"",", ")),""),IF(F175="",CONCATENATE($F$4,IF(G175="",", ","")),""),IF(G175="",$G$4,""))))</f>
        <v/>
      </c>
      <c r="AA175" s="30"/>
    </row>
    <row r="176" spans="1:27" ht="16" x14ac:dyDescent="0.35">
      <c r="A176" s="14" t="str">
        <f t="shared" si="8"/>
        <v xml:space="preserve">  </v>
      </c>
      <c r="B176" s="15"/>
      <c r="C176" s="31"/>
      <c r="D176" s="31"/>
      <c r="E176" s="17"/>
      <c r="F176" s="18"/>
      <c r="G176" s="32"/>
      <c r="H176" s="33" t="str">
        <f>IF(G176="","",IF(F176="žena",ROMAN(MATCH(G176+1,'[1]Normy VP'!$Y$27:$Y$33,-1)),ROMAN(MATCH(G176+1,'[1]Normy VP'!$Y$19:$Y$25,-1))))</f>
        <v/>
      </c>
      <c r="I176" s="21"/>
      <c r="J176" s="22"/>
      <c r="K176" s="23"/>
      <c r="L176" s="23"/>
      <c r="M176" s="23"/>
      <c r="N176" s="22"/>
      <c r="O176" s="22"/>
      <c r="P176" s="24" t="str">
        <f>IF(OR($J176="",$J176="odešel"),IF(K176="","",IF($F176="žena",CHOOSE(_xlfn.ARABIC($H176),MATCH(K176+1,'[1]Normy VP'!$C$25:$F$25,-1),MATCH(K176+1,'[1]Normy VP'!$C$26:$F$26,-1),MATCH(K176+1,'[1]Normy VP'!$C$27:$F$27,-1),MATCH(K176+1,'[1]Normy VP'!$C$28:$F$28,-1),MATCH(K176+1,'[1]Normy VP'!$C$29:$F$29,-1),"muž"),CHOOSE(_xlfn.ARABIC($H176),MATCH(K176+1,'[1]Normy VP'!$C$10:$F$10,-1),MATCH(K176+1,'[1]Normy VP'!$C$11:$F$11,-1),MATCH(K176+1,'[1]Normy VP'!$C$12:$F$12,-1),MATCH(K176+1,'[1]Normy VP'!$C$13:$F$13,-1),MATCH(K176+1,'[1]Normy VP'!$C$14:$F$14,-1),""))),"O")</f>
        <v/>
      </c>
      <c r="Q176" s="24" t="str">
        <f>IF(OR($J176="",$J176="odešel"),IF($F176="žena","",IF(L176="","",(CHOOSE(_xlfn.ARABIC($H176),MATCH(L176+1,'[1]Normy VP'!$G$10:$J$10,-1),MATCH(L176+1,'[1]Normy VP'!$G$11:$J$11,-1),MATCH(L176+1,'[1]Normy VP'!$G$12:$J$12,-1),MATCH(L176+1,'[1]Normy VP'!$G$13:$J$13,-1),MATCH(L176+1,'[1]Normy VP'!$G$14:$J$14,-1),"")))),"O")</f>
        <v/>
      </c>
      <c r="R176" s="34" t="str">
        <f t="shared" si="9"/>
        <v>N</v>
      </c>
      <c r="S176" s="24" t="str">
        <f>IF(OR($J176="",$J176="odešel"),IF(M176="","N",IF($F176="žena",CHOOSE(_xlfn.ARABIC($H176),MATCH(M176+1,'[1]Normy VP'!$G$25:$J$25,-1),MATCH(M176+1,'[1]Normy VP'!$G$26:$J$26,-1),MATCH(M176+1,'[1]Normy VP'!$G$27:$J$27,-1),MATCH(M176+1,'[1]Normy VP'!$G$28:$J$28,-1),MATCH(M176+1,'[1]Normy VP'!$G$29:$J$29,-1),"muž"),(CHOOSE(_xlfn.ARABIC($H176),MATCH(M176+1,'[1]Normy VP'!$K$10:$N$10,-1),MATCH(M176+1,'[1]Normy VP'!$K$11:$N$11,-1),MATCH(M176+1,'[1]Normy VP'!$K$12:$N$12,-1),MATCH(M176+1,'[1]Normy VP'!$K$13:$N$13,-1),MATCH(M176+1,'[1]Normy VP'!$K$14:$N$14,-1),"")))),"O")</f>
        <v>N</v>
      </c>
      <c r="T176" s="34" t="str">
        <f t="shared" si="10"/>
        <v>N</v>
      </c>
      <c r="U176" s="24" t="str">
        <f>IF(OR($J176="",$J176="odešel"),IF(N176="","N",IF($F176="žena",CHOOSE(_xlfn.ARABIC($H176),MATCH(N176+1,'[1]Normy VP'!$K$25:$N$25,-1),MATCH(N176+1,'[1]Normy VP'!$K$26:$N$26,-1),MATCH(N176+1,'[1]Normy VP'!$K$27:$N$27,-1),MATCH(N176+1,'[1]Normy VP'!$K$28:$N$28,-1),MATCH(N176+1,'[1]Normy VP'!$K$29:$N$29,-1),MATCH(N176+1,'[1]Normy VP'!$K$30:$N$30,-1)),CHOOSE(_xlfn.ARABIC($H176),MATCH(N176+1,'[1]Normy VP'!$O$10:$R$10,-1),MATCH(N176+1,'[1]Normy VP'!$O$11:$R$11,-1),MATCH(N176+1,'[1]Normy VP'!$O$12:$R$12,-1),MATCH(N176+1,'[1]Normy VP'!$O$13:$R$13,-1),MATCH(N176+1,'[1]Normy VP'!$O$14:$R$14,-1),MATCH(N176+1,'[1]Normy VP'!$O$15:$R$15,-1)))),"O")</f>
        <v>N</v>
      </c>
      <c r="V176" s="26" t="str">
        <f>IF(OR($J176="",$J176="odešel"),IF(O176="","N",IF($F176="žena",CHOOSE(_xlfn.ARABIC($H176),MATCH(O176-1,'[1]Normy VP'!$O$25:$R$25),MATCH(O176-1,'[1]Normy VP'!$O$26:$R$26),MATCH(O176-1,'[1]Normy VP'!$O$27:$R$27),MATCH(O176-1,'[1]Normy VP'!$O$28:$R$28),MATCH(O176-1,'[1]Normy VP'!$O$29:$R$29),MATCH(O176-1,'[1]Normy VP'!$O$30:$R$30)),CHOOSE(_xlfn.ARABIC($H176),MATCH(O176-1,'[1]Normy VP'!$S$10:$V$10),MATCH(O176-1,'[1]Normy VP'!$S$11:$V$11),MATCH(O176-1,'[1]Normy VP'!$S$12:$V$12),MATCH(O176-1,'[1]Normy VP'!$S$13:$V$13),MATCH(O176-1,'[1]Normy VP'!$S$14:$V$14),MATCH(O176-1,'[1]Normy VP'!$S$15:$V$15)))),"O")</f>
        <v>N</v>
      </c>
      <c r="W176" s="34" t="str">
        <f t="shared" si="11"/>
        <v>N</v>
      </c>
      <c r="X176" s="27" t="str">
        <f>IF(COUNTIF(B176:G176,"")&gt;0,"",IF(COUNTIF([1]PP!$A:$A,A176)=0,"neni v PP",IF(OR(Y176="odešel",VLOOKUP(A176,[1]PP!$A:$W,22,FALSE)="odešel"),"odešel",IF(OR(Y176="N",VLOOKUP(A176,[1]PP!$A:$W,22,FALSE)="N"),"N",IF(OR(Y176="C",VLOOKUP(A176,[1]PP!$A:$W,22,FALSE)="C"),"C",IF(OR(Y176="DZO",VLOOKUP(A176,[1]PP!$A:$W,22,FALSE)="DZO"),"DZO",IF(OR(Y176="mise",Y176="disp.",Y176="končí",Y176="DSC",VLOOKUP(A176,[1]PP!$A:$W,22,FALSE)="mise",VLOOKUP(A176,[1]PP!$A:$W,22,FALSE)="disp.",VLOOKUP(A176,[1]PP!$A:$W,22,FALSE)="končí",VLOOKUP(A176,[1]PP!$A:$W,22,FALSE)="DSC"),"jiné",IF(OR(Y176=4,VLOOKUP(A176,[1]PP!$A:$W,22,FALSE)=4),4,IF(OR(Y176=3,VLOOKUP(A176,[1]PP!$A:$W,22,FALSE)=3),3,IF(OR(Y176=2,VLOOKUP(A176,[1]PP!$A:$W,22,FALSE)=2),2,IF(AND(Y176=1,VLOOKUP(A176,[1]PP!$A:$W,22,FALSE)=1),1)))))))))))</f>
        <v/>
      </c>
      <c r="Y176" s="28" t="str">
        <f>IF(COUNTIF(B176:G176,"")&gt;0,"",IF(COUNTIF([1]PP!$A:$A,A176)=0,"neni v PP",IF(VLOOKUP(A176,[1]PP!$A:$W,8,FALSE)="odešel","odešel",IF(F176="","",IF(J176="",IF(OR(T176=4,W176=4),4,IF(AND(T176="N",W176="N"),"N",IF(OR(T176="N",W176="N"),4,ROUND(AVERAGE(T176,W176),0)))),J176)))))</f>
        <v/>
      </c>
      <c r="Z176" s="29" t="str">
        <f>IF(COUNTIF(B176:G176,"")=0,IF(X176="neni v PP",CONCATENATE("ID: &lt;",A176,"&gt; se neshoduje s žádným IDem v kartě PP"),IF(COUNTIF($A:$A,A176)&gt;1,CONCATENATE("ID: &lt;",A176,"&gt; se v kartě VP opakuje. Je nutné tyto IDy od sebe odlišit, např. mezerou za příjmením."),IF(COUNTIF([1]PP!A:A,A176)&gt;1,CONCATENATE("ID: &lt;",A176,"&gt; se v kartě PP opakuje. Je nutné tyto IDy od sebe odlišit, např. mezerou za příjmením."),IF(VLOOKUP(A176,[1]PP!$A:$W,5,FALSE)&lt;&gt;E176,CONCATENATE($E$4," &lt;",E176,"&gt; se neshoduje s jednotkou v kartě PP"," &lt;",VLOOKUP(A176,[1]PP!$A:$W,5,FALSE),"&gt;"),IF(AND(COUNTIF(K176:O176,"")&lt;5,J176="",I176=""),CONCATENATE("Doplň: ",$I$4),IF(AND(YEAR(I176)&lt;&gt;$E$2,COUNTIF(I176,"")=0),CONCATENATE("špatně uveden &lt;",$D$2,"&gt; nebo &lt;",$I$4,"&gt;"),IF(OR(AND(OR(COUNTIF(C176,"*a"),COUNTIF(C176,"*ie"),COUNTIF(C176,"*ine"),COUNTIF(D176,"*Á")),F176="muž"),AND(AND(COUNTIF(C176,"&lt;&gt;"&amp;"*a"),COUNTIF(C176,"&lt;&gt;"&amp;"*ie"),COUNTIF(C176,"&lt;&gt;"&amp;"*ine"),COUNTIF(D176,"&lt;&gt;"&amp;"*Á")),F176="žena")),CONCATENATE(C176," ",D176," je ",F176,"?"),""))))))),IF(COUNTIF(B176:O176,"")=14,"",CONCATENATE("Doplň: ",IF(B176="",CONCATENATE($B$4,IF(COUNTIF(C176:G176,"")=0,"",", ")),""),IF(C176="",CONCATENATE($C$4,IF(COUNTIF(D176:G176,"")=0,"",", ")),""),IF(D176="",CONCATENATE($D$4,IF(COUNTIF(E176:G176,"")=0,"",", ")),""),IF(E176="",CONCATENATE($E$4,IF(COUNTIF(F176:G176,"")=0,"",", ")),""),IF(F176="",CONCATENATE($F$4,IF(G176="",", ","")),""),IF(G176="",$G$4,""))))</f>
        <v/>
      </c>
      <c r="AA176" s="30"/>
    </row>
    <row r="177" spans="1:27" ht="16" x14ac:dyDescent="0.35">
      <c r="A177" s="14" t="str">
        <f t="shared" si="8"/>
        <v xml:space="preserve">  </v>
      </c>
      <c r="B177" s="15"/>
      <c r="C177" s="31"/>
      <c r="D177" s="31"/>
      <c r="E177" s="17"/>
      <c r="F177" s="18"/>
      <c r="G177" s="32"/>
      <c r="H177" s="33" t="str">
        <f>IF(G177="","",IF(F177="žena",ROMAN(MATCH(G177+1,'[1]Normy VP'!$Y$27:$Y$33,-1)),ROMAN(MATCH(G177+1,'[1]Normy VP'!$Y$19:$Y$25,-1))))</f>
        <v/>
      </c>
      <c r="I177" s="21"/>
      <c r="J177" s="22"/>
      <c r="K177" s="23"/>
      <c r="L177" s="23"/>
      <c r="M177" s="23"/>
      <c r="N177" s="22"/>
      <c r="O177" s="22"/>
      <c r="P177" s="24" t="str">
        <f>IF(OR($J177="",$J177="odešel"),IF(K177="","",IF($F177="žena",CHOOSE(_xlfn.ARABIC($H177),MATCH(K177+1,'[1]Normy VP'!$C$25:$F$25,-1),MATCH(K177+1,'[1]Normy VP'!$C$26:$F$26,-1),MATCH(K177+1,'[1]Normy VP'!$C$27:$F$27,-1),MATCH(K177+1,'[1]Normy VP'!$C$28:$F$28,-1),MATCH(K177+1,'[1]Normy VP'!$C$29:$F$29,-1),"muž"),CHOOSE(_xlfn.ARABIC($H177),MATCH(K177+1,'[1]Normy VP'!$C$10:$F$10,-1),MATCH(K177+1,'[1]Normy VP'!$C$11:$F$11,-1),MATCH(K177+1,'[1]Normy VP'!$C$12:$F$12,-1),MATCH(K177+1,'[1]Normy VP'!$C$13:$F$13,-1),MATCH(K177+1,'[1]Normy VP'!$C$14:$F$14,-1),""))),"O")</f>
        <v/>
      </c>
      <c r="Q177" s="24" t="str">
        <f>IF(OR($J177="",$J177="odešel"),IF($F177="žena","",IF(L177="","",(CHOOSE(_xlfn.ARABIC($H177),MATCH(L177+1,'[1]Normy VP'!$G$10:$J$10,-1),MATCH(L177+1,'[1]Normy VP'!$G$11:$J$11,-1),MATCH(L177+1,'[1]Normy VP'!$G$12:$J$12,-1),MATCH(L177+1,'[1]Normy VP'!$G$13:$J$13,-1),MATCH(L177+1,'[1]Normy VP'!$G$14:$J$14,-1),"")))),"O")</f>
        <v/>
      </c>
      <c r="R177" s="34" t="str">
        <f t="shared" si="9"/>
        <v>N</v>
      </c>
      <c r="S177" s="24" t="str">
        <f>IF(OR($J177="",$J177="odešel"),IF(M177="","N",IF($F177="žena",CHOOSE(_xlfn.ARABIC($H177),MATCH(M177+1,'[1]Normy VP'!$G$25:$J$25,-1),MATCH(M177+1,'[1]Normy VP'!$G$26:$J$26,-1),MATCH(M177+1,'[1]Normy VP'!$G$27:$J$27,-1),MATCH(M177+1,'[1]Normy VP'!$G$28:$J$28,-1),MATCH(M177+1,'[1]Normy VP'!$G$29:$J$29,-1),"muž"),(CHOOSE(_xlfn.ARABIC($H177),MATCH(M177+1,'[1]Normy VP'!$K$10:$N$10,-1),MATCH(M177+1,'[1]Normy VP'!$K$11:$N$11,-1),MATCH(M177+1,'[1]Normy VP'!$K$12:$N$12,-1),MATCH(M177+1,'[1]Normy VP'!$K$13:$N$13,-1),MATCH(M177+1,'[1]Normy VP'!$K$14:$N$14,-1),"")))),"O")</f>
        <v>N</v>
      </c>
      <c r="T177" s="34" t="str">
        <f t="shared" si="10"/>
        <v>N</v>
      </c>
      <c r="U177" s="24" t="str">
        <f>IF(OR($J177="",$J177="odešel"),IF(N177="","N",IF($F177="žena",CHOOSE(_xlfn.ARABIC($H177),MATCH(N177+1,'[1]Normy VP'!$K$25:$N$25,-1),MATCH(N177+1,'[1]Normy VP'!$K$26:$N$26,-1),MATCH(N177+1,'[1]Normy VP'!$K$27:$N$27,-1),MATCH(N177+1,'[1]Normy VP'!$K$28:$N$28,-1),MATCH(N177+1,'[1]Normy VP'!$K$29:$N$29,-1),MATCH(N177+1,'[1]Normy VP'!$K$30:$N$30,-1)),CHOOSE(_xlfn.ARABIC($H177),MATCH(N177+1,'[1]Normy VP'!$O$10:$R$10,-1),MATCH(N177+1,'[1]Normy VP'!$O$11:$R$11,-1),MATCH(N177+1,'[1]Normy VP'!$O$12:$R$12,-1),MATCH(N177+1,'[1]Normy VP'!$O$13:$R$13,-1),MATCH(N177+1,'[1]Normy VP'!$O$14:$R$14,-1),MATCH(N177+1,'[1]Normy VP'!$O$15:$R$15,-1)))),"O")</f>
        <v>N</v>
      </c>
      <c r="V177" s="26" t="str">
        <f>IF(OR($J177="",$J177="odešel"),IF(O177="","N",IF($F177="žena",CHOOSE(_xlfn.ARABIC($H177),MATCH(O177-1,'[1]Normy VP'!$O$25:$R$25),MATCH(O177-1,'[1]Normy VP'!$O$26:$R$26),MATCH(O177-1,'[1]Normy VP'!$O$27:$R$27),MATCH(O177-1,'[1]Normy VP'!$O$28:$R$28),MATCH(O177-1,'[1]Normy VP'!$O$29:$R$29),MATCH(O177-1,'[1]Normy VP'!$O$30:$R$30)),CHOOSE(_xlfn.ARABIC($H177),MATCH(O177-1,'[1]Normy VP'!$S$10:$V$10),MATCH(O177-1,'[1]Normy VP'!$S$11:$V$11),MATCH(O177-1,'[1]Normy VP'!$S$12:$V$12),MATCH(O177-1,'[1]Normy VP'!$S$13:$V$13),MATCH(O177-1,'[1]Normy VP'!$S$14:$V$14),MATCH(O177-1,'[1]Normy VP'!$S$15:$V$15)))),"O")</f>
        <v>N</v>
      </c>
      <c r="W177" s="34" t="str">
        <f t="shared" si="11"/>
        <v>N</v>
      </c>
      <c r="X177" s="27" t="str">
        <f>IF(COUNTIF(B177:G177,"")&gt;0,"",IF(COUNTIF([1]PP!$A:$A,A177)=0,"neni v PP",IF(OR(Y177="odešel",VLOOKUP(A177,[1]PP!$A:$W,22,FALSE)="odešel"),"odešel",IF(OR(Y177="N",VLOOKUP(A177,[1]PP!$A:$W,22,FALSE)="N"),"N",IF(OR(Y177="C",VLOOKUP(A177,[1]PP!$A:$W,22,FALSE)="C"),"C",IF(OR(Y177="DZO",VLOOKUP(A177,[1]PP!$A:$W,22,FALSE)="DZO"),"DZO",IF(OR(Y177="mise",Y177="disp.",Y177="končí",Y177="DSC",VLOOKUP(A177,[1]PP!$A:$W,22,FALSE)="mise",VLOOKUP(A177,[1]PP!$A:$W,22,FALSE)="disp.",VLOOKUP(A177,[1]PP!$A:$W,22,FALSE)="končí",VLOOKUP(A177,[1]PP!$A:$W,22,FALSE)="DSC"),"jiné",IF(OR(Y177=4,VLOOKUP(A177,[1]PP!$A:$W,22,FALSE)=4),4,IF(OR(Y177=3,VLOOKUP(A177,[1]PP!$A:$W,22,FALSE)=3),3,IF(OR(Y177=2,VLOOKUP(A177,[1]PP!$A:$W,22,FALSE)=2),2,IF(AND(Y177=1,VLOOKUP(A177,[1]PP!$A:$W,22,FALSE)=1),1)))))))))))</f>
        <v/>
      </c>
      <c r="Y177" s="28" t="str">
        <f>IF(COUNTIF(B177:G177,"")&gt;0,"",IF(COUNTIF([1]PP!$A:$A,A177)=0,"neni v PP",IF(VLOOKUP(A177,[1]PP!$A:$W,8,FALSE)="odešel","odešel",IF(F177="","",IF(J177="",IF(OR(T177=4,W177=4),4,IF(AND(T177="N",W177="N"),"N",IF(OR(T177="N",W177="N"),4,ROUND(AVERAGE(T177,W177),0)))),J177)))))</f>
        <v/>
      </c>
      <c r="Z177" s="29" t="str">
        <f>IF(COUNTIF(B177:G177,"")=0,IF(X177="neni v PP",CONCATENATE("ID: &lt;",A177,"&gt; se neshoduje s žádným IDem v kartě PP"),IF(COUNTIF($A:$A,A177)&gt;1,CONCATENATE("ID: &lt;",A177,"&gt; se v kartě VP opakuje. Je nutné tyto IDy od sebe odlišit, např. mezerou za příjmením."),IF(COUNTIF([1]PP!A:A,A177)&gt;1,CONCATENATE("ID: &lt;",A177,"&gt; se v kartě PP opakuje. Je nutné tyto IDy od sebe odlišit, např. mezerou za příjmením."),IF(VLOOKUP(A177,[1]PP!$A:$W,5,FALSE)&lt;&gt;E177,CONCATENATE($E$4," &lt;",E177,"&gt; se neshoduje s jednotkou v kartě PP"," &lt;",VLOOKUP(A177,[1]PP!$A:$W,5,FALSE),"&gt;"),IF(AND(COUNTIF(K177:O177,"")&lt;5,J177="",I177=""),CONCATENATE("Doplň: ",$I$4),IF(AND(YEAR(I177)&lt;&gt;$E$2,COUNTIF(I177,"")=0),CONCATENATE("špatně uveden &lt;",$D$2,"&gt; nebo &lt;",$I$4,"&gt;"),IF(OR(AND(OR(COUNTIF(C177,"*a"),COUNTIF(C177,"*ie"),COUNTIF(C177,"*ine"),COUNTIF(D177,"*Á")),F177="muž"),AND(AND(COUNTIF(C177,"&lt;&gt;"&amp;"*a"),COUNTIF(C177,"&lt;&gt;"&amp;"*ie"),COUNTIF(C177,"&lt;&gt;"&amp;"*ine"),COUNTIF(D177,"&lt;&gt;"&amp;"*Á")),F177="žena")),CONCATENATE(C177," ",D177," je ",F177,"?"),""))))))),IF(COUNTIF(B177:O177,"")=14,"",CONCATENATE("Doplň: ",IF(B177="",CONCATENATE($B$4,IF(COUNTIF(C177:G177,"")=0,"",", ")),""),IF(C177="",CONCATENATE($C$4,IF(COUNTIF(D177:G177,"")=0,"",", ")),""),IF(D177="",CONCATENATE($D$4,IF(COUNTIF(E177:G177,"")=0,"",", ")),""),IF(E177="",CONCATENATE($E$4,IF(COUNTIF(F177:G177,"")=0,"",", ")),""),IF(F177="",CONCATENATE($F$4,IF(G177="",", ","")),""),IF(G177="",$G$4,""))))</f>
        <v/>
      </c>
      <c r="AA177" s="30"/>
    </row>
    <row r="178" spans="1:27" ht="16" x14ac:dyDescent="0.35">
      <c r="A178" s="14" t="str">
        <f t="shared" si="8"/>
        <v xml:space="preserve">  </v>
      </c>
      <c r="B178" s="15"/>
      <c r="C178" s="31"/>
      <c r="D178" s="31"/>
      <c r="E178" s="17"/>
      <c r="F178" s="18"/>
      <c r="G178" s="32"/>
      <c r="H178" s="33" t="str">
        <f>IF(G178="","",IF(F178="žena",ROMAN(MATCH(G178+1,'[1]Normy VP'!$Y$27:$Y$33,-1)),ROMAN(MATCH(G178+1,'[1]Normy VP'!$Y$19:$Y$25,-1))))</f>
        <v/>
      </c>
      <c r="I178" s="21"/>
      <c r="J178" s="22"/>
      <c r="K178" s="23"/>
      <c r="L178" s="23"/>
      <c r="M178" s="23"/>
      <c r="N178" s="22"/>
      <c r="O178" s="22"/>
      <c r="P178" s="24" t="str">
        <f>IF(OR($J178="",$J178="odešel"),IF(K178="","",IF($F178="žena",CHOOSE(_xlfn.ARABIC($H178),MATCH(K178+1,'[1]Normy VP'!$C$25:$F$25,-1),MATCH(K178+1,'[1]Normy VP'!$C$26:$F$26,-1),MATCH(K178+1,'[1]Normy VP'!$C$27:$F$27,-1),MATCH(K178+1,'[1]Normy VP'!$C$28:$F$28,-1),MATCH(K178+1,'[1]Normy VP'!$C$29:$F$29,-1),"muž"),CHOOSE(_xlfn.ARABIC($H178),MATCH(K178+1,'[1]Normy VP'!$C$10:$F$10,-1),MATCH(K178+1,'[1]Normy VP'!$C$11:$F$11,-1),MATCH(K178+1,'[1]Normy VP'!$C$12:$F$12,-1),MATCH(K178+1,'[1]Normy VP'!$C$13:$F$13,-1),MATCH(K178+1,'[1]Normy VP'!$C$14:$F$14,-1),""))),"O")</f>
        <v/>
      </c>
      <c r="Q178" s="24" t="str">
        <f>IF(OR($J178="",$J178="odešel"),IF($F178="žena","",IF(L178="","",(CHOOSE(_xlfn.ARABIC($H178),MATCH(L178+1,'[1]Normy VP'!$G$10:$J$10,-1),MATCH(L178+1,'[1]Normy VP'!$G$11:$J$11,-1),MATCH(L178+1,'[1]Normy VP'!$G$12:$J$12,-1),MATCH(L178+1,'[1]Normy VP'!$G$13:$J$13,-1),MATCH(L178+1,'[1]Normy VP'!$G$14:$J$14,-1),"")))),"O")</f>
        <v/>
      </c>
      <c r="R178" s="34" t="str">
        <f t="shared" si="9"/>
        <v>N</v>
      </c>
      <c r="S178" s="24" t="str">
        <f>IF(OR($J178="",$J178="odešel"),IF(M178="","N",IF($F178="žena",CHOOSE(_xlfn.ARABIC($H178),MATCH(M178+1,'[1]Normy VP'!$G$25:$J$25,-1),MATCH(M178+1,'[1]Normy VP'!$G$26:$J$26,-1),MATCH(M178+1,'[1]Normy VP'!$G$27:$J$27,-1),MATCH(M178+1,'[1]Normy VP'!$G$28:$J$28,-1),MATCH(M178+1,'[1]Normy VP'!$G$29:$J$29,-1),"muž"),(CHOOSE(_xlfn.ARABIC($H178),MATCH(M178+1,'[1]Normy VP'!$K$10:$N$10,-1),MATCH(M178+1,'[1]Normy VP'!$K$11:$N$11,-1),MATCH(M178+1,'[1]Normy VP'!$K$12:$N$12,-1),MATCH(M178+1,'[1]Normy VP'!$K$13:$N$13,-1),MATCH(M178+1,'[1]Normy VP'!$K$14:$N$14,-1),"")))),"O")</f>
        <v>N</v>
      </c>
      <c r="T178" s="34" t="str">
        <f t="shared" si="10"/>
        <v>N</v>
      </c>
      <c r="U178" s="24" t="str">
        <f>IF(OR($J178="",$J178="odešel"),IF(N178="","N",IF($F178="žena",CHOOSE(_xlfn.ARABIC($H178),MATCH(N178+1,'[1]Normy VP'!$K$25:$N$25,-1),MATCH(N178+1,'[1]Normy VP'!$K$26:$N$26,-1),MATCH(N178+1,'[1]Normy VP'!$K$27:$N$27,-1),MATCH(N178+1,'[1]Normy VP'!$K$28:$N$28,-1),MATCH(N178+1,'[1]Normy VP'!$K$29:$N$29,-1),MATCH(N178+1,'[1]Normy VP'!$K$30:$N$30,-1)),CHOOSE(_xlfn.ARABIC($H178),MATCH(N178+1,'[1]Normy VP'!$O$10:$R$10,-1),MATCH(N178+1,'[1]Normy VP'!$O$11:$R$11,-1),MATCH(N178+1,'[1]Normy VP'!$O$12:$R$12,-1),MATCH(N178+1,'[1]Normy VP'!$O$13:$R$13,-1),MATCH(N178+1,'[1]Normy VP'!$O$14:$R$14,-1),MATCH(N178+1,'[1]Normy VP'!$O$15:$R$15,-1)))),"O")</f>
        <v>N</v>
      </c>
      <c r="V178" s="26" t="str">
        <f>IF(OR($J178="",$J178="odešel"),IF(O178="","N",IF($F178="žena",CHOOSE(_xlfn.ARABIC($H178),MATCH(O178-1,'[1]Normy VP'!$O$25:$R$25),MATCH(O178-1,'[1]Normy VP'!$O$26:$R$26),MATCH(O178-1,'[1]Normy VP'!$O$27:$R$27),MATCH(O178-1,'[1]Normy VP'!$O$28:$R$28),MATCH(O178-1,'[1]Normy VP'!$O$29:$R$29),MATCH(O178-1,'[1]Normy VP'!$O$30:$R$30)),CHOOSE(_xlfn.ARABIC($H178),MATCH(O178-1,'[1]Normy VP'!$S$10:$V$10),MATCH(O178-1,'[1]Normy VP'!$S$11:$V$11),MATCH(O178-1,'[1]Normy VP'!$S$12:$V$12),MATCH(O178-1,'[1]Normy VP'!$S$13:$V$13),MATCH(O178-1,'[1]Normy VP'!$S$14:$V$14),MATCH(O178-1,'[1]Normy VP'!$S$15:$V$15)))),"O")</f>
        <v>N</v>
      </c>
      <c r="W178" s="34" t="str">
        <f t="shared" si="11"/>
        <v>N</v>
      </c>
      <c r="X178" s="27" t="str">
        <f>IF(COUNTIF(B178:G178,"")&gt;0,"",IF(COUNTIF([1]PP!$A:$A,A178)=0,"neni v PP",IF(OR(Y178="odešel",VLOOKUP(A178,[1]PP!$A:$W,22,FALSE)="odešel"),"odešel",IF(OR(Y178="N",VLOOKUP(A178,[1]PP!$A:$W,22,FALSE)="N"),"N",IF(OR(Y178="C",VLOOKUP(A178,[1]PP!$A:$W,22,FALSE)="C"),"C",IF(OR(Y178="DZO",VLOOKUP(A178,[1]PP!$A:$W,22,FALSE)="DZO"),"DZO",IF(OR(Y178="mise",Y178="disp.",Y178="končí",Y178="DSC",VLOOKUP(A178,[1]PP!$A:$W,22,FALSE)="mise",VLOOKUP(A178,[1]PP!$A:$W,22,FALSE)="disp.",VLOOKUP(A178,[1]PP!$A:$W,22,FALSE)="končí",VLOOKUP(A178,[1]PP!$A:$W,22,FALSE)="DSC"),"jiné",IF(OR(Y178=4,VLOOKUP(A178,[1]PP!$A:$W,22,FALSE)=4),4,IF(OR(Y178=3,VLOOKUP(A178,[1]PP!$A:$W,22,FALSE)=3),3,IF(OR(Y178=2,VLOOKUP(A178,[1]PP!$A:$W,22,FALSE)=2),2,IF(AND(Y178=1,VLOOKUP(A178,[1]PP!$A:$W,22,FALSE)=1),1)))))))))))</f>
        <v/>
      </c>
      <c r="Y178" s="28" t="str">
        <f>IF(COUNTIF(B178:G178,"")&gt;0,"",IF(COUNTIF([1]PP!$A:$A,A178)=0,"neni v PP",IF(VLOOKUP(A178,[1]PP!$A:$W,8,FALSE)="odešel","odešel",IF(F178="","",IF(J178="",IF(OR(T178=4,W178=4),4,IF(AND(T178="N",W178="N"),"N",IF(OR(T178="N",W178="N"),4,ROUND(AVERAGE(T178,W178),0)))),J178)))))</f>
        <v/>
      </c>
      <c r="Z178" s="29" t="str">
        <f>IF(COUNTIF(B178:G178,"")=0,IF(X178="neni v PP",CONCATENATE("ID: &lt;",A178,"&gt; se neshoduje s žádným IDem v kartě PP"),IF(COUNTIF($A:$A,A178)&gt;1,CONCATENATE("ID: &lt;",A178,"&gt; se v kartě VP opakuje. Je nutné tyto IDy od sebe odlišit, např. mezerou za příjmením."),IF(COUNTIF([1]PP!A:A,A178)&gt;1,CONCATENATE("ID: &lt;",A178,"&gt; se v kartě PP opakuje. Je nutné tyto IDy od sebe odlišit, např. mezerou za příjmením."),IF(VLOOKUP(A178,[1]PP!$A:$W,5,FALSE)&lt;&gt;E178,CONCATENATE($E$4," &lt;",E178,"&gt; se neshoduje s jednotkou v kartě PP"," &lt;",VLOOKUP(A178,[1]PP!$A:$W,5,FALSE),"&gt;"),IF(AND(COUNTIF(K178:O178,"")&lt;5,J178="",I178=""),CONCATENATE("Doplň: ",$I$4),IF(AND(YEAR(I178)&lt;&gt;$E$2,COUNTIF(I178,"")=0),CONCATENATE("špatně uveden &lt;",$D$2,"&gt; nebo &lt;",$I$4,"&gt;"),IF(OR(AND(OR(COUNTIF(C178,"*a"),COUNTIF(C178,"*ie"),COUNTIF(C178,"*ine"),COUNTIF(D178,"*Á")),F178="muž"),AND(AND(COUNTIF(C178,"&lt;&gt;"&amp;"*a"),COUNTIF(C178,"&lt;&gt;"&amp;"*ie"),COUNTIF(C178,"&lt;&gt;"&amp;"*ine"),COUNTIF(D178,"&lt;&gt;"&amp;"*Á")),F178="žena")),CONCATENATE(C178," ",D178," je ",F178,"?"),""))))))),IF(COUNTIF(B178:O178,"")=14,"",CONCATENATE("Doplň: ",IF(B178="",CONCATENATE($B$4,IF(COUNTIF(C178:G178,"")=0,"",", ")),""),IF(C178="",CONCATENATE($C$4,IF(COUNTIF(D178:G178,"")=0,"",", ")),""),IF(D178="",CONCATENATE($D$4,IF(COUNTIF(E178:G178,"")=0,"",", ")),""),IF(E178="",CONCATENATE($E$4,IF(COUNTIF(F178:G178,"")=0,"",", ")),""),IF(F178="",CONCATENATE($F$4,IF(G178="",", ","")),""),IF(G178="",$G$4,""))))</f>
        <v/>
      </c>
      <c r="AA178" s="30"/>
    </row>
    <row r="179" spans="1:27" ht="16" x14ac:dyDescent="0.35">
      <c r="A179" s="14" t="str">
        <f t="shared" si="8"/>
        <v xml:space="preserve">  </v>
      </c>
      <c r="B179" s="15"/>
      <c r="C179" s="31"/>
      <c r="D179" s="31"/>
      <c r="E179" s="17"/>
      <c r="F179" s="18"/>
      <c r="G179" s="32"/>
      <c r="H179" s="33" t="str">
        <f>IF(G179="","",IF(F179="žena",ROMAN(MATCH(G179+1,'[1]Normy VP'!$Y$27:$Y$33,-1)),ROMAN(MATCH(G179+1,'[1]Normy VP'!$Y$19:$Y$25,-1))))</f>
        <v/>
      </c>
      <c r="I179" s="21"/>
      <c r="J179" s="22"/>
      <c r="K179" s="23"/>
      <c r="L179" s="23"/>
      <c r="M179" s="23"/>
      <c r="N179" s="22"/>
      <c r="O179" s="22"/>
      <c r="P179" s="24" t="str">
        <f>IF(OR($J179="",$J179="odešel"),IF(K179="","",IF($F179="žena",CHOOSE(_xlfn.ARABIC($H179),MATCH(K179+1,'[1]Normy VP'!$C$25:$F$25,-1),MATCH(K179+1,'[1]Normy VP'!$C$26:$F$26,-1),MATCH(K179+1,'[1]Normy VP'!$C$27:$F$27,-1),MATCH(K179+1,'[1]Normy VP'!$C$28:$F$28,-1),MATCH(K179+1,'[1]Normy VP'!$C$29:$F$29,-1),"muž"),CHOOSE(_xlfn.ARABIC($H179),MATCH(K179+1,'[1]Normy VP'!$C$10:$F$10,-1),MATCH(K179+1,'[1]Normy VP'!$C$11:$F$11,-1),MATCH(K179+1,'[1]Normy VP'!$C$12:$F$12,-1),MATCH(K179+1,'[1]Normy VP'!$C$13:$F$13,-1),MATCH(K179+1,'[1]Normy VP'!$C$14:$F$14,-1),""))),"O")</f>
        <v/>
      </c>
      <c r="Q179" s="24" t="str">
        <f>IF(OR($J179="",$J179="odešel"),IF($F179="žena","",IF(L179="","",(CHOOSE(_xlfn.ARABIC($H179),MATCH(L179+1,'[1]Normy VP'!$G$10:$J$10,-1),MATCH(L179+1,'[1]Normy VP'!$G$11:$J$11,-1),MATCH(L179+1,'[1]Normy VP'!$G$12:$J$12,-1),MATCH(L179+1,'[1]Normy VP'!$G$13:$J$13,-1),MATCH(L179+1,'[1]Normy VP'!$G$14:$J$14,-1),"")))),"O")</f>
        <v/>
      </c>
      <c r="R179" s="34" t="str">
        <f t="shared" si="9"/>
        <v>N</v>
      </c>
      <c r="S179" s="24" t="str">
        <f>IF(OR($J179="",$J179="odešel"),IF(M179="","N",IF($F179="žena",CHOOSE(_xlfn.ARABIC($H179),MATCH(M179+1,'[1]Normy VP'!$G$25:$J$25,-1),MATCH(M179+1,'[1]Normy VP'!$G$26:$J$26,-1),MATCH(M179+1,'[1]Normy VP'!$G$27:$J$27,-1),MATCH(M179+1,'[1]Normy VP'!$G$28:$J$28,-1),MATCH(M179+1,'[1]Normy VP'!$G$29:$J$29,-1),"muž"),(CHOOSE(_xlfn.ARABIC($H179),MATCH(M179+1,'[1]Normy VP'!$K$10:$N$10,-1),MATCH(M179+1,'[1]Normy VP'!$K$11:$N$11,-1),MATCH(M179+1,'[1]Normy VP'!$K$12:$N$12,-1),MATCH(M179+1,'[1]Normy VP'!$K$13:$N$13,-1),MATCH(M179+1,'[1]Normy VP'!$K$14:$N$14,-1),"")))),"O")</f>
        <v>N</v>
      </c>
      <c r="T179" s="34" t="str">
        <f t="shared" si="10"/>
        <v>N</v>
      </c>
      <c r="U179" s="24" t="str">
        <f>IF(OR($J179="",$J179="odešel"),IF(N179="","N",IF($F179="žena",CHOOSE(_xlfn.ARABIC($H179),MATCH(N179+1,'[1]Normy VP'!$K$25:$N$25,-1),MATCH(N179+1,'[1]Normy VP'!$K$26:$N$26,-1),MATCH(N179+1,'[1]Normy VP'!$K$27:$N$27,-1),MATCH(N179+1,'[1]Normy VP'!$K$28:$N$28,-1),MATCH(N179+1,'[1]Normy VP'!$K$29:$N$29,-1),MATCH(N179+1,'[1]Normy VP'!$K$30:$N$30,-1)),CHOOSE(_xlfn.ARABIC($H179),MATCH(N179+1,'[1]Normy VP'!$O$10:$R$10,-1),MATCH(N179+1,'[1]Normy VP'!$O$11:$R$11,-1),MATCH(N179+1,'[1]Normy VP'!$O$12:$R$12,-1),MATCH(N179+1,'[1]Normy VP'!$O$13:$R$13,-1),MATCH(N179+1,'[1]Normy VP'!$O$14:$R$14,-1),MATCH(N179+1,'[1]Normy VP'!$O$15:$R$15,-1)))),"O")</f>
        <v>N</v>
      </c>
      <c r="V179" s="26" t="str">
        <f>IF(OR($J179="",$J179="odešel"),IF(O179="","N",IF($F179="žena",CHOOSE(_xlfn.ARABIC($H179),MATCH(O179-1,'[1]Normy VP'!$O$25:$R$25),MATCH(O179-1,'[1]Normy VP'!$O$26:$R$26),MATCH(O179-1,'[1]Normy VP'!$O$27:$R$27),MATCH(O179-1,'[1]Normy VP'!$O$28:$R$28),MATCH(O179-1,'[1]Normy VP'!$O$29:$R$29),MATCH(O179-1,'[1]Normy VP'!$O$30:$R$30)),CHOOSE(_xlfn.ARABIC($H179),MATCH(O179-1,'[1]Normy VP'!$S$10:$V$10),MATCH(O179-1,'[1]Normy VP'!$S$11:$V$11),MATCH(O179-1,'[1]Normy VP'!$S$12:$V$12),MATCH(O179-1,'[1]Normy VP'!$S$13:$V$13),MATCH(O179-1,'[1]Normy VP'!$S$14:$V$14),MATCH(O179-1,'[1]Normy VP'!$S$15:$V$15)))),"O")</f>
        <v>N</v>
      </c>
      <c r="W179" s="34" t="str">
        <f t="shared" si="11"/>
        <v>N</v>
      </c>
      <c r="X179" s="27" t="str">
        <f>IF(COUNTIF(B179:G179,"")&gt;0,"",IF(COUNTIF([1]PP!$A:$A,A179)=0,"neni v PP",IF(OR(Y179="odešel",VLOOKUP(A179,[1]PP!$A:$W,22,FALSE)="odešel"),"odešel",IF(OR(Y179="N",VLOOKUP(A179,[1]PP!$A:$W,22,FALSE)="N"),"N",IF(OR(Y179="C",VLOOKUP(A179,[1]PP!$A:$W,22,FALSE)="C"),"C",IF(OR(Y179="DZO",VLOOKUP(A179,[1]PP!$A:$W,22,FALSE)="DZO"),"DZO",IF(OR(Y179="mise",Y179="disp.",Y179="končí",Y179="DSC",VLOOKUP(A179,[1]PP!$A:$W,22,FALSE)="mise",VLOOKUP(A179,[1]PP!$A:$W,22,FALSE)="disp.",VLOOKUP(A179,[1]PP!$A:$W,22,FALSE)="končí",VLOOKUP(A179,[1]PP!$A:$W,22,FALSE)="DSC"),"jiné",IF(OR(Y179=4,VLOOKUP(A179,[1]PP!$A:$W,22,FALSE)=4),4,IF(OR(Y179=3,VLOOKUP(A179,[1]PP!$A:$W,22,FALSE)=3),3,IF(OR(Y179=2,VLOOKUP(A179,[1]PP!$A:$W,22,FALSE)=2),2,IF(AND(Y179=1,VLOOKUP(A179,[1]PP!$A:$W,22,FALSE)=1),1)))))))))))</f>
        <v/>
      </c>
      <c r="Y179" s="28" t="str">
        <f>IF(COUNTIF(B179:G179,"")&gt;0,"",IF(COUNTIF([1]PP!$A:$A,A179)=0,"neni v PP",IF(VLOOKUP(A179,[1]PP!$A:$W,8,FALSE)="odešel","odešel",IF(F179="","",IF(J179="",IF(OR(T179=4,W179=4),4,IF(AND(T179="N",W179="N"),"N",IF(OR(T179="N",W179="N"),4,ROUND(AVERAGE(T179,W179),0)))),J179)))))</f>
        <v/>
      </c>
      <c r="Z179" s="29" t="str">
        <f>IF(COUNTIF(B179:G179,"")=0,IF(X179="neni v PP",CONCATENATE("ID: &lt;",A179,"&gt; se neshoduje s žádným IDem v kartě PP"),IF(COUNTIF($A:$A,A179)&gt;1,CONCATENATE("ID: &lt;",A179,"&gt; se v kartě VP opakuje. Je nutné tyto IDy od sebe odlišit, např. mezerou za příjmením."),IF(COUNTIF([1]PP!A:A,A179)&gt;1,CONCATENATE("ID: &lt;",A179,"&gt; se v kartě PP opakuje. Je nutné tyto IDy od sebe odlišit, např. mezerou za příjmením."),IF(VLOOKUP(A179,[1]PP!$A:$W,5,FALSE)&lt;&gt;E179,CONCATENATE($E$4," &lt;",E179,"&gt; se neshoduje s jednotkou v kartě PP"," &lt;",VLOOKUP(A179,[1]PP!$A:$W,5,FALSE),"&gt;"),IF(AND(COUNTIF(K179:O179,"")&lt;5,J179="",I179=""),CONCATENATE("Doplň: ",$I$4),IF(AND(YEAR(I179)&lt;&gt;$E$2,COUNTIF(I179,"")=0),CONCATENATE("špatně uveden &lt;",$D$2,"&gt; nebo &lt;",$I$4,"&gt;"),IF(OR(AND(OR(COUNTIF(C179,"*a"),COUNTIF(C179,"*ie"),COUNTIF(C179,"*ine"),COUNTIF(D179,"*Á")),F179="muž"),AND(AND(COUNTIF(C179,"&lt;&gt;"&amp;"*a"),COUNTIF(C179,"&lt;&gt;"&amp;"*ie"),COUNTIF(C179,"&lt;&gt;"&amp;"*ine"),COUNTIF(D179,"&lt;&gt;"&amp;"*Á")),F179="žena")),CONCATENATE(C179," ",D179," je ",F179,"?"),""))))))),IF(COUNTIF(B179:O179,"")=14,"",CONCATENATE("Doplň: ",IF(B179="",CONCATENATE($B$4,IF(COUNTIF(C179:G179,"")=0,"",", ")),""),IF(C179="",CONCATENATE($C$4,IF(COUNTIF(D179:G179,"")=0,"",", ")),""),IF(D179="",CONCATENATE($D$4,IF(COUNTIF(E179:G179,"")=0,"",", ")),""),IF(E179="",CONCATENATE($E$4,IF(COUNTIF(F179:G179,"")=0,"",", ")),""),IF(F179="",CONCATENATE($F$4,IF(G179="",", ","")),""),IF(G179="",$G$4,""))))</f>
        <v/>
      </c>
      <c r="AA179" s="30"/>
    </row>
    <row r="180" spans="1:27" ht="16" x14ac:dyDescent="0.35">
      <c r="A180" s="14" t="str">
        <f t="shared" si="8"/>
        <v xml:space="preserve">  </v>
      </c>
      <c r="B180" s="15"/>
      <c r="C180" s="31"/>
      <c r="D180" s="31"/>
      <c r="E180" s="17"/>
      <c r="F180" s="18"/>
      <c r="G180" s="32"/>
      <c r="H180" s="33" t="str">
        <f>IF(G180="","",IF(F180="žena",ROMAN(MATCH(G180+1,'[1]Normy VP'!$Y$27:$Y$33,-1)),ROMAN(MATCH(G180+1,'[1]Normy VP'!$Y$19:$Y$25,-1))))</f>
        <v/>
      </c>
      <c r="I180" s="21"/>
      <c r="J180" s="22"/>
      <c r="K180" s="23"/>
      <c r="L180" s="23"/>
      <c r="M180" s="23"/>
      <c r="N180" s="22"/>
      <c r="O180" s="22"/>
      <c r="P180" s="24" t="str">
        <f>IF(OR($J180="",$J180="odešel"),IF(K180="","",IF($F180="žena",CHOOSE(_xlfn.ARABIC($H180),MATCH(K180+1,'[1]Normy VP'!$C$25:$F$25,-1),MATCH(K180+1,'[1]Normy VP'!$C$26:$F$26,-1),MATCH(K180+1,'[1]Normy VP'!$C$27:$F$27,-1),MATCH(K180+1,'[1]Normy VP'!$C$28:$F$28,-1),MATCH(K180+1,'[1]Normy VP'!$C$29:$F$29,-1),"muž"),CHOOSE(_xlfn.ARABIC($H180),MATCH(K180+1,'[1]Normy VP'!$C$10:$F$10,-1),MATCH(K180+1,'[1]Normy VP'!$C$11:$F$11,-1),MATCH(K180+1,'[1]Normy VP'!$C$12:$F$12,-1),MATCH(K180+1,'[1]Normy VP'!$C$13:$F$13,-1),MATCH(K180+1,'[1]Normy VP'!$C$14:$F$14,-1),""))),"O")</f>
        <v/>
      </c>
      <c r="Q180" s="24" t="str">
        <f>IF(OR($J180="",$J180="odešel"),IF($F180="žena","",IF(L180="","",(CHOOSE(_xlfn.ARABIC($H180),MATCH(L180+1,'[1]Normy VP'!$G$10:$J$10,-1),MATCH(L180+1,'[1]Normy VP'!$G$11:$J$11,-1),MATCH(L180+1,'[1]Normy VP'!$G$12:$J$12,-1),MATCH(L180+1,'[1]Normy VP'!$G$13:$J$13,-1),MATCH(L180+1,'[1]Normy VP'!$G$14:$J$14,-1),"")))),"O")</f>
        <v/>
      </c>
      <c r="R180" s="34" t="str">
        <f t="shared" si="9"/>
        <v>N</v>
      </c>
      <c r="S180" s="24" t="str">
        <f>IF(OR($J180="",$J180="odešel"),IF(M180="","N",IF($F180="žena",CHOOSE(_xlfn.ARABIC($H180),MATCH(M180+1,'[1]Normy VP'!$G$25:$J$25,-1),MATCH(M180+1,'[1]Normy VP'!$G$26:$J$26,-1),MATCH(M180+1,'[1]Normy VP'!$G$27:$J$27,-1),MATCH(M180+1,'[1]Normy VP'!$G$28:$J$28,-1),MATCH(M180+1,'[1]Normy VP'!$G$29:$J$29,-1),"muž"),(CHOOSE(_xlfn.ARABIC($H180),MATCH(M180+1,'[1]Normy VP'!$K$10:$N$10,-1),MATCH(M180+1,'[1]Normy VP'!$K$11:$N$11,-1),MATCH(M180+1,'[1]Normy VP'!$K$12:$N$12,-1),MATCH(M180+1,'[1]Normy VP'!$K$13:$N$13,-1),MATCH(M180+1,'[1]Normy VP'!$K$14:$N$14,-1),"")))),"O")</f>
        <v>N</v>
      </c>
      <c r="T180" s="34" t="str">
        <f t="shared" si="10"/>
        <v>N</v>
      </c>
      <c r="U180" s="24" t="str">
        <f>IF(OR($J180="",$J180="odešel"),IF(N180="","N",IF($F180="žena",CHOOSE(_xlfn.ARABIC($H180),MATCH(N180+1,'[1]Normy VP'!$K$25:$N$25,-1),MATCH(N180+1,'[1]Normy VP'!$K$26:$N$26,-1),MATCH(N180+1,'[1]Normy VP'!$K$27:$N$27,-1),MATCH(N180+1,'[1]Normy VP'!$K$28:$N$28,-1),MATCH(N180+1,'[1]Normy VP'!$K$29:$N$29,-1),MATCH(N180+1,'[1]Normy VP'!$K$30:$N$30,-1)),CHOOSE(_xlfn.ARABIC($H180),MATCH(N180+1,'[1]Normy VP'!$O$10:$R$10,-1),MATCH(N180+1,'[1]Normy VP'!$O$11:$R$11,-1),MATCH(N180+1,'[1]Normy VP'!$O$12:$R$12,-1),MATCH(N180+1,'[1]Normy VP'!$O$13:$R$13,-1),MATCH(N180+1,'[1]Normy VP'!$O$14:$R$14,-1),MATCH(N180+1,'[1]Normy VP'!$O$15:$R$15,-1)))),"O")</f>
        <v>N</v>
      </c>
      <c r="V180" s="26" t="str">
        <f>IF(OR($J180="",$J180="odešel"),IF(O180="","N",IF($F180="žena",CHOOSE(_xlfn.ARABIC($H180),MATCH(O180-1,'[1]Normy VP'!$O$25:$R$25),MATCH(O180-1,'[1]Normy VP'!$O$26:$R$26),MATCH(O180-1,'[1]Normy VP'!$O$27:$R$27),MATCH(O180-1,'[1]Normy VP'!$O$28:$R$28),MATCH(O180-1,'[1]Normy VP'!$O$29:$R$29),MATCH(O180-1,'[1]Normy VP'!$O$30:$R$30)),CHOOSE(_xlfn.ARABIC($H180),MATCH(O180-1,'[1]Normy VP'!$S$10:$V$10),MATCH(O180-1,'[1]Normy VP'!$S$11:$V$11),MATCH(O180-1,'[1]Normy VP'!$S$12:$V$12),MATCH(O180-1,'[1]Normy VP'!$S$13:$V$13),MATCH(O180-1,'[1]Normy VP'!$S$14:$V$14),MATCH(O180-1,'[1]Normy VP'!$S$15:$V$15)))),"O")</f>
        <v>N</v>
      </c>
      <c r="W180" s="34" t="str">
        <f t="shared" si="11"/>
        <v>N</v>
      </c>
      <c r="X180" s="27" t="str">
        <f>IF(COUNTIF(B180:G180,"")&gt;0,"",IF(COUNTIF([1]PP!$A:$A,A180)=0,"neni v PP",IF(OR(Y180="odešel",VLOOKUP(A180,[1]PP!$A:$W,22,FALSE)="odešel"),"odešel",IF(OR(Y180="N",VLOOKUP(A180,[1]PP!$A:$W,22,FALSE)="N"),"N",IF(OR(Y180="C",VLOOKUP(A180,[1]PP!$A:$W,22,FALSE)="C"),"C",IF(OR(Y180="DZO",VLOOKUP(A180,[1]PP!$A:$W,22,FALSE)="DZO"),"DZO",IF(OR(Y180="mise",Y180="disp.",Y180="končí",Y180="DSC",VLOOKUP(A180,[1]PP!$A:$W,22,FALSE)="mise",VLOOKUP(A180,[1]PP!$A:$W,22,FALSE)="disp.",VLOOKUP(A180,[1]PP!$A:$W,22,FALSE)="končí",VLOOKUP(A180,[1]PP!$A:$W,22,FALSE)="DSC"),"jiné",IF(OR(Y180=4,VLOOKUP(A180,[1]PP!$A:$W,22,FALSE)=4),4,IF(OR(Y180=3,VLOOKUP(A180,[1]PP!$A:$W,22,FALSE)=3),3,IF(OR(Y180=2,VLOOKUP(A180,[1]PP!$A:$W,22,FALSE)=2),2,IF(AND(Y180=1,VLOOKUP(A180,[1]PP!$A:$W,22,FALSE)=1),1)))))))))))</f>
        <v/>
      </c>
      <c r="Y180" s="28" t="str">
        <f>IF(COUNTIF(B180:G180,"")&gt;0,"",IF(COUNTIF([1]PP!$A:$A,A180)=0,"neni v PP",IF(VLOOKUP(A180,[1]PP!$A:$W,8,FALSE)="odešel","odešel",IF(F180="","",IF(J180="",IF(OR(T180=4,W180=4),4,IF(AND(T180="N",W180="N"),"N",IF(OR(T180="N",W180="N"),4,ROUND(AVERAGE(T180,W180),0)))),J180)))))</f>
        <v/>
      </c>
      <c r="Z180" s="29" t="str">
        <f>IF(COUNTIF(B180:G180,"")=0,IF(X180="neni v PP",CONCATENATE("ID: &lt;",A180,"&gt; se neshoduje s žádným IDem v kartě PP"),IF(COUNTIF($A:$A,A180)&gt;1,CONCATENATE("ID: &lt;",A180,"&gt; se v kartě VP opakuje. Je nutné tyto IDy od sebe odlišit, např. mezerou za příjmením."),IF(COUNTIF([1]PP!A:A,A180)&gt;1,CONCATENATE("ID: &lt;",A180,"&gt; se v kartě PP opakuje. Je nutné tyto IDy od sebe odlišit, např. mezerou za příjmením."),IF(VLOOKUP(A180,[1]PP!$A:$W,5,FALSE)&lt;&gt;E180,CONCATENATE($E$4," &lt;",E180,"&gt; se neshoduje s jednotkou v kartě PP"," &lt;",VLOOKUP(A180,[1]PP!$A:$W,5,FALSE),"&gt;"),IF(AND(COUNTIF(K180:O180,"")&lt;5,J180="",I180=""),CONCATENATE("Doplň: ",$I$4),IF(AND(YEAR(I180)&lt;&gt;$E$2,COUNTIF(I180,"")=0),CONCATENATE("špatně uveden &lt;",$D$2,"&gt; nebo &lt;",$I$4,"&gt;"),IF(OR(AND(OR(COUNTIF(C180,"*a"),COUNTIF(C180,"*ie"),COUNTIF(C180,"*ine"),COUNTIF(D180,"*Á")),F180="muž"),AND(AND(COUNTIF(C180,"&lt;&gt;"&amp;"*a"),COUNTIF(C180,"&lt;&gt;"&amp;"*ie"),COUNTIF(C180,"&lt;&gt;"&amp;"*ine"),COUNTIF(D180,"&lt;&gt;"&amp;"*Á")),F180="žena")),CONCATENATE(C180," ",D180," je ",F180,"?"),""))))))),IF(COUNTIF(B180:O180,"")=14,"",CONCATENATE("Doplň: ",IF(B180="",CONCATENATE($B$4,IF(COUNTIF(C180:G180,"")=0,"",", ")),""),IF(C180="",CONCATENATE($C$4,IF(COUNTIF(D180:G180,"")=0,"",", ")),""),IF(D180="",CONCATENATE($D$4,IF(COUNTIF(E180:G180,"")=0,"",", ")),""),IF(E180="",CONCATENATE($E$4,IF(COUNTIF(F180:G180,"")=0,"",", ")),""),IF(F180="",CONCATENATE($F$4,IF(G180="",", ","")),""),IF(G180="",$G$4,""))))</f>
        <v/>
      </c>
      <c r="AA180" s="30"/>
    </row>
    <row r="181" spans="1:27" ht="16" x14ac:dyDescent="0.35">
      <c r="A181" s="14" t="str">
        <f t="shared" si="8"/>
        <v xml:space="preserve">  </v>
      </c>
      <c r="B181" s="15"/>
      <c r="C181" s="31"/>
      <c r="D181" s="31"/>
      <c r="E181" s="17"/>
      <c r="F181" s="18"/>
      <c r="G181" s="32"/>
      <c r="H181" s="33" t="str">
        <f>IF(G181="","",IF(F181="žena",ROMAN(MATCH(G181+1,'[1]Normy VP'!$Y$27:$Y$33,-1)),ROMAN(MATCH(G181+1,'[1]Normy VP'!$Y$19:$Y$25,-1))))</f>
        <v/>
      </c>
      <c r="I181" s="21"/>
      <c r="J181" s="22"/>
      <c r="K181" s="23"/>
      <c r="L181" s="23"/>
      <c r="M181" s="23"/>
      <c r="N181" s="22"/>
      <c r="O181" s="22"/>
      <c r="P181" s="24" t="str">
        <f>IF(OR($J181="",$J181="odešel"),IF(K181="","",IF($F181="žena",CHOOSE(_xlfn.ARABIC($H181),MATCH(K181+1,'[1]Normy VP'!$C$25:$F$25,-1),MATCH(K181+1,'[1]Normy VP'!$C$26:$F$26,-1),MATCH(K181+1,'[1]Normy VP'!$C$27:$F$27,-1),MATCH(K181+1,'[1]Normy VP'!$C$28:$F$28,-1),MATCH(K181+1,'[1]Normy VP'!$C$29:$F$29,-1),"muž"),CHOOSE(_xlfn.ARABIC($H181),MATCH(K181+1,'[1]Normy VP'!$C$10:$F$10,-1),MATCH(K181+1,'[1]Normy VP'!$C$11:$F$11,-1),MATCH(K181+1,'[1]Normy VP'!$C$12:$F$12,-1),MATCH(K181+1,'[1]Normy VP'!$C$13:$F$13,-1),MATCH(K181+1,'[1]Normy VP'!$C$14:$F$14,-1),""))),"O")</f>
        <v/>
      </c>
      <c r="Q181" s="24" t="str">
        <f>IF(OR($J181="",$J181="odešel"),IF($F181="žena","",IF(L181="","",(CHOOSE(_xlfn.ARABIC($H181),MATCH(L181+1,'[1]Normy VP'!$G$10:$J$10,-1),MATCH(L181+1,'[1]Normy VP'!$G$11:$J$11,-1),MATCH(L181+1,'[1]Normy VP'!$G$12:$J$12,-1),MATCH(L181+1,'[1]Normy VP'!$G$13:$J$13,-1),MATCH(L181+1,'[1]Normy VP'!$G$14:$J$14,-1),"")))),"O")</f>
        <v/>
      </c>
      <c r="R181" s="34" t="str">
        <f t="shared" si="9"/>
        <v>N</v>
      </c>
      <c r="S181" s="24" t="str">
        <f>IF(OR($J181="",$J181="odešel"),IF(M181="","N",IF($F181="žena",CHOOSE(_xlfn.ARABIC($H181),MATCH(M181+1,'[1]Normy VP'!$G$25:$J$25,-1),MATCH(M181+1,'[1]Normy VP'!$G$26:$J$26,-1),MATCH(M181+1,'[1]Normy VP'!$G$27:$J$27,-1),MATCH(M181+1,'[1]Normy VP'!$G$28:$J$28,-1),MATCH(M181+1,'[1]Normy VP'!$G$29:$J$29,-1),"muž"),(CHOOSE(_xlfn.ARABIC($H181),MATCH(M181+1,'[1]Normy VP'!$K$10:$N$10,-1),MATCH(M181+1,'[1]Normy VP'!$K$11:$N$11,-1),MATCH(M181+1,'[1]Normy VP'!$K$12:$N$12,-1),MATCH(M181+1,'[1]Normy VP'!$K$13:$N$13,-1),MATCH(M181+1,'[1]Normy VP'!$K$14:$N$14,-1),"")))),"O")</f>
        <v>N</v>
      </c>
      <c r="T181" s="34" t="str">
        <f t="shared" si="10"/>
        <v>N</v>
      </c>
      <c r="U181" s="24" t="str">
        <f>IF(OR($J181="",$J181="odešel"),IF(N181="","N",IF($F181="žena",CHOOSE(_xlfn.ARABIC($H181),MATCH(N181+1,'[1]Normy VP'!$K$25:$N$25,-1),MATCH(N181+1,'[1]Normy VP'!$K$26:$N$26,-1),MATCH(N181+1,'[1]Normy VP'!$K$27:$N$27,-1),MATCH(N181+1,'[1]Normy VP'!$K$28:$N$28,-1),MATCH(N181+1,'[1]Normy VP'!$K$29:$N$29,-1),MATCH(N181+1,'[1]Normy VP'!$K$30:$N$30,-1)),CHOOSE(_xlfn.ARABIC($H181),MATCH(N181+1,'[1]Normy VP'!$O$10:$R$10,-1),MATCH(N181+1,'[1]Normy VP'!$O$11:$R$11,-1),MATCH(N181+1,'[1]Normy VP'!$O$12:$R$12,-1),MATCH(N181+1,'[1]Normy VP'!$O$13:$R$13,-1),MATCH(N181+1,'[1]Normy VP'!$O$14:$R$14,-1),MATCH(N181+1,'[1]Normy VP'!$O$15:$R$15,-1)))),"O")</f>
        <v>N</v>
      </c>
      <c r="V181" s="26" t="str">
        <f>IF(OR($J181="",$J181="odešel"),IF(O181="","N",IF($F181="žena",CHOOSE(_xlfn.ARABIC($H181),MATCH(O181-1,'[1]Normy VP'!$O$25:$R$25),MATCH(O181-1,'[1]Normy VP'!$O$26:$R$26),MATCH(O181-1,'[1]Normy VP'!$O$27:$R$27),MATCH(O181-1,'[1]Normy VP'!$O$28:$R$28),MATCH(O181-1,'[1]Normy VP'!$O$29:$R$29),MATCH(O181-1,'[1]Normy VP'!$O$30:$R$30)),CHOOSE(_xlfn.ARABIC($H181),MATCH(O181-1,'[1]Normy VP'!$S$10:$V$10),MATCH(O181-1,'[1]Normy VP'!$S$11:$V$11),MATCH(O181-1,'[1]Normy VP'!$S$12:$V$12),MATCH(O181-1,'[1]Normy VP'!$S$13:$V$13),MATCH(O181-1,'[1]Normy VP'!$S$14:$V$14),MATCH(O181-1,'[1]Normy VP'!$S$15:$V$15)))),"O")</f>
        <v>N</v>
      </c>
      <c r="W181" s="34" t="str">
        <f t="shared" si="11"/>
        <v>N</v>
      </c>
      <c r="X181" s="27" t="str">
        <f>IF(COUNTIF(B181:G181,"")&gt;0,"",IF(COUNTIF([1]PP!$A:$A,A181)=0,"neni v PP",IF(OR(Y181="odešel",VLOOKUP(A181,[1]PP!$A:$W,22,FALSE)="odešel"),"odešel",IF(OR(Y181="N",VLOOKUP(A181,[1]PP!$A:$W,22,FALSE)="N"),"N",IF(OR(Y181="C",VLOOKUP(A181,[1]PP!$A:$W,22,FALSE)="C"),"C",IF(OR(Y181="DZO",VLOOKUP(A181,[1]PP!$A:$W,22,FALSE)="DZO"),"DZO",IF(OR(Y181="mise",Y181="disp.",Y181="končí",Y181="DSC",VLOOKUP(A181,[1]PP!$A:$W,22,FALSE)="mise",VLOOKUP(A181,[1]PP!$A:$W,22,FALSE)="disp.",VLOOKUP(A181,[1]PP!$A:$W,22,FALSE)="končí",VLOOKUP(A181,[1]PP!$A:$W,22,FALSE)="DSC"),"jiné",IF(OR(Y181=4,VLOOKUP(A181,[1]PP!$A:$W,22,FALSE)=4),4,IF(OR(Y181=3,VLOOKUP(A181,[1]PP!$A:$W,22,FALSE)=3),3,IF(OR(Y181=2,VLOOKUP(A181,[1]PP!$A:$W,22,FALSE)=2),2,IF(AND(Y181=1,VLOOKUP(A181,[1]PP!$A:$W,22,FALSE)=1),1)))))))))))</f>
        <v/>
      </c>
      <c r="Y181" s="28" t="str">
        <f>IF(COUNTIF(B181:G181,"")&gt;0,"",IF(COUNTIF([1]PP!$A:$A,A181)=0,"neni v PP",IF(VLOOKUP(A181,[1]PP!$A:$W,8,FALSE)="odešel","odešel",IF(F181="","",IF(J181="",IF(OR(T181=4,W181=4),4,IF(AND(T181="N",W181="N"),"N",IF(OR(T181="N",W181="N"),4,ROUND(AVERAGE(T181,W181),0)))),J181)))))</f>
        <v/>
      </c>
      <c r="Z181" s="29" t="str">
        <f>IF(COUNTIF(B181:G181,"")=0,IF(X181="neni v PP",CONCATENATE("ID: &lt;",A181,"&gt; se neshoduje s žádným IDem v kartě PP"),IF(COUNTIF($A:$A,A181)&gt;1,CONCATENATE("ID: &lt;",A181,"&gt; se v kartě VP opakuje. Je nutné tyto IDy od sebe odlišit, např. mezerou za příjmením."),IF(COUNTIF([1]PP!A:A,A181)&gt;1,CONCATENATE("ID: &lt;",A181,"&gt; se v kartě PP opakuje. Je nutné tyto IDy od sebe odlišit, např. mezerou za příjmením."),IF(VLOOKUP(A181,[1]PP!$A:$W,5,FALSE)&lt;&gt;E181,CONCATENATE($E$4," &lt;",E181,"&gt; se neshoduje s jednotkou v kartě PP"," &lt;",VLOOKUP(A181,[1]PP!$A:$W,5,FALSE),"&gt;"),IF(AND(COUNTIF(K181:O181,"")&lt;5,J181="",I181=""),CONCATENATE("Doplň: ",$I$4),IF(AND(YEAR(I181)&lt;&gt;$E$2,COUNTIF(I181,"")=0),CONCATENATE("špatně uveden &lt;",$D$2,"&gt; nebo &lt;",$I$4,"&gt;"),IF(OR(AND(OR(COUNTIF(C181,"*a"),COUNTIF(C181,"*ie"),COUNTIF(C181,"*ine"),COUNTIF(D181,"*Á")),F181="muž"),AND(AND(COUNTIF(C181,"&lt;&gt;"&amp;"*a"),COUNTIF(C181,"&lt;&gt;"&amp;"*ie"),COUNTIF(C181,"&lt;&gt;"&amp;"*ine"),COUNTIF(D181,"&lt;&gt;"&amp;"*Á")),F181="žena")),CONCATENATE(C181," ",D181," je ",F181,"?"),""))))))),IF(COUNTIF(B181:O181,"")=14,"",CONCATENATE("Doplň: ",IF(B181="",CONCATENATE($B$4,IF(COUNTIF(C181:G181,"")=0,"",", ")),""),IF(C181="",CONCATENATE($C$4,IF(COUNTIF(D181:G181,"")=0,"",", ")),""),IF(D181="",CONCATENATE($D$4,IF(COUNTIF(E181:G181,"")=0,"",", ")),""),IF(E181="",CONCATENATE($E$4,IF(COUNTIF(F181:G181,"")=0,"",", ")),""),IF(F181="",CONCATENATE($F$4,IF(G181="",", ","")),""),IF(G181="",$G$4,""))))</f>
        <v/>
      </c>
      <c r="AA181" s="30"/>
    </row>
    <row r="182" spans="1:27" ht="16" x14ac:dyDescent="0.35">
      <c r="A182" s="14" t="str">
        <f t="shared" si="8"/>
        <v xml:space="preserve">  </v>
      </c>
      <c r="B182" s="15"/>
      <c r="C182" s="31"/>
      <c r="D182" s="31"/>
      <c r="E182" s="17"/>
      <c r="F182" s="18"/>
      <c r="G182" s="32"/>
      <c r="H182" s="33" t="str">
        <f>IF(G182="","",IF(F182="žena",ROMAN(MATCH(G182+1,'[1]Normy VP'!$Y$27:$Y$33,-1)),ROMAN(MATCH(G182+1,'[1]Normy VP'!$Y$19:$Y$25,-1))))</f>
        <v/>
      </c>
      <c r="I182" s="21"/>
      <c r="J182" s="22"/>
      <c r="K182" s="23"/>
      <c r="L182" s="23"/>
      <c r="M182" s="23"/>
      <c r="N182" s="22"/>
      <c r="O182" s="22"/>
      <c r="P182" s="24" t="str">
        <f>IF(OR($J182="",$J182="odešel"),IF(K182="","",IF($F182="žena",CHOOSE(_xlfn.ARABIC($H182),MATCH(K182+1,'[1]Normy VP'!$C$25:$F$25,-1),MATCH(K182+1,'[1]Normy VP'!$C$26:$F$26,-1),MATCH(K182+1,'[1]Normy VP'!$C$27:$F$27,-1),MATCH(K182+1,'[1]Normy VP'!$C$28:$F$28,-1),MATCH(K182+1,'[1]Normy VP'!$C$29:$F$29,-1),"muž"),CHOOSE(_xlfn.ARABIC($H182),MATCH(K182+1,'[1]Normy VP'!$C$10:$F$10,-1),MATCH(K182+1,'[1]Normy VP'!$C$11:$F$11,-1),MATCH(K182+1,'[1]Normy VP'!$C$12:$F$12,-1),MATCH(K182+1,'[1]Normy VP'!$C$13:$F$13,-1),MATCH(K182+1,'[1]Normy VP'!$C$14:$F$14,-1),""))),"O")</f>
        <v/>
      </c>
      <c r="Q182" s="24" t="str">
        <f>IF(OR($J182="",$J182="odešel"),IF($F182="žena","",IF(L182="","",(CHOOSE(_xlfn.ARABIC($H182),MATCH(L182+1,'[1]Normy VP'!$G$10:$J$10,-1),MATCH(L182+1,'[1]Normy VP'!$G$11:$J$11,-1),MATCH(L182+1,'[1]Normy VP'!$G$12:$J$12,-1),MATCH(L182+1,'[1]Normy VP'!$G$13:$J$13,-1),MATCH(L182+1,'[1]Normy VP'!$G$14:$J$14,-1),"")))),"O")</f>
        <v/>
      </c>
      <c r="R182" s="34" t="str">
        <f t="shared" si="9"/>
        <v>N</v>
      </c>
      <c r="S182" s="24" t="str">
        <f>IF(OR($J182="",$J182="odešel"),IF(M182="","N",IF($F182="žena",CHOOSE(_xlfn.ARABIC($H182),MATCH(M182+1,'[1]Normy VP'!$G$25:$J$25,-1),MATCH(M182+1,'[1]Normy VP'!$G$26:$J$26,-1),MATCH(M182+1,'[1]Normy VP'!$G$27:$J$27,-1),MATCH(M182+1,'[1]Normy VP'!$G$28:$J$28,-1),MATCH(M182+1,'[1]Normy VP'!$G$29:$J$29,-1),"muž"),(CHOOSE(_xlfn.ARABIC($H182),MATCH(M182+1,'[1]Normy VP'!$K$10:$N$10,-1),MATCH(M182+1,'[1]Normy VP'!$K$11:$N$11,-1),MATCH(M182+1,'[1]Normy VP'!$K$12:$N$12,-1),MATCH(M182+1,'[1]Normy VP'!$K$13:$N$13,-1),MATCH(M182+1,'[1]Normy VP'!$K$14:$N$14,-1),"")))),"O")</f>
        <v>N</v>
      </c>
      <c r="T182" s="34" t="str">
        <f t="shared" si="10"/>
        <v>N</v>
      </c>
      <c r="U182" s="24" t="str">
        <f>IF(OR($J182="",$J182="odešel"),IF(N182="","N",IF($F182="žena",CHOOSE(_xlfn.ARABIC($H182),MATCH(N182+1,'[1]Normy VP'!$K$25:$N$25,-1),MATCH(N182+1,'[1]Normy VP'!$K$26:$N$26,-1),MATCH(N182+1,'[1]Normy VP'!$K$27:$N$27,-1),MATCH(N182+1,'[1]Normy VP'!$K$28:$N$28,-1),MATCH(N182+1,'[1]Normy VP'!$K$29:$N$29,-1),MATCH(N182+1,'[1]Normy VP'!$K$30:$N$30,-1)),CHOOSE(_xlfn.ARABIC($H182),MATCH(N182+1,'[1]Normy VP'!$O$10:$R$10,-1),MATCH(N182+1,'[1]Normy VP'!$O$11:$R$11,-1),MATCH(N182+1,'[1]Normy VP'!$O$12:$R$12,-1),MATCH(N182+1,'[1]Normy VP'!$O$13:$R$13,-1),MATCH(N182+1,'[1]Normy VP'!$O$14:$R$14,-1),MATCH(N182+1,'[1]Normy VP'!$O$15:$R$15,-1)))),"O")</f>
        <v>N</v>
      </c>
      <c r="V182" s="26" t="str">
        <f>IF(OR($J182="",$J182="odešel"),IF(O182="","N",IF($F182="žena",CHOOSE(_xlfn.ARABIC($H182),MATCH(O182-1,'[1]Normy VP'!$O$25:$R$25),MATCH(O182-1,'[1]Normy VP'!$O$26:$R$26),MATCH(O182-1,'[1]Normy VP'!$O$27:$R$27),MATCH(O182-1,'[1]Normy VP'!$O$28:$R$28),MATCH(O182-1,'[1]Normy VP'!$O$29:$R$29),MATCH(O182-1,'[1]Normy VP'!$O$30:$R$30)),CHOOSE(_xlfn.ARABIC($H182),MATCH(O182-1,'[1]Normy VP'!$S$10:$V$10),MATCH(O182-1,'[1]Normy VP'!$S$11:$V$11),MATCH(O182-1,'[1]Normy VP'!$S$12:$V$12),MATCH(O182-1,'[1]Normy VP'!$S$13:$V$13),MATCH(O182-1,'[1]Normy VP'!$S$14:$V$14),MATCH(O182-1,'[1]Normy VP'!$S$15:$V$15)))),"O")</f>
        <v>N</v>
      </c>
      <c r="W182" s="34" t="str">
        <f t="shared" si="11"/>
        <v>N</v>
      </c>
      <c r="X182" s="27" t="str">
        <f>IF(COUNTIF(B182:G182,"")&gt;0,"",IF(COUNTIF([1]PP!$A:$A,A182)=0,"neni v PP",IF(OR(Y182="odešel",VLOOKUP(A182,[1]PP!$A:$W,22,FALSE)="odešel"),"odešel",IF(OR(Y182="N",VLOOKUP(A182,[1]PP!$A:$W,22,FALSE)="N"),"N",IF(OR(Y182="C",VLOOKUP(A182,[1]PP!$A:$W,22,FALSE)="C"),"C",IF(OR(Y182="DZO",VLOOKUP(A182,[1]PP!$A:$W,22,FALSE)="DZO"),"DZO",IF(OR(Y182="mise",Y182="disp.",Y182="končí",Y182="DSC",VLOOKUP(A182,[1]PP!$A:$W,22,FALSE)="mise",VLOOKUP(A182,[1]PP!$A:$W,22,FALSE)="disp.",VLOOKUP(A182,[1]PP!$A:$W,22,FALSE)="končí",VLOOKUP(A182,[1]PP!$A:$W,22,FALSE)="DSC"),"jiné",IF(OR(Y182=4,VLOOKUP(A182,[1]PP!$A:$W,22,FALSE)=4),4,IF(OR(Y182=3,VLOOKUP(A182,[1]PP!$A:$W,22,FALSE)=3),3,IF(OR(Y182=2,VLOOKUP(A182,[1]PP!$A:$W,22,FALSE)=2),2,IF(AND(Y182=1,VLOOKUP(A182,[1]PP!$A:$W,22,FALSE)=1),1)))))))))))</f>
        <v/>
      </c>
      <c r="Y182" s="28" t="str">
        <f>IF(COUNTIF(B182:G182,"")&gt;0,"",IF(COUNTIF([1]PP!$A:$A,A182)=0,"neni v PP",IF(VLOOKUP(A182,[1]PP!$A:$W,8,FALSE)="odešel","odešel",IF(F182="","",IF(J182="",IF(OR(T182=4,W182=4),4,IF(AND(T182="N",W182="N"),"N",IF(OR(T182="N",W182="N"),4,ROUND(AVERAGE(T182,W182),0)))),J182)))))</f>
        <v/>
      </c>
      <c r="Z182" s="29" t="str">
        <f>IF(COUNTIF(B182:G182,"")=0,IF(X182="neni v PP",CONCATENATE("ID: &lt;",A182,"&gt; se neshoduje s žádným IDem v kartě PP"),IF(COUNTIF($A:$A,A182)&gt;1,CONCATENATE("ID: &lt;",A182,"&gt; se v kartě VP opakuje. Je nutné tyto IDy od sebe odlišit, např. mezerou za příjmením."),IF(COUNTIF([1]PP!A:A,A182)&gt;1,CONCATENATE("ID: &lt;",A182,"&gt; se v kartě PP opakuje. Je nutné tyto IDy od sebe odlišit, např. mezerou za příjmením."),IF(VLOOKUP(A182,[1]PP!$A:$W,5,FALSE)&lt;&gt;E182,CONCATENATE($E$4," &lt;",E182,"&gt; se neshoduje s jednotkou v kartě PP"," &lt;",VLOOKUP(A182,[1]PP!$A:$W,5,FALSE),"&gt;"),IF(AND(COUNTIF(K182:O182,"")&lt;5,J182="",I182=""),CONCATENATE("Doplň: ",$I$4),IF(AND(YEAR(I182)&lt;&gt;$E$2,COUNTIF(I182,"")=0),CONCATENATE("špatně uveden &lt;",$D$2,"&gt; nebo &lt;",$I$4,"&gt;"),IF(OR(AND(OR(COUNTIF(C182,"*a"),COUNTIF(C182,"*ie"),COUNTIF(C182,"*ine"),COUNTIF(D182,"*Á")),F182="muž"),AND(AND(COUNTIF(C182,"&lt;&gt;"&amp;"*a"),COUNTIF(C182,"&lt;&gt;"&amp;"*ie"),COUNTIF(C182,"&lt;&gt;"&amp;"*ine"),COUNTIF(D182,"&lt;&gt;"&amp;"*Á")),F182="žena")),CONCATENATE(C182," ",D182," je ",F182,"?"),""))))))),IF(COUNTIF(B182:O182,"")=14,"",CONCATENATE("Doplň: ",IF(B182="",CONCATENATE($B$4,IF(COUNTIF(C182:G182,"")=0,"",", ")),""),IF(C182="",CONCATENATE($C$4,IF(COUNTIF(D182:G182,"")=0,"",", ")),""),IF(D182="",CONCATENATE($D$4,IF(COUNTIF(E182:G182,"")=0,"",", ")),""),IF(E182="",CONCATENATE($E$4,IF(COUNTIF(F182:G182,"")=0,"",", ")),""),IF(F182="",CONCATENATE($F$4,IF(G182="",", ","")),""),IF(G182="",$G$4,""))))</f>
        <v/>
      </c>
      <c r="AA182" s="30"/>
    </row>
    <row r="183" spans="1:27" ht="16" x14ac:dyDescent="0.35">
      <c r="A183" s="14" t="str">
        <f t="shared" si="8"/>
        <v xml:space="preserve">  </v>
      </c>
      <c r="B183" s="15"/>
      <c r="C183" s="31"/>
      <c r="D183" s="31"/>
      <c r="E183" s="17"/>
      <c r="F183" s="18"/>
      <c r="G183" s="32"/>
      <c r="H183" s="33" t="str">
        <f>IF(G183="","",IF(F183="žena",ROMAN(MATCH(G183+1,'[1]Normy VP'!$Y$27:$Y$33,-1)),ROMAN(MATCH(G183+1,'[1]Normy VP'!$Y$19:$Y$25,-1))))</f>
        <v/>
      </c>
      <c r="I183" s="21"/>
      <c r="J183" s="22"/>
      <c r="K183" s="23"/>
      <c r="L183" s="23"/>
      <c r="M183" s="23"/>
      <c r="N183" s="22"/>
      <c r="O183" s="22"/>
      <c r="P183" s="24" t="str">
        <f>IF(OR($J183="",$J183="odešel"),IF(K183="","",IF($F183="žena",CHOOSE(_xlfn.ARABIC($H183),MATCH(K183+1,'[1]Normy VP'!$C$25:$F$25,-1),MATCH(K183+1,'[1]Normy VP'!$C$26:$F$26,-1),MATCH(K183+1,'[1]Normy VP'!$C$27:$F$27,-1),MATCH(K183+1,'[1]Normy VP'!$C$28:$F$28,-1),MATCH(K183+1,'[1]Normy VP'!$C$29:$F$29,-1),"muž"),CHOOSE(_xlfn.ARABIC($H183),MATCH(K183+1,'[1]Normy VP'!$C$10:$F$10,-1),MATCH(K183+1,'[1]Normy VP'!$C$11:$F$11,-1),MATCH(K183+1,'[1]Normy VP'!$C$12:$F$12,-1),MATCH(K183+1,'[1]Normy VP'!$C$13:$F$13,-1),MATCH(K183+1,'[1]Normy VP'!$C$14:$F$14,-1),""))),"O")</f>
        <v/>
      </c>
      <c r="Q183" s="24" t="str">
        <f>IF(OR($J183="",$J183="odešel"),IF($F183="žena","",IF(L183="","",(CHOOSE(_xlfn.ARABIC($H183),MATCH(L183+1,'[1]Normy VP'!$G$10:$J$10,-1),MATCH(L183+1,'[1]Normy VP'!$G$11:$J$11,-1),MATCH(L183+1,'[1]Normy VP'!$G$12:$J$12,-1),MATCH(L183+1,'[1]Normy VP'!$G$13:$J$13,-1),MATCH(L183+1,'[1]Normy VP'!$G$14:$J$14,-1),"")))),"O")</f>
        <v/>
      </c>
      <c r="R183" s="34" t="str">
        <f t="shared" si="9"/>
        <v>N</v>
      </c>
      <c r="S183" s="24" t="str">
        <f>IF(OR($J183="",$J183="odešel"),IF(M183="","N",IF($F183="žena",CHOOSE(_xlfn.ARABIC($H183),MATCH(M183+1,'[1]Normy VP'!$G$25:$J$25,-1),MATCH(M183+1,'[1]Normy VP'!$G$26:$J$26,-1),MATCH(M183+1,'[1]Normy VP'!$G$27:$J$27,-1),MATCH(M183+1,'[1]Normy VP'!$G$28:$J$28,-1),MATCH(M183+1,'[1]Normy VP'!$G$29:$J$29,-1),"muž"),(CHOOSE(_xlfn.ARABIC($H183),MATCH(M183+1,'[1]Normy VP'!$K$10:$N$10,-1),MATCH(M183+1,'[1]Normy VP'!$K$11:$N$11,-1),MATCH(M183+1,'[1]Normy VP'!$K$12:$N$12,-1),MATCH(M183+1,'[1]Normy VP'!$K$13:$N$13,-1),MATCH(M183+1,'[1]Normy VP'!$K$14:$N$14,-1),"")))),"O")</f>
        <v>N</v>
      </c>
      <c r="T183" s="34" t="str">
        <f t="shared" si="10"/>
        <v>N</v>
      </c>
      <c r="U183" s="24" t="str">
        <f>IF(OR($J183="",$J183="odešel"),IF(N183="","N",IF($F183="žena",CHOOSE(_xlfn.ARABIC($H183),MATCH(N183+1,'[1]Normy VP'!$K$25:$N$25,-1),MATCH(N183+1,'[1]Normy VP'!$K$26:$N$26,-1),MATCH(N183+1,'[1]Normy VP'!$K$27:$N$27,-1),MATCH(N183+1,'[1]Normy VP'!$K$28:$N$28,-1),MATCH(N183+1,'[1]Normy VP'!$K$29:$N$29,-1),MATCH(N183+1,'[1]Normy VP'!$K$30:$N$30,-1)),CHOOSE(_xlfn.ARABIC($H183),MATCH(N183+1,'[1]Normy VP'!$O$10:$R$10,-1),MATCH(N183+1,'[1]Normy VP'!$O$11:$R$11,-1),MATCH(N183+1,'[1]Normy VP'!$O$12:$R$12,-1),MATCH(N183+1,'[1]Normy VP'!$O$13:$R$13,-1),MATCH(N183+1,'[1]Normy VP'!$O$14:$R$14,-1),MATCH(N183+1,'[1]Normy VP'!$O$15:$R$15,-1)))),"O")</f>
        <v>N</v>
      </c>
      <c r="V183" s="26" t="str">
        <f>IF(OR($J183="",$J183="odešel"),IF(O183="","N",IF($F183="žena",CHOOSE(_xlfn.ARABIC($H183),MATCH(O183-1,'[1]Normy VP'!$O$25:$R$25),MATCH(O183-1,'[1]Normy VP'!$O$26:$R$26),MATCH(O183-1,'[1]Normy VP'!$O$27:$R$27),MATCH(O183-1,'[1]Normy VP'!$O$28:$R$28),MATCH(O183-1,'[1]Normy VP'!$O$29:$R$29),MATCH(O183-1,'[1]Normy VP'!$O$30:$R$30)),CHOOSE(_xlfn.ARABIC($H183),MATCH(O183-1,'[1]Normy VP'!$S$10:$V$10),MATCH(O183-1,'[1]Normy VP'!$S$11:$V$11),MATCH(O183-1,'[1]Normy VP'!$S$12:$V$12),MATCH(O183-1,'[1]Normy VP'!$S$13:$V$13),MATCH(O183-1,'[1]Normy VP'!$S$14:$V$14),MATCH(O183-1,'[1]Normy VP'!$S$15:$V$15)))),"O")</f>
        <v>N</v>
      </c>
      <c r="W183" s="34" t="str">
        <f t="shared" si="11"/>
        <v>N</v>
      </c>
      <c r="X183" s="27" t="str">
        <f>IF(COUNTIF(B183:G183,"")&gt;0,"",IF(COUNTIF([1]PP!$A:$A,A183)=0,"neni v PP",IF(OR(Y183="odešel",VLOOKUP(A183,[1]PP!$A:$W,22,FALSE)="odešel"),"odešel",IF(OR(Y183="N",VLOOKUP(A183,[1]PP!$A:$W,22,FALSE)="N"),"N",IF(OR(Y183="C",VLOOKUP(A183,[1]PP!$A:$W,22,FALSE)="C"),"C",IF(OR(Y183="DZO",VLOOKUP(A183,[1]PP!$A:$W,22,FALSE)="DZO"),"DZO",IF(OR(Y183="mise",Y183="disp.",Y183="končí",Y183="DSC",VLOOKUP(A183,[1]PP!$A:$W,22,FALSE)="mise",VLOOKUP(A183,[1]PP!$A:$W,22,FALSE)="disp.",VLOOKUP(A183,[1]PP!$A:$W,22,FALSE)="končí",VLOOKUP(A183,[1]PP!$A:$W,22,FALSE)="DSC"),"jiné",IF(OR(Y183=4,VLOOKUP(A183,[1]PP!$A:$W,22,FALSE)=4),4,IF(OR(Y183=3,VLOOKUP(A183,[1]PP!$A:$W,22,FALSE)=3),3,IF(OR(Y183=2,VLOOKUP(A183,[1]PP!$A:$W,22,FALSE)=2),2,IF(AND(Y183=1,VLOOKUP(A183,[1]PP!$A:$W,22,FALSE)=1),1)))))))))))</f>
        <v/>
      </c>
      <c r="Y183" s="28" t="str">
        <f>IF(COUNTIF(B183:G183,"")&gt;0,"",IF(COUNTIF([1]PP!$A:$A,A183)=0,"neni v PP",IF(VLOOKUP(A183,[1]PP!$A:$W,8,FALSE)="odešel","odešel",IF(F183="","",IF(J183="",IF(OR(T183=4,W183=4),4,IF(AND(T183="N",W183="N"),"N",IF(OR(T183="N",W183="N"),4,ROUND(AVERAGE(T183,W183),0)))),J183)))))</f>
        <v/>
      </c>
      <c r="Z183" s="29" t="str">
        <f>IF(COUNTIF(B183:G183,"")=0,IF(X183="neni v PP",CONCATENATE("ID: &lt;",A183,"&gt; se neshoduje s žádným IDem v kartě PP"),IF(COUNTIF($A:$A,A183)&gt;1,CONCATENATE("ID: &lt;",A183,"&gt; se v kartě VP opakuje. Je nutné tyto IDy od sebe odlišit, např. mezerou za příjmením."),IF(COUNTIF([1]PP!A:A,A183)&gt;1,CONCATENATE("ID: &lt;",A183,"&gt; se v kartě PP opakuje. Je nutné tyto IDy od sebe odlišit, např. mezerou za příjmením."),IF(VLOOKUP(A183,[1]PP!$A:$W,5,FALSE)&lt;&gt;E183,CONCATENATE($E$4," &lt;",E183,"&gt; se neshoduje s jednotkou v kartě PP"," &lt;",VLOOKUP(A183,[1]PP!$A:$W,5,FALSE),"&gt;"),IF(AND(COUNTIF(K183:O183,"")&lt;5,J183="",I183=""),CONCATENATE("Doplň: ",$I$4),IF(AND(YEAR(I183)&lt;&gt;$E$2,COUNTIF(I183,"")=0),CONCATENATE("špatně uveden &lt;",$D$2,"&gt; nebo &lt;",$I$4,"&gt;"),IF(OR(AND(OR(COUNTIF(C183,"*a"),COUNTIF(C183,"*ie"),COUNTIF(C183,"*ine"),COUNTIF(D183,"*Á")),F183="muž"),AND(AND(COUNTIF(C183,"&lt;&gt;"&amp;"*a"),COUNTIF(C183,"&lt;&gt;"&amp;"*ie"),COUNTIF(C183,"&lt;&gt;"&amp;"*ine"),COUNTIF(D183,"&lt;&gt;"&amp;"*Á")),F183="žena")),CONCATENATE(C183," ",D183," je ",F183,"?"),""))))))),IF(COUNTIF(B183:O183,"")=14,"",CONCATENATE("Doplň: ",IF(B183="",CONCATENATE($B$4,IF(COUNTIF(C183:G183,"")=0,"",", ")),""),IF(C183="",CONCATENATE($C$4,IF(COUNTIF(D183:G183,"")=0,"",", ")),""),IF(D183="",CONCATENATE($D$4,IF(COUNTIF(E183:G183,"")=0,"",", ")),""),IF(E183="",CONCATENATE($E$4,IF(COUNTIF(F183:G183,"")=0,"",", ")),""),IF(F183="",CONCATENATE($F$4,IF(G183="",", ","")),""),IF(G183="",$G$4,""))))</f>
        <v/>
      </c>
      <c r="AA183" s="30"/>
    </row>
    <row r="184" spans="1:27" ht="16" x14ac:dyDescent="0.35">
      <c r="A184" s="14" t="str">
        <f t="shared" si="8"/>
        <v xml:space="preserve">  </v>
      </c>
      <c r="B184" s="15"/>
      <c r="C184" s="31"/>
      <c r="D184" s="31"/>
      <c r="E184" s="17"/>
      <c r="F184" s="18"/>
      <c r="G184" s="32"/>
      <c r="H184" s="33" t="str">
        <f>IF(G184="","",IF(F184="žena",ROMAN(MATCH(G184+1,'[1]Normy VP'!$Y$27:$Y$33,-1)),ROMAN(MATCH(G184+1,'[1]Normy VP'!$Y$19:$Y$25,-1))))</f>
        <v/>
      </c>
      <c r="I184" s="21"/>
      <c r="J184" s="22"/>
      <c r="K184" s="23"/>
      <c r="L184" s="23"/>
      <c r="M184" s="23"/>
      <c r="N184" s="22"/>
      <c r="O184" s="22"/>
      <c r="P184" s="24" t="str">
        <f>IF(OR($J184="",$J184="odešel"),IF(K184="","",IF($F184="žena",CHOOSE(_xlfn.ARABIC($H184),MATCH(K184+1,'[1]Normy VP'!$C$25:$F$25,-1),MATCH(K184+1,'[1]Normy VP'!$C$26:$F$26,-1),MATCH(K184+1,'[1]Normy VP'!$C$27:$F$27,-1),MATCH(K184+1,'[1]Normy VP'!$C$28:$F$28,-1),MATCH(K184+1,'[1]Normy VP'!$C$29:$F$29,-1),"muž"),CHOOSE(_xlfn.ARABIC($H184),MATCH(K184+1,'[1]Normy VP'!$C$10:$F$10,-1),MATCH(K184+1,'[1]Normy VP'!$C$11:$F$11,-1),MATCH(K184+1,'[1]Normy VP'!$C$12:$F$12,-1),MATCH(K184+1,'[1]Normy VP'!$C$13:$F$13,-1),MATCH(K184+1,'[1]Normy VP'!$C$14:$F$14,-1),""))),"O")</f>
        <v/>
      </c>
      <c r="Q184" s="24" t="str">
        <f>IF(OR($J184="",$J184="odešel"),IF($F184="žena","",IF(L184="","",(CHOOSE(_xlfn.ARABIC($H184),MATCH(L184+1,'[1]Normy VP'!$G$10:$J$10,-1),MATCH(L184+1,'[1]Normy VP'!$G$11:$J$11,-1),MATCH(L184+1,'[1]Normy VP'!$G$12:$J$12,-1),MATCH(L184+1,'[1]Normy VP'!$G$13:$J$13,-1),MATCH(L184+1,'[1]Normy VP'!$G$14:$J$14,-1),"")))),"O")</f>
        <v/>
      </c>
      <c r="R184" s="34" t="str">
        <f t="shared" si="9"/>
        <v>N</v>
      </c>
      <c r="S184" s="24" t="str">
        <f>IF(OR($J184="",$J184="odešel"),IF(M184="","N",IF($F184="žena",CHOOSE(_xlfn.ARABIC($H184),MATCH(M184+1,'[1]Normy VP'!$G$25:$J$25,-1),MATCH(M184+1,'[1]Normy VP'!$G$26:$J$26,-1),MATCH(M184+1,'[1]Normy VP'!$G$27:$J$27,-1),MATCH(M184+1,'[1]Normy VP'!$G$28:$J$28,-1),MATCH(M184+1,'[1]Normy VP'!$G$29:$J$29,-1),"muž"),(CHOOSE(_xlfn.ARABIC($H184),MATCH(M184+1,'[1]Normy VP'!$K$10:$N$10,-1),MATCH(M184+1,'[1]Normy VP'!$K$11:$N$11,-1),MATCH(M184+1,'[1]Normy VP'!$K$12:$N$12,-1),MATCH(M184+1,'[1]Normy VP'!$K$13:$N$13,-1),MATCH(M184+1,'[1]Normy VP'!$K$14:$N$14,-1),"")))),"O")</f>
        <v>N</v>
      </c>
      <c r="T184" s="34" t="str">
        <f t="shared" si="10"/>
        <v>N</v>
      </c>
      <c r="U184" s="24" t="str">
        <f>IF(OR($J184="",$J184="odešel"),IF(N184="","N",IF($F184="žena",CHOOSE(_xlfn.ARABIC($H184),MATCH(N184+1,'[1]Normy VP'!$K$25:$N$25,-1),MATCH(N184+1,'[1]Normy VP'!$K$26:$N$26,-1),MATCH(N184+1,'[1]Normy VP'!$K$27:$N$27,-1),MATCH(N184+1,'[1]Normy VP'!$K$28:$N$28,-1),MATCH(N184+1,'[1]Normy VP'!$K$29:$N$29,-1),MATCH(N184+1,'[1]Normy VP'!$K$30:$N$30,-1)),CHOOSE(_xlfn.ARABIC($H184),MATCH(N184+1,'[1]Normy VP'!$O$10:$R$10,-1),MATCH(N184+1,'[1]Normy VP'!$O$11:$R$11,-1),MATCH(N184+1,'[1]Normy VP'!$O$12:$R$12,-1),MATCH(N184+1,'[1]Normy VP'!$O$13:$R$13,-1),MATCH(N184+1,'[1]Normy VP'!$O$14:$R$14,-1),MATCH(N184+1,'[1]Normy VP'!$O$15:$R$15,-1)))),"O")</f>
        <v>N</v>
      </c>
      <c r="V184" s="26" t="str">
        <f>IF(OR($J184="",$J184="odešel"),IF(O184="","N",IF($F184="žena",CHOOSE(_xlfn.ARABIC($H184),MATCH(O184-1,'[1]Normy VP'!$O$25:$R$25),MATCH(O184-1,'[1]Normy VP'!$O$26:$R$26),MATCH(O184-1,'[1]Normy VP'!$O$27:$R$27),MATCH(O184-1,'[1]Normy VP'!$O$28:$R$28),MATCH(O184-1,'[1]Normy VP'!$O$29:$R$29),MATCH(O184-1,'[1]Normy VP'!$O$30:$R$30)),CHOOSE(_xlfn.ARABIC($H184),MATCH(O184-1,'[1]Normy VP'!$S$10:$V$10),MATCH(O184-1,'[1]Normy VP'!$S$11:$V$11),MATCH(O184-1,'[1]Normy VP'!$S$12:$V$12),MATCH(O184-1,'[1]Normy VP'!$S$13:$V$13),MATCH(O184-1,'[1]Normy VP'!$S$14:$V$14),MATCH(O184-1,'[1]Normy VP'!$S$15:$V$15)))),"O")</f>
        <v>N</v>
      </c>
      <c r="W184" s="34" t="str">
        <f t="shared" si="11"/>
        <v>N</v>
      </c>
      <c r="X184" s="27" t="str">
        <f>IF(COUNTIF(B184:G184,"")&gt;0,"",IF(COUNTIF([1]PP!$A:$A,A184)=0,"neni v PP",IF(OR(Y184="odešel",VLOOKUP(A184,[1]PP!$A:$W,22,FALSE)="odešel"),"odešel",IF(OR(Y184="N",VLOOKUP(A184,[1]PP!$A:$W,22,FALSE)="N"),"N",IF(OR(Y184="C",VLOOKUP(A184,[1]PP!$A:$W,22,FALSE)="C"),"C",IF(OR(Y184="DZO",VLOOKUP(A184,[1]PP!$A:$W,22,FALSE)="DZO"),"DZO",IF(OR(Y184="mise",Y184="disp.",Y184="končí",Y184="DSC",VLOOKUP(A184,[1]PP!$A:$W,22,FALSE)="mise",VLOOKUP(A184,[1]PP!$A:$W,22,FALSE)="disp.",VLOOKUP(A184,[1]PP!$A:$W,22,FALSE)="končí",VLOOKUP(A184,[1]PP!$A:$W,22,FALSE)="DSC"),"jiné",IF(OR(Y184=4,VLOOKUP(A184,[1]PP!$A:$W,22,FALSE)=4),4,IF(OR(Y184=3,VLOOKUP(A184,[1]PP!$A:$W,22,FALSE)=3),3,IF(OR(Y184=2,VLOOKUP(A184,[1]PP!$A:$W,22,FALSE)=2),2,IF(AND(Y184=1,VLOOKUP(A184,[1]PP!$A:$W,22,FALSE)=1),1)))))))))))</f>
        <v/>
      </c>
      <c r="Y184" s="28" t="str">
        <f>IF(COUNTIF(B184:G184,"")&gt;0,"",IF(COUNTIF([1]PP!$A:$A,A184)=0,"neni v PP",IF(VLOOKUP(A184,[1]PP!$A:$W,8,FALSE)="odešel","odešel",IF(F184="","",IF(J184="",IF(OR(T184=4,W184=4),4,IF(AND(T184="N",W184="N"),"N",IF(OR(T184="N",W184="N"),4,ROUND(AVERAGE(T184,W184),0)))),J184)))))</f>
        <v/>
      </c>
      <c r="Z184" s="29" t="str">
        <f>IF(COUNTIF(B184:G184,"")=0,IF(X184="neni v PP",CONCATENATE("ID: &lt;",A184,"&gt; se neshoduje s žádným IDem v kartě PP"),IF(COUNTIF($A:$A,A184)&gt;1,CONCATENATE("ID: &lt;",A184,"&gt; se v kartě VP opakuje. Je nutné tyto IDy od sebe odlišit, např. mezerou za příjmením."),IF(COUNTIF([1]PP!A:A,A184)&gt;1,CONCATENATE("ID: &lt;",A184,"&gt; se v kartě PP opakuje. Je nutné tyto IDy od sebe odlišit, např. mezerou za příjmením."),IF(VLOOKUP(A184,[1]PP!$A:$W,5,FALSE)&lt;&gt;E184,CONCATENATE($E$4," &lt;",E184,"&gt; se neshoduje s jednotkou v kartě PP"," &lt;",VLOOKUP(A184,[1]PP!$A:$W,5,FALSE),"&gt;"),IF(AND(COUNTIF(K184:O184,"")&lt;5,J184="",I184=""),CONCATENATE("Doplň: ",$I$4),IF(AND(YEAR(I184)&lt;&gt;$E$2,COUNTIF(I184,"")=0),CONCATENATE("špatně uveden &lt;",$D$2,"&gt; nebo &lt;",$I$4,"&gt;"),IF(OR(AND(OR(COUNTIF(C184,"*a"),COUNTIF(C184,"*ie"),COUNTIF(C184,"*ine"),COUNTIF(D184,"*Á")),F184="muž"),AND(AND(COUNTIF(C184,"&lt;&gt;"&amp;"*a"),COUNTIF(C184,"&lt;&gt;"&amp;"*ie"),COUNTIF(C184,"&lt;&gt;"&amp;"*ine"),COUNTIF(D184,"&lt;&gt;"&amp;"*Á")),F184="žena")),CONCATENATE(C184," ",D184," je ",F184,"?"),""))))))),IF(COUNTIF(B184:O184,"")=14,"",CONCATENATE("Doplň: ",IF(B184="",CONCATENATE($B$4,IF(COUNTIF(C184:G184,"")=0,"",", ")),""),IF(C184="",CONCATENATE($C$4,IF(COUNTIF(D184:G184,"")=0,"",", ")),""),IF(D184="",CONCATENATE($D$4,IF(COUNTIF(E184:G184,"")=0,"",", ")),""),IF(E184="",CONCATENATE($E$4,IF(COUNTIF(F184:G184,"")=0,"",", ")),""),IF(F184="",CONCATENATE($F$4,IF(G184="",", ","")),""),IF(G184="",$G$4,""))))</f>
        <v/>
      </c>
      <c r="AA184" s="30"/>
    </row>
    <row r="185" spans="1:27" ht="16" x14ac:dyDescent="0.35">
      <c r="A185" s="14" t="str">
        <f t="shared" si="8"/>
        <v xml:space="preserve">  </v>
      </c>
      <c r="B185" s="15"/>
      <c r="C185" s="31"/>
      <c r="D185" s="31"/>
      <c r="E185" s="17"/>
      <c r="F185" s="18"/>
      <c r="G185" s="32"/>
      <c r="H185" s="33" t="str">
        <f>IF(G185="","",IF(F185="žena",ROMAN(MATCH(G185+1,'[1]Normy VP'!$Y$27:$Y$33,-1)),ROMAN(MATCH(G185+1,'[1]Normy VP'!$Y$19:$Y$25,-1))))</f>
        <v/>
      </c>
      <c r="I185" s="21"/>
      <c r="J185" s="22"/>
      <c r="K185" s="23"/>
      <c r="L185" s="23"/>
      <c r="M185" s="23"/>
      <c r="N185" s="22"/>
      <c r="O185" s="22"/>
      <c r="P185" s="24" t="str">
        <f>IF(OR($J185="",$J185="odešel"),IF(K185="","",IF($F185="žena",CHOOSE(_xlfn.ARABIC($H185),MATCH(K185+1,'[1]Normy VP'!$C$25:$F$25,-1),MATCH(K185+1,'[1]Normy VP'!$C$26:$F$26,-1),MATCH(K185+1,'[1]Normy VP'!$C$27:$F$27,-1),MATCH(K185+1,'[1]Normy VP'!$C$28:$F$28,-1),MATCH(K185+1,'[1]Normy VP'!$C$29:$F$29,-1),"muž"),CHOOSE(_xlfn.ARABIC($H185),MATCH(K185+1,'[1]Normy VP'!$C$10:$F$10,-1),MATCH(K185+1,'[1]Normy VP'!$C$11:$F$11,-1),MATCH(K185+1,'[1]Normy VP'!$C$12:$F$12,-1),MATCH(K185+1,'[1]Normy VP'!$C$13:$F$13,-1),MATCH(K185+1,'[1]Normy VP'!$C$14:$F$14,-1),""))),"O")</f>
        <v/>
      </c>
      <c r="Q185" s="24" t="str">
        <f>IF(OR($J185="",$J185="odešel"),IF($F185="žena","",IF(L185="","",(CHOOSE(_xlfn.ARABIC($H185),MATCH(L185+1,'[1]Normy VP'!$G$10:$J$10,-1),MATCH(L185+1,'[1]Normy VP'!$G$11:$J$11,-1),MATCH(L185+1,'[1]Normy VP'!$G$12:$J$12,-1),MATCH(L185+1,'[1]Normy VP'!$G$13:$J$13,-1),MATCH(L185+1,'[1]Normy VP'!$G$14:$J$14,-1),"")))),"O")</f>
        <v/>
      </c>
      <c r="R185" s="34" t="str">
        <f t="shared" si="9"/>
        <v>N</v>
      </c>
      <c r="S185" s="24" t="str">
        <f>IF(OR($J185="",$J185="odešel"),IF(M185="","N",IF($F185="žena",CHOOSE(_xlfn.ARABIC($H185),MATCH(M185+1,'[1]Normy VP'!$G$25:$J$25,-1),MATCH(M185+1,'[1]Normy VP'!$G$26:$J$26,-1),MATCH(M185+1,'[1]Normy VP'!$G$27:$J$27,-1),MATCH(M185+1,'[1]Normy VP'!$G$28:$J$28,-1),MATCH(M185+1,'[1]Normy VP'!$G$29:$J$29,-1),"muž"),(CHOOSE(_xlfn.ARABIC($H185),MATCH(M185+1,'[1]Normy VP'!$K$10:$N$10,-1),MATCH(M185+1,'[1]Normy VP'!$K$11:$N$11,-1),MATCH(M185+1,'[1]Normy VP'!$K$12:$N$12,-1),MATCH(M185+1,'[1]Normy VP'!$K$13:$N$13,-1),MATCH(M185+1,'[1]Normy VP'!$K$14:$N$14,-1),"")))),"O")</f>
        <v>N</v>
      </c>
      <c r="T185" s="34" t="str">
        <f t="shared" si="10"/>
        <v>N</v>
      </c>
      <c r="U185" s="24" t="str">
        <f>IF(OR($J185="",$J185="odešel"),IF(N185="","N",IF($F185="žena",CHOOSE(_xlfn.ARABIC($H185),MATCH(N185+1,'[1]Normy VP'!$K$25:$N$25,-1),MATCH(N185+1,'[1]Normy VP'!$K$26:$N$26,-1),MATCH(N185+1,'[1]Normy VP'!$K$27:$N$27,-1),MATCH(N185+1,'[1]Normy VP'!$K$28:$N$28,-1),MATCH(N185+1,'[1]Normy VP'!$K$29:$N$29,-1),MATCH(N185+1,'[1]Normy VP'!$K$30:$N$30,-1)),CHOOSE(_xlfn.ARABIC($H185),MATCH(N185+1,'[1]Normy VP'!$O$10:$R$10,-1),MATCH(N185+1,'[1]Normy VP'!$O$11:$R$11,-1),MATCH(N185+1,'[1]Normy VP'!$O$12:$R$12,-1),MATCH(N185+1,'[1]Normy VP'!$O$13:$R$13,-1),MATCH(N185+1,'[1]Normy VP'!$O$14:$R$14,-1),MATCH(N185+1,'[1]Normy VP'!$O$15:$R$15,-1)))),"O")</f>
        <v>N</v>
      </c>
      <c r="V185" s="26" t="str">
        <f>IF(OR($J185="",$J185="odešel"),IF(O185="","N",IF($F185="žena",CHOOSE(_xlfn.ARABIC($H185),MATCH(O185-1,'[1]Normy VP'!$O$25:$R$25),MATCH(O185-1,'[1]Normy VP'!$O$26:$R$26),MATCH(O185-1,'[1]Normy VP'!$O$27:$R$27),MATCH(O185-1,'[1]Normy VP'!$O$28:$R$28),MATCH(O185-1,'[1]Normy VP'!$O$29:$R$29),MATCH(O185-1,'[1]Normy VP'!$O$30:$R$30)),CHOOSE(_xlfn.ARABIC($H185),MATCH(O185-1,'[1]Normy VP'!$S$10:$V$10),MATCH(O185-1,'[1]Normy VP'!$S$11:$V$11),MATCH(O185-1,'[1]Normy VP'!$S$12:$V$12),MATCH(O185-1,'[1]Normy VP'!$S$13:$V$13),MATCH(O185-1,'[1]Normy VP'!$S$14:$V$14),MATCH(O185-1,'[1]Normy VP'!$S$15:$V$15)))),"O")</f>
        <v>N</v>
      </c>
      <c r="W185" s="34" t="str">
        <f t="shared" si="11"/>
        <v>N</v>
      </c>
      <c r="X185" s="27" t="str">
        <f>IF(COUNTIF(B185:G185,"")&gt;0,"",IF(COUNTIF([1]PP!$A:$A,A185)=0,"neni v PP",IF(OR(Y185="odešel",VLOOKUP(A185,[1]PP!$A:$W,22,FALSE)="odešel"),"odešel",IF(OR(Y185="N",VLOOKUP(A185,[1]PP!$A:$W,22,FALSE)="N"),"N",IF(OR(Y185="C",VLOOKUP(A185,[1]PP!$A:$W,22,FALSE)="C"),"C",IF(OR(Y185="DZO",VLOOKUP(A185,[1]PP!$A:$W,22,FALSE)="DZO"),"DZO",IF(OR(Y185="mise",Y185="disp.",Y185="končí",Y185="DSC",VLOOKUP(A185,[1]PP!$A:$W,22,FALSE)="mise",VLOOKUP(A185,[1]PP!$A:$W,22,FALSE)="disp.",VLOOKUP(A185,[1]PP!$A:$W,22,FALSE)="končí",VLOOKUP(A185,[1]PP!$A:$W,22,FALSE)="DSC"),"jiné",IF(OR(Y185=4,VLOOKUP(A185,[1]PP!$A:$W,22,FALSE)=4),4,IF(OR(Y185=3,VLOOKUP(A185,[1]PP!$A:$W,22,FALSE)=3),3,IF(OR(Y185=2,VLOOKUP(A185,[1]PP!$A:$W,22,FALSE)=2),2,IF(AND(Y185=1,VLOOKUP(A185,[1]PP!$A:$W,22,FALSE)=1),1)))))))))))</f>
        <v/>
      </c>
      <c r="Y185" s="28" t="str">
        <f>IF(COUNTIF(B185:G185,"")&gt;0,"",IF(COUNTIF([1]PP!$A:$A,A185)=0,"neni v PP",IF(VLOOKUP(A185,[1]PP!$A:$W,8,FALSE)="odešel","odešel",IF(F185="","",IF(J185="",IF(OR(T185=4,W185=4),4,IF(AND(T185="N",W185="N"),"N",IF(OR(T185="N",W185="N"),4,ROUND(AVERAGE(T185,W185),0)))),J185)))))</f>
        <v/>
      </c>
      <c r="Z185" s="29" t="str">
        <f>IF(COUNTIF(B185:G185,"")=0,IF(X185="neni v PP",CONCATENATE("ID: &lt;",A185,"&gt; se neshoduje s žádným IDem v kartě PP"),IF(COUNTIF($A:$A,A185)&gt;1,CONCATENATE("ID: &lt;",A185,"&gt; se v kartě VP opakuje. Je nutné tyto IDy od sebe odlišit, např. mezerou za příjmením."),IF(COUNTIF([1]PP!A:A,A185)&gt;1,CONCATENATE("ID: &lt;",A185,"&gt; se v kartě PP opakuje. Je nutné tyto IDy od sebe odlišit, např. mezerou za příjmením."),IF(VLOOKUP(A185,[1]PP!$A:$W,5,FALSE)&lt;&gt;E185,CONCATENATE($E$4," &lt;",E185,"&gt; se neshoduje s jednotkou v kartě PP"," &lt;",VLOOKUP(A185,[1]PP!$A:$W,5,FALSE),"&gt;"),IF(AND(COUNTIF(K185:O185,"")&lt;5,J185="",I185=""),CONCATENATE("Doplň: ",$I$4),IF(AND(YEAR(I185)&lt;&gt;$E$2,COUNTIF(I185,"")=0),CONCATENATE("špatně uveden &lt;",$D$2,"&gt; nebo &lt;",$I$4,"&gt;"),IF(OR(AND(OR(COUNTIF(C185,"*a"),COUNTIF(C185,"*ie"),COUNTIF(C185,"*ine"),COUNTIF(D185,"*Á")),F185="muž"),AND(AND(COUNTIF(C185,"&lt;&gt;"&amp;"*a"),COUNTIF(C185,"&lt;&gt;"&amp;"*ie"),COUNTIF(C185,"&lt;&gt;"&amp;"*ine"),COUNTIF(D185,"&lt;&gt;"&amp;"*Á")),F185="žena")),CONCATENATE(C185," ",D185," je ",F185,"?"),""))))))),IF(COUNTIF(B185:O185,"")=14,"",CONCATENATE("Doplň: ",IF(B185="",CONCATENATE($B$4,IF(COUNTIF(C185:G185,"")=0,"",", ")),""),IF(C185="",CONCATENATE($C$4,IF(COUNTIF(D185:G185,"")=0,"",", ")),""),IF(D185="",CONCATENATE($D$4,IF(COUNTIF(E185:G185,"")=0,"",", ")),""),IF(E185="",CONCATENATE($E$4,IF(COUNTIF(F185:G185,"")=0,"",", ")),""),IF(F185="",CONCATENATE($F$4,IF(G185="",", ","")),""),IF(G185="",$G$4,""))))</f>
        <v/>
      </c>
      <c r="AA185" s="30"/>
    </row>
    <row r="186" spans="1:27" ht="16" x14ac:dyDescent="0.35">
      <c r="A186" s="14" t="str">
        <f t="shared" si="8"/>
        <v xml:space="preserve">  </v>
      </c>
      <c r="B186" s="15"/>
      <c r="C186" s="31"/>
      <c r="D186" s="31"/>
      <c r="E186" s="17"/>
      <c r="F186" s="18"/>
      <c r="G186" s="32"/>
      <c r="H186" s="33" t="str">
        <f>IF(G186="","",IF(F186="žena",ROMAN(MATCH(G186+1,'[1]Normy VP'!$Y$27:$Y$33,-1)),ROMAN(MATCH(G186+1,'[1]Normy VP'!$Y$19:$Y$25,-1))))</f>
        <v/>
      </c>
      <c r="I186" s="21"/>
      <c r="J186" s="22"/>
      <c r="K186" s="23"/>
      <c r="L186" s="23"/>
      <c r="M186" s="23"/>
      <c r="N186" s="22"/>
      <c r="O186" s="22"/>
      <c r="P186" s="24" t="str">
        <f>IF(OR($J186="",$J186="odešel"),IF(K186="","",IF($F186="žena",CHOOSE(_xlfn.ARABIC($H186),MATCH(K186+1,'[1]Normy VP'!$C$25:$F$25,-1),MATCH(K186+1,'[1]Normy VP'!$C$26:$F$26,-1),MATCH(K186+1,'[1]Normy VP'!$C$27:$F$27,-1),MATCH(K186+1,'[1]Normy VP'!$C$28:$F$28,-1),MATCH(K186+1,'[1]Normy VP'!$C$29:$F$29,-1),"muž"),CHOOSE(_xlfn.ARABIC($H186),MATCH(K186+1,'[1]Normy VP'!$C$10:$F$10,-1),MATCH(K186+1,'[1]Normy VP'!$C$11:$F$11,-1),MATCH(K186+1,'[1]Normy VP'!$C$12:$F$12,-1),MATCH(K186+1,'[1]Normy VP'!$C$13:$F$13,-1),MATCH(K186+1,'[1]Normy VP'!$C$14:$F$14,-1),""))),"O")</f>
        <v/>
      </c>
      <c r="Q186" s="24" t="str">
        <f>IF(OR($J186="",$J186="odešel"),IF($F186="žena","",IF(L186="","",(CHOOSE(_xlfn.ARABIC($H186),MATCH(L186+1,'[1]Normy VP'!$G$10:$J$10,-1),MATCH(L186+1,'[1]Normy VP'!$G$11:$J$11,-1),MATCH(L186+1,'[1]Normy VP'!$G$12:$J$12,-1),MATCH(L186+1,'[1]Normy VP'!$G$13:$J$13,-1),MATCH(L186+1,'[1]Normy VP'!$G$14:$J$14,-1),"")))),"O")</f>
        <v/>
      </c>
      <c r="R186" s="34" t="str">
        <f t="shared" si="9"/>
        <v>N</v>
      </c>
      <c r="S186" s="24" t="str">
        <f>IF(OR($J186="",$J186="odešel"),IF(M186="","N",IF($F186="žena",CHOOSE(_xlfn.ARABIC($H186),MATCH(M186+1,'[1]Normy VP'!$G$25:$J$25,-1),MATCH(M186+1,'[1]Normy VP'!$G$26:$J$26,-1),MATCH(M186+1,'[1]Normy VP'!$G$27:$J$27,-1),MATCH(M186+1,'[1]Normy VP'!$G$28:$J$28,-1),MATCH(M186+1,'[1]Normy VP'!$G$29:$J$29,-1),"muž"),(CHOOSE(_xlfn.ARABIC($H186),MATCH(M186+1,'[1]Normy VP'!$K$10:$N$10,-1),MATCH(M186+1,'[1]Normy VP'!$K$11:$N$11,-1),MATCH(M186+1,'[1]Normy VP'!$K$12:$N$12,-1),MATCH(M186+1,'[1]Normy VP'!$K$13:$N$13,-1),MATCH(M186+1,'[1]Normy VP'!$K$14:$N$14,-1),"")))),"O")</f>
        <v>N</v>
      </c>
      <c r="T186" s="34" t="str">
        <f t="shared" si="10"/>
        <v>N</v>
      </c>
      <c r="U186" s="24" t="str">
        <f>IF(OR($J186="",$J186="odešel"),IF(N186="","N",IF($F186="žena",CHOOSE(_xlfn.ARABIC($H186),MATCH(N186+1,'[1]Normy VP'!$K$25:$N$25,-1),MATCH(N186+1,'[1]Normy VP'!$K$26:$N$26,-1),MATCH(N186+1,'[1]Normy VP'!$K$27:$N$27,-1),MATCH(N186+1,'[1]Normy VP'!$K$28:$N$28,-1),MATCH(N186+1,'[1]Normy VP'!$K$29:$N$29,-1),MATCH(N186+1,'[1]Normy VP'!$K$30:$N$30,-1)),CHOOSE(_xlfn.ARABIC($H186),MATCH(N186+1,'[1]Normy VP'!$O$10:$R$10,-1),MATCH(N186+1,'[1]Normy VP'!$O$11:$R$11,-1),MATCH(N186+1,'[1]Normy VP'!$O$12:$R$12,-1),MATCH(N186+1,'[1]Normy VP'!$O$13:$R$13,-1),MATCH(N186+1,'[1]Normy VP'!$O$14:$R$14,-1),MATCH(N186+1,'[1]Normy VP'!$O$15:$R$15,-1)))),"O")</f>
        <v>N</v>
      </c>
      <c r="V186" s="26" t="str">
        <f>IF(OR($J186="",$J186="odešel"),IF(O186="","N",IF($F186="žena",CHOOSE(_xlfn.ARABIC($H186),MATCH(O186-1,'[1]Normy VP'!$O$25:$R$25),MATCH(O186-1,'[1]Normy VP'!$O$26:$R$26),MATCH(O186-1,'[1]Normy VP'!$O$27:$R$27),MATCH(O186-1,'[1]Normy VP'!$O$28:$R$28),MATCH(O186-1,'[1]Normy VP'!$O$29:$R$29),MATCH(O186-1,'[1]Normy VP'!$O$30:$R$30)),CHOOSE(_xlfn.ARABIC($H186),MATCH(O186-1,'[1]Normy VP'!$S$10:$V$10),MATCH(O186-1,'[1]Normy VP'!$S$11:$V$11),MATCH(O186-1,'[1]Normy VP'!$S$12:$V$12),MATCH(O186-1,'[1]Normy VP'!$S$13:$V$13),MATCH(O186-1,'[1]Normy VP'!$S$14:$V$14),MATCH(O186-1,'[1]Normy VP'!$S$15:$V$15)))),"O")</f>
        <v>N</v>
      </c>
      <c r="W186" s="34" t="str">
        <f t="shared" si="11"/>
        <v>N</v>
      </c>
      <c r="X186" s="27" t="str">
        <f>IF(COUNTIF(B186:G186,"")&gt;0,"",IF(COUNTIF([1]PP!$A:$A,A186)=0,"neni v PP",IF(OR(Y186="odešel",VLOOKUP(A186,[1]PP!$A:$W,22,FALSE)="odešel"),"odešel",IF(OR(Y186="N",VLOOKUP(A186,[1]PP!$A:$W,22,FALSE)="N"),"N",IF(OR(Y186="C",VLOOKUP(A186,[1]PP!$A:$W,22,FALSE)="C"),"C",IF(OR(Y186="DZO",VLOOKUP(A186,[1]PP!$A:$W,22,FALSE)="DZO"),"DZO",IF(OR(Y186="mise",Y186="disp.",Y186="končí",Y186="DSC",VLOOKUP(A186,[1]PP!$A:$W,22,FALSE)="mise",VLOOKUP(A186,[1]PP!$A:$W,22,FALSE)="disp.",VLOOKUP(A186,[1]PP!$A:$W,22,FALSE)="končí",VLOOKUP(A186,[1]PP!$A:$W,22,FALSE)="DSC"),"jiné",IF(OR(Y186=4,VLOOKUP(A186,[1]PP!$A:$W,22,FALSE)=4),4,IF(OR(Y186=3,VLOOKUP(A186,[1]PP!$A:$W,22,FALSE)=3),3,IF(OR(Y186=2,VLOOKUP(A186,[1]PP!$A:$W,22,FALSE)=2),2,IF(AND(Y186=1,VLOOKUP(A186,[1]PP!$A:$W,22,FALSE)=1),1)))))))))))</f>
        <v/>
      </c>
      <c r="Y186" s="28" t="str">
        <f>IF(COUNTIF(B186:G186,"")&gt;0,"",IF(COUNTIF([1]PP!$A:$A,A186)=0,"neni v PP",IF(VLOOKUP(A186,[1]PP!$A:$W,8,FALSE)="odešel","odešel",IF(F186="","",IF(J186="",IF(OR(T186=4,W186=4),4,IF(AND(T186="N",W186="N"),"N",IF(OR(T186="N",W186="N"),4,ROUND(AVERAGE(T186,W186),0)))),J186)))))</f>
        <v/>
      </c>
      <c r="Z186" s="29" t="str">
        <f>IF(COUNTIF(B186:G186,"")=0,IF(X186="neni v PP",CONCATENATE("ID: &lt;",A186,"&gt; se neshoduje s žádným IDem v kartě PP"),IF(COUNTIF($A:$A,A186)&gt;1,CONCATENATE("ID: &lt;",A186,"&gt; se v kartě VP opakuje. Je nutné tyto IDy od sebe odlišit, např. mezerou za příjmením."),IF(COUNTIF([1]PP!A:A,A186)&gt;1,CONCATENATE("ID: &lt;",A186,"&gt; se v kartě PP opakuje. Je nutné tyto IDy od sebe odlišit, např. mezerou za příjmením."),IF(VLOOKUP(A186,[1]PP!$A:$W,5,FALSE)&lt;&gt;E186,CONCATENATE($E$4," &lt;",E186,"&gt; se neshoduje s jednotkou v kartě PP"," &lt;",VLOOKUP(A186,[1]PP!$A:$W,5,FALSE),"&gt;"),IF(AND(COUNTIF(K186:O186,"")&lt;5,J186="",I186=""),CONCATENATE("Doplň: ",$I$4),IF(AND(YEAR(I186)&lt;&gt;$E$2,COUNTIF(I186,"")=0),CONCATENATE("špatně uveden &lt;",$D$2,"&gt; nebo &lt;",$I$4,"&gt;"),IF(OR(AND(OR(COUNTIF(C186,"*a"),COUNTIF(C186,"*ie"),COUNTIF(C186,"*ine"),COUNTIF(D186,"*Á")),F186="muž"),AND(AND(COUNTIF(C186,"&lt;&gt;"&amp;"*a"),COUNTIF(C186,"&lt;&gt;"&amp;"*ie"),COUNTIF(C186,"&lt;&gt;"&amp;"*ine"),COUNTIF(D186,"&lt;&gt;"&amp;"*Á")),F186="žena")),CONCATENATE(C186," ",D186," je ",F186,"?"),""))))))),IF(COUNTIF(B186:O186,"")=14,"",CONCATENATE("Doplň: ",IF(B186="",CONCATENATE($B$4,IF(COUNTIF(C186:G186,"")=0,"",", ")),""),IF(C186="",CONCATENATE($C$4,IF(COUNTIF(D186:G186,"")=0,"",", ")),""),IF(D186="",CONCATENATE($D$4,IF(COUNTIF(E186:G186,"")=0,"",", ")),""),IF(E186="",CONCATENATE($E$4,IF(COUNTIF(F186:G186,"")=0,"",", ")),""),IF(F186="",CONCATENATE($F$4,IF(G186="",", ","")),""),IF(G186="",$G$4,""))))</f>
        <v/>
      </c>
      <c r="AA186" s="30"/>
    </row>
    <row r="187" spans="1:27" ht="16" x14ac:dyDescent="0.35">
      <c r="A187" s="14" t="str">
        <f t="shared" si="8"/>
        <v xml:space="preserve">  </v>
      </c>
      <c r="B187" s="15"/>
      <c r="C187" s="31"/>
      <c r="D187" s="31"/>
      <c r="E187" s="17"/>
      <c r="F187" s="18"/>
      <c r="G187" s="32"/>
      <c r="H187" s="33" t="str">
        <f>IF(G187="","",IF(F187="žena",ROMAN(MATCH(G187+1,'[1]Normy VP'!$Y$27:$Y$33,-1)),ROMAN(MATCH(G187+1,'[1]Normy VP'!$Y$19:$Y$25,-1))))</f>
        <v/>
      </c>
      <c r="I187" s="21"/>
      <c r="J187" s="22"/>
      <c r="K187" s="23"/>
      <c r="L187" s="23"/>
      <c r="M187" s="23"/>
      <c r="N187" s="22"/>
      <c r="O187" s="22"/>
      <c r="P187" s="24" t="str">
        <f>IF(OR($J187="",$J187="odešel"),IF(K187="","",IF($F187="žena",CHOOSE(_xlfn.ARABIC($H187),MATCH(K187+1,'[1]Normy VP'!$C$25:$F$25,-1),MATCH(K187+1,'[1]Normy VP'!$C$26:$F$26,-1),MATCH(K187+1,'[1]Normy VP'!$C$27:$F$27,-1),MATCH(K187+1,'[1]Normy VP'!$C$28:$F$28,-1),MATCH(K187+1,'[1]Normy VP'!$C$29:$F$29,-1),"muž"),CHOOSE(_xlfn.ARABIC($H187),MATCH(K187+1,'[1]Normy VP'!$C$10:$F$10,-1),MATCH(K187+1,'[1]Normy VP'!$C$11:$F$11,-1),MATCH(K187+1,'[1]Normy VP'!$C$12:$F$12,-1),MATCH(K187+1,'[1]Normy VP'!$C$13:$F$13,-1),MATCH(K187+1,'[1]Normy VP'!$C$14:$F$14,-1),""))),"O")</f>
        <v/>
      </c>
      <c r="Q187" s="24" t="str">
        <f>IF(OR($J187="",$J187="odešel"),IF($F187="žena","",IF(L187="","",(CHOOSE(_xlfn.ARABIC($H187),MATCH(L187+1,'[1]Normy VP'!$G$10:$J$10,-1),MATCH(L187+1,'[1]Normy VP'!$G$11:$J$11,-1),MATCH(L187+1,'[1]Normy VP'!$G$12:$J$12,-1),MATCH(L187+1,'[1]Normy VP'!$G$13:$J$13,-1),MATCH(L187+1,'[1]Normy VP'!$G$14:$J$14,-1),"")))),"O")</f>
        <v/>
      </c>
      <c r="R187" s="34" t="str">
        <f t="shared" si="9"/>
        <v>N</v>
      </c>
      <c r="S187" s="24" t="str">
        <f>IF(OR($J187="",$J187="odešel"),IF(M187="","N",IF($F187="žena",CHOOSE(_xlfn.ARABIC($H187),MATCH(M187+1,'[1]Normy VP'!$G$25:$J$25,-1),MATCH(M187+1,'[1]Normy VP'!$G$26:$J$26,-1),MATCH(M187+1,'[1]Normy VP'!$G$27:$J$27,-1),MATCH(M187+1,'[1]Normy VP'!$G$28:$J$28,-1),MATCH(M187+1,'[1]Normy VP'!$G$29:$J$29,-1),"muž"),(CHOOSE(_xlfn.ARABIC($H187),MATCH(M187+1,'[1]Normy VP'!$K$10:$N$10,-1),MATCH(M187+1,'[1]Normy VP'!$K$11:$N$11,-1),MATCH(M187+1,'[1]Normy VP'!$K$12:$N$12,-1),MATCH(M187+1,'[1]Normy VP'!$K$13:$N$13,-1),MATCH(M187+1,'[1]Normy VP'!$K$14:$N$14,-1),"")))),"O")</f>
        <v>N</v>
      </c>
      <c r="T187" s="34" t="str">
        <f t="shared" si="10"/>
        <v>N</v>
      </c>
      <c r="U187" s="24" t="str">
        <f>IF(OR($J187="",$J187="odešel"),IF(N187="","N",IF($F187="žena",CHOOSE(_xlfn.ARABIC($H187),MATCH(N187+1,'[1]Normy VP'!$K$25:$N$25,-1),MATCH(N187+1,'[1]Normy VP'!$K$26:$N$26,-1),MATCH(N187+1,'[1]Normy VP'!$K$27:$N$27,-1),MATCH(N187+1,'[1]Normy VP'!$K$28:$N$28,-1),MATCH(N187+1,'[1]Normy VP'!$K$29:$N$29,-1),MATCH(N187+1,'[1]Normy VP'!$K$30:$N$30,-1)),CHOOSE(_xlfn.ARABIC($H187),MATCH(N187+1,'[1]Normy VP'!$O$10:$R$10,-1),MATCH(N187+1,'[1]Normy VP'!$O$11:$R$11,-1),MATCH(N187+1,'[1]Normy VP'!$O$12:$R$12,-1),MATCH(N187+1,'[1]Normy VP'!$O$13:$R$13,-1),MATCH(N187+1,'[1]Normy VP'!$O$14:$R$14,-1),MATCH(N187+1,'[1]Normy VP'!$O$15:$R$15,-1)))),"O")</f>
        <v>N</v>
      </c>
      <c r="V187" s="26" t="str">
        <f>IF(OR($J187="",$J187="odešel"),IF(O187="","N",IF($F187="žena",CHOOSE(_xlfn.ARABIC($H187),MATCH(O187-1,'[1]Normy VP'!$O$25:$R$25),MATCH(O187-1,'[1]Normy VP'!$O$26:$R$26),MATCH(O187-1,'[1]Normy VP'!$O$27:$R$27),MATCH(O187-1,'[1]Normy VP'!$O$28:$R$28),MATCH(O187-1,'[1]Normy VP'!$O$29:$R$29),MATCH(O187-1,'[1]Normy VP'!$O$30:$R$30)),CHOOSE(_xlfn.ARABIC($H187),MATCH(O187-1,'[1]Normy VP'!$S$10:$V$10),MATCH(O187-1,'[1]Normy VP'!$S$11:$V$11),MATCH(O187-1,'[1]Normy VP'!$S$12:$V$12),MATCH(O187-1,'[1]Normy VP'!$S$13:$V$13),MATCH(O187-1,'[1]Normy VP'!$S$14:$V$14),MATCH(O187-1,'[1]Normy VP'!$S$15:$V$15)))),"O")</f>
        <v>N</v>
      </c>
      <c r="W187" s="34" t="str">
        <f t="shared" si="11"/>
        <v>N</v>
      </c>
      <c r="X187" s="27" t="str">
        <f>IF(COUNTIF(B187:G187,"")&gt;0,"",IF(COUNTIF([1]PP!$A:$A,A187)=0,"neni v PP",IF(OR(Y187="odešel",VLOOKUP(A187,[1]PP!$A:$W,22,FALSE)="odešel"),"odešel",IF(OR(Y187="N",VLOOKUP(A187,[1]PP!$A:$W,22,FALSE)="N"),"N",IF(OR(Y187="C",VLOOKUP(A187,[1]PP!$A:$W,22,FALSE)="C"),"C",IF(OR(Y187="DZO",VLOOKUP(A187,[1]PP!$A:$W,22,FALSE)="DZO"),"DZO",IF(OR(Y187="mise",Y187="disp.",Y187="končí",Y187="DSC",VLOOKUP(A187,[1]PP!$A:$W,22,FALSE)="mise",VLOOKUP(A187,[1]PP!$A:$W,22,FALSE)="disp.",VLOOKUP(A187,[1]PP!$A:$W,22,FALSE)="končí",VLOOKUP(A187,[1]PP!$A:$W,22,FALSE)="DSC"),"jiné",IF(OR(Y187=4,VLOOKUP(A187,[1]PP!$A:$W,22,FALSE)=4),4,IF(OR(Y187=3,VLOOKUP(A187,[1]PP!$A:$W,22,FALSE)=3),3,IF(OR(Y187=2,VLOOKUP(A187,[1]PP!$A:$W,22,FALSE)=2),2,IF(AND(Y187=1,VLOOKUP(A187,[1]PP!$A:$W,22,FALSE)=1),1)))))))))))</f>
        <v/>
      </c>
      <c r="Y187" s="28" t="str">
        <f>IF(COUNTIF(B187:G187,"")&gt;0,"",IF(COUNTIF([1]PP!$A:$A,A187)=0,"neni v PP",IF(VLOOKUP(A187,[1]PP!$A:$W,8,FALSE)="odešel","odešel",IF(F187="","",IF(J187="",IF(OR(T187=4,W187=4),4,IF(AND(T187="N",W187="N"),"N",IF(OR(T187="N",W187="N"),4,ROUND(AVERAGE(T187,W187),0)))),J187)))))</f>
        <v/>
      </c>
      <c r="Z187" s="29" t="str">
        <f>IF(COUNTIF(B187:G187,"")=0,IF(X187="neni v PP",CONCATENATE("ID: &lt;",A187,"&gt; se neshoduje s žádným IDem v kartě PP"),IF(COUNTIF($A:$A,A187)&gt;1,CONCATENATE("ID: &lt;",A187,"&gt; se v kartě VP opakuje. Je nutné tyto IDy od sebe odlišit, např. mezerou za příjmením."),IF(COUNTIF([1]PP!A:A,A187)&gt;1,CONCATENATE("ID: &lt;",A187,"&gt; se v kartě PP opakuje. Je nutné tyto IDy od sebe odlišit, např. mezerou za příjmením."),IF(VLOOKUP(A187,[1]PP!$A:$W,5,FALSE)&lt;&gt;E187,CONCATENATE($E$4," &lt;",E187,"&gt; se neshoduje s jednotkou v kartě PP"," &lt;",VLOOKUP(A187,[1]PP!$A:$W,5,FALSE),"&gt;"),IF(AND(COUNTIF(K187:O187,"")&lt;5,J187="",I187=""),CONCATENATE("Doplň: ",$I$4),IF(AND(YEAR(I187)&lt;&gt;$E$2,COUNTIF(I187,"")=0),CONCATENATE("špatně uveden &lt;",$D$2,"&gt; nebo &lt;",$I$4,"&gt;"),IF(OR(AND(OR(COUNTIF(C187,"*a"),COUNTIF(C187,"*ie"),COUNTIF(C187,"*ine"),COUNTIF(D187,"*Á")),F187="muž"),AND(AND(COUNTIF(C187,"&lt;&gt;"&amp;"*a"),COUNTIF(C187,"&lt;&gt;"&amp;"*ie"),COUNTIF(C187,"&lt;&gt;"&amp;"*ine"),COUNTIF(D187,"&lt;&gt;"&amp;"*Á")),F187="žena")),CONCATENATE(C187," ",D187," je ",F187,"?"),""))))))),IF(COUNTIF(B187:O187,"")=14,"",CONCATENATE("Doplň: ",IF(B187="",CONCATENATE($B$4,IF(COUNTIF(C187:G187,"")=0,"",", ")),""),IF(C187="",CONCATENATE($C$4,IF(COUNTIF(D187:G187,"")=0,"",", ")),""),IF(D187="",CONCATENATE($D$4,IF(COUNTIF(E187:G187,"")=0,"",", ")),""),IF(E187="",CONCATENATE($E$4,IF(COUNTIF(F187:G187,"")=0,"",", ")),""),IF(F187="",CONCATENATE($F$4,IF(G187="",", ","")),""),IF(G187="",$G$4,""))))</f>
        <v/>
      </c>
      <c r="AA187" s="30"/>
    </row>
    <row r="188" spans="1:27" ht="16" x14ac:dyDescent="0.35">
      <c r="A188" s="14" t="str">
        <f t="shared" si="8"/>
        <v xml:space="preserve">  </v>
      </c>
      <c r="B188" s="15"/>
      <c r="C188" s="31"/>
      <c r="D188" s="31"/>
      <c r="E188" s="17"/>
      <c r="F188" s="18"/>
      <c r="G188" s="32"/>
      <c r="H188" s="33" t="str">
        <f>IF(G188="","",IF(F188="žena",ROMAN(MATCH(G188+1,'[1]Normy VP'!$Y$27:$Y$33,-1)),ROMAN(MATCH(G188+1,'[1]Normy VP'!$Y$19:$Y$25,-1))))</f>
        <v/>
      </c>
      <c r="I188" s="21"/>
      <c r="J188" s="22"/>
      <c r="K188" s="23"/>
      <c r="L188" s="23"/>
      <c r="M188" s="23"/>
      <c r="N188" s="22"/>
      <c r="O188" s="22"/>
      <c r="P188" s="24" t="str">
        <f>IF(OR($J188="",$J188="odešel"),IF(K188="","",IF($F188="žena",CHOOSE(_xlfn.ARABIC($H188),MATCH(K188+1,'[1]Normy VP'!$C$25:$F$25,-1),MATCH(K188+1,'[1]Normy VP'!$C$26:$F$26,-1),MATCH(K188+1,'[1]Normy VP'!$C$27:$F$27,-1),MATCH(K188+1,'[1]Normy VP'!$C$28:$F$28,-1),MATCH(K188+1,'[1]Normy VP'!$C$29:$F$29,-1),"muž"),CHOOSE(_xlfn.ARABIC($H188),MATCH(K188+1,'[1]Normy VP'!$C$10:$F$10,-1),MATCH(K188+1,'[1]Normy VP'!$C$11:$F$11,-1),MATCH(K188+1,'[1]Normy VP'!$C$12:$F$12,-1),MATCH(K188+1,'[1]Normy VP'!$C$13:$F$13,-1),MATCH(K188+1,'[1]Normy VP'!$C$14:$F$14,-1),""))),"O")</f>
        <v/>
      </c>
      <c r="Q188" s="24" t="str">
        <f>IF(OR($J188="",$J188="odešel"),IF($F188="žena","",IF(L188="","",(CHOOSE(_xlfn.ARABIC($H188),MATCH(L188+1,'[1]Normy VP'!$G$10:$J$10,-1),MATCH(L188+1,'[1]Normy VP'!$G$11:$J$11,-1),MATCH(L188+1,'[1]Normy VP'!$G$12:$J$12,-1),MATCH(L188+1,'[1]Normy VP'!$G$13:$J$13,-1),MATCH(L188+1,'[1]Normy VP'!$G$14:$J$14,-1),"")))),"O")</f>
        <v/>
      </c>
      <c r="R188" s="34" t="str">
        <f t="shared" si="9"/>
        <v>N</v>
      </c>
      <c r="S188" s="24" t="str">
        <f>IF(OR($J188="",$J188="odešel"),IF(M188="","N",IF($F188="žena",CHOOSE(_xlfn.ARABIC($H188),MATCH(M188+1,'[1]Normy VP'!$G$25:$J$25,-1),MATCH(M188+1,'[1]Normy VP'!$G$26:$J$26,-1),MATCH(M188+1,'[1]Normy VP'!$G$27:$J$27,-1),MATCH(M188+1,'[1]Normy VP'!$G$28:$J$28,-1),MATCH(M188+1,'[1]Normy VP'!$G$29:$J$29,-1),"muž"),(CHOOSE(_xlfn.ARABIC($H188),MATCH(M188+1,'[1]Normy VP'!$K$10:$N$10,-1),MATCH(M188+1,'[1]Normy VP'!$K$11:$N$11,-1),MATCH(M188+1,'[1]Normy VP'!$K$12:$N$12,-1),MATCH(M188+1,'[1]Normy VP'!$K$13:$N$13,-1),MATCH(M188+1,'[1]Normy VP'!$K$14:$N$14,-1),"")))),"O")</f>
        <v>N</v>
      </c>
      <c r="T188" s="34" t="str">
        <f t="shared" si="10"/>
        <v>N</v>
      </c>
      <c r="U188" s="24" t="str">
        <f>IF(OR($J188="",$J188="odešel"),IF(N188="","N",IF($F188="žena",CHOOSE(_xlfn.ARABIC($H188),MATCH(N188+1,'[1]Normy VP'!$K$25:$N$25,-1),MATCH(N188+1,'[1]Normy VP'!$K$26:$N$26,-1),MATCH(N188+1,'[1]Normy VP'!$K$27:$N$27,-1),MATCH(N188+1,'[1]Normy VP'!$K$28:$N$28,-1),MATCH(N188+1,'[1]Normy VP'!$K$29:$N$29,-1),MATCH(N188+1,'[1]Normy VP'!$K$30:$N$30,-1)),CHOOSE(_xlfn.ARABIC($H188),MATCH(N188+1,'[1]Normy VP'!$O$10:$R$10,-1),MATCH(N188+1,'[1]Normy VP'!$O$11:$R$11,-1),MATCH(N188+1,'[1]Normy VP'!$O$12:$R$12,-1),MATCH(N188+1,'[1]Normy VP'!$O$13:$R$13,-1),MATCH(N188+1,'[1]Normy VP'!$O$14:$R$14,-1),MATCH(N188+1,'[1]Normy VP'!$O$15:$R$15,-1)))),"O")</f>
        <v>N</v>
      </c>
      <c r="V188" s="26" t="str">
        <f>IF(OR($J188="",$J188="odešel"),IF(O188="","N",IF($F188="žena",CHOOSE(_xlfn.ARABIC($H188),MATCH(O188-1,'[1]Normy VP'!$O$25:$R$25),MATCH(O188-1,'[1]Normy VP'!$O$26:$R$26),MATCH(O188-1,'[1]Normy VP'!$O$27:$R$27),MATCH(O188-1,'[1]Normy VP'!$O$28:$R$28),MATCH(O188-1,'[1]Normy VP'!$O$29:$R$29),MATCH(O188-1,'[1]Normy VP'!$O$30:$R$30)),CHOOSE(_xlfn.ARABIC($H188),MATCH(O188-1,'[1]Normy VP'!$S$10:$V$10),MATCH(O188-1,'[1]Normy VP'!$S$11:$V$11),MATCH(O188-1,'[1]Normy VP'!$S$12:$V$12),MATCH(O188-1,'[1]Normy VP'!$S$13:$V$13),MATCH(O188-1,'[1]Normy VP'!$S$14:$V$14),MATCH(O188-1,'[1]Normy VP'!$S$15:$V$15)))),"O")</f>
        <v>N</v>
      </c>
      <c r="W188" s="34" t="str">
        <f t="shared" si="11"/>
        <v>N</v>
      </c>
      <c r="X188" s="27" t="str">
        <f>IF(COUNTIF(B188:G188,"")&gt;0,"",IF(COUNTIF([1]PP!$A:$A,A188)=0,"neni v PP",IF(OR(Y188="odešel",VLOOKUP(A188,[1]PP!$A:$W,22,FALSE)="odešel"),"odešel",IF(OR(Y188="N",VLOOKUP(A188,[1]PP!$A:$W,22,FALSE)="N"),"N",IF(OR(Y188="C",VLOOKUP(A188,[1]PP!$A:$W,22,FALSE)="C"),"C",IF(OR(Y188="DZO",VLOOKUP(A188,[1]PP!$A:$W,22,FALSE)="DZO"),"DZO",IF(OR(Y188="mise",Y188="disp.",Y188="končí",Y188="DSC",VLOOKUP(A188,[1]PP!$A:$W,22,FALSE)="mise",VLOOKUP(A188,[1]PP!$A:$W,22,FALSE)="disp.",VLOOKUP(A188,[1]PP!$A:$W,22,FALSE)="končí",VLOOKUP(A188,[1]PP!$A:$W,22,FALSE)="DSC"),"jiné",IF(OR(Y188=4,VLOOKUP(A188,[1]PP!$A:$W,22,FALSE)=4),4,IF(OR(Y188=3,VLOOKUP(A188,[1]PP!$A:$W,22,FALSE)=3),3,IF(OR(Y188=2,VLOOKUP(A188,[1]PP!$A:$W,22,FALSE)=2),2,IF(AND(Y188=1,VLOOKUP(A188,[1]PP!$A:$W,22,FALSE)=1),1)))))))))))</f>
        <v/>
      </c>
      <c r="Y188" s="28" t="str">
        <f>IF(COUNTIF(B188:G188,"")&gt;0,"",IF(COUNTIF([1]PP!$A:$A,A188)=0,"neni v PP",IF(VLOOKUP(A188,[1]PP!$A:$W,8,FALSE)="odešel","odešel",IF(F188="","",IF(J188="",IF(OR(T188=4,W188=4),4,IF(AND(T188="N",W188="N"),"N",IF(OR(T188="N",W188="N"),4,ROUND(AVERAGE(T188,W188),0)))),J188)))))</f>
        <v/>
      </c>
      <c r="Z188" s="29" t="str">
        <f>IF(COUNTIF(B188:G188,"")=0,IF(X188="neni v PP",CONCATENATE("ID: &lt;",A188,"&gt; se neshoduje s žádným IDem v kartě PP"),IF(COUNTIF($A:$A,A188)&gt;1,CONCATENATE("ID: &lt;",A188,"&gt; se v kartě VP opakuje. Je nutné tyto IDy od sebe odlišit, např. mezerou za příjmením."),IF(COUNTIF([1]PP!A:A,A188)&gt;1,CONCATENATE("ID: &lt;",A188,"&gt; se v kartě PP opakuje. Je nutné tyto IDy od sebe odlišit, např. mezerou za příjmením."),IF(VLOOKUP(A188,[1]PP!$A:$W,5,FALSE)&lt;&gt;E188,CONCATENATE($E$4," &lt;",E188,"&gt; se neshoduje s jednotkou v kartě PP"," &lt;",VLOOKUP(A188,[1]PP!$A:$W,5,FALSE),"&gt;"),IF(AND(COUNTIF(K188:O188,"")&lt;5,J188="",I188=""),CONCATENATE("Doplň: ",$I$4),IF(AND(YEAR(I188)&lt;&gt;$E$2,COUNTIF(I188,"")=0),CONCATENATE("špatně uveden &lt;",$D$2,"&gt; nebo &lt;",$I$4,"&gt;"),IF(OR(AND(OR(COUNTIF(C188,"*a"),COUNTIF(C188,"*ie"),COUNTIF(C188,"*ine"),COUNTIF(D188,"*Á")),F188="muž"),AND(AND(COUNTIF(C188,"&lt;&gt;"&amp;"*a"),COUNTIF(C188,"&lt;&gt;"&amp;"*ie"),COUNTIF(C188,"&lt;&gt;"&amp;"*ine"),COUNTIF(D188,"&lt;&gt;"&amp;"*Á")),F188="žena")),CONCATENATE(C188," ",D188," je ",F188,"?"),""))))))),IF(COUNTIF(B188:O188,"")=14,"",CONCATENATE("Doplň: ",IF(B188="",CONCATENATE($B$4,IF(COUNTIF(C188:G188,"")=0,"",", ")),""),IF(C188="",CONCATENATE($C$4,IF(COUNTIF(D188:G188,"")=0,"",", ")),""),IF(D188="",CONCATENATE($D$4,IF(COUNTIF(E188:G188,"")=0,"",", ")),""),IF(E188="",CONCATENATE($E$4,IF(COUNTIF(F188:G188,"")=0,"",", ")),""),IF(F188="",CONCATENATE($F$4,IF(G188="",", ","")),""),IF(G188="",$G$4,""))))</f>
        <v/>
      </c>
      <c r="AA188" s="30"/>
    </row>
    <row r="189" spans="1:27" ht="16" x14ac:dyDescent="0.35">
      <c r="A189" s="14" t="str">
        <f t="shared" si="8"/>
        <v xml:space="preserve">  </v>
      </c>
      <c r="B189" s="15"/>
      <c r="C189" s="31"/>
      <c r="D189" s="31"/>
      <c r="E189" s="17"/>
      <c r="F189" s="18"/>
      <c r="G189" s="32"/>
      <c r="H189" s="33" t="str">
        <f>IF(G189="","",IF(F189="žena",ROMAN(MATCH(G189+1,'[1]Normy VP'!$Y$27:$Y$33,-1)),ROMAN(MATCH(G189+1,'[1]Normy VP'!$Y$19:$Y$25,-1))))</f>
        <v/>
      </c>
      <c r="I189" s="21"/>
      <c r="J189" s="22"/>
      <c r="K189" s="23"/>
      <c r="L189" s="23"/>
      <c r="M189" s="23"/>
      <c r="N189" s="22"/>
      <c r="O189" s="22"/>
      <c r="P189" s="24" t="str">
        <f>IF(OR($J189="",$J189="odešel"),IF(K189="","",IF($F189="žena",CHOOSE(_xlfn.ARABIC($H189),MATCH(K189+1,'[1]Normy VP'!$C$25:$F$25,-1),MATCH(K189+1,'[1]Normy VP'!$C$26:$F$26,-1),MATCH(K189+1,'[1]Normy VP'!$C$27:$F$27,-1),MATCH(K189+1,'[1]Normy VP'!$C$28:$F$28,-1),MATCH(K189+1,'[1]Normy VP'!$C$29:$F$29,-1),"muž"),CHOOSE(_xlfn.ARABIC($H189),MATCH(K189+1,'[1]Normy VP'!$C$10:$F$10,-1),MATCH(K189+1,'[1]Normy VP'!$C$11:$F$11,-1),MATCH(K189+1,'[1]Normy VP'!$C$12:$F$12,-1),MATCH(K189+1,'[1]Normy VP'!$C$13:$F$13,-1),MATCH(K189+1,'[1]Normy VP'!$C$14:$F$14,-1),""))),"O")</f>
        <v/>
      </c>
      <c r="Q189" s="24" t="str">
        <f>IF(OR($J189="",$J189="odešel"),IF($F189="žena","",IF(L189="","",(CHOOSE(_xlfn.ARABIC($H189),MATCH(L189+1,'[1]Normy VP'!$G$10:$J$10,-1),MATCH(L189+1,'[1]Normy VP'!$G$11:$J$11,-1),MATCH(L189+1,'[1]Normy VP'!$G$12:$J$12,-1),MATCH(L189+1,'[1]Normy VP'!$G$13:$J$13,-1),MATCH(L189+1,'[1]Normy VP'!$G$14:$J$14,-1),"")))),"O")</f>
        <v/>
      </c>
      <c r="R189" s="34" t="str">
        <f t="shared" si="9"/>
        <v>N</v>
      </c>
      <c r="S189" s="24" t="str">
        <f>IF(OR($J189="",$J189="odešel"),IF(M189="","N",IF($F189="žena",CHOOSE(_xlfn.ARABIC($H189),MATCH(M189+1,'[1]Normy VP'!$G$25:$J$25,-1),MATCH(M189+1,'[1]Normy VP'!$G$26:$J$26,-1),MATCH(M189+1,'[1]Normy VP'!$G$27:$J$27,-1),MATCH(M189+1,'[1]Normy VP'!$G$28:$J$28,-1),MATCH(M189+1,'[1]Normy VP'!$G$29:$J$29,-1),"muž"),(CHOOSE(_xlfn.ARABIC($H189),MATCH(M189+1,'[1]Normy VP'!$K$10:$N$10,-1),MATCH(M189+1,'[1]Normy VP'!$K$11:$N$11,-1),MATCH(M189+1,'[1]Normy VP'!$K$12:$N$12,-1),MATCH(M189+1,'[1]Normy VP'!$K$13:$N$13,-1),MATCH(M189+1,'[1]Normy VP'!$K$14:$N$14,-1),"")))),"O")</f>
        <v>N</v>
      </c>
      <c r="T189" s="34" t="str">
        <f t="shared" si="10"/>
        <v>N</v>
      </c>
      <c r="U189" s="24" t="str">
        <f>IF(OR($J189="",$J189="odešel"),IF(N189="","N",IF($F189="žena",CHOOSE(_xlfn.ARABIC($H189),MATCH(N189+1,'[1]Normy VP'!$K$25:$N$25,-1),MATCH(N189+1,'[1]Normy VP'!$K$26:$N$26,-1),MATCH(N189+1,'[1]Normy VP'!$K$27:$N$27,-1),MATCH(N189+1,'[1]Normy VP'!$K$28:$N$28,-1),MATCH(N189+1,'[1]Normy VP'!$K$29:$N$29,-1),MATCH(N189+1,'[1]Normy VP'!$K$30:$N$30,-1)),CHOOSE(_xlfn.ARABIC($H189),MATCH(N189+1,'[1]Normy VP'!$O$10:$R$10,-1),MATCH(N189+1,'[1]Normy VP'!$O$11:$R$11,-1),MATCH(N189+1,'[1]Normy VP'!$O$12:$R$12,-1),MATCH(N189+1,'[1]Normy VP'!$O$13:$R$13,-1),MATCH(N189+1,'[1]Normy VP'!$O$14:$R$14,-1),MATCH(N189+1,'[1]Normy VP'!$O$15:$R$15,-1)))),"O")</f>
        <v>N</v>
      </c>
      <c r="V189" s="26" t="str">
        <f>IF(OR($J189="",$J189="odešel"),IF(O189="","N",IF($F189="žena",CHOOSE(_xlfn.ARABIC($H189),MATCH(O189-1,'[1]Normy VP'!$O$25:$R$25),MATCH(O189-1,'[1]Normy VP'!$O$26:$R$26),MATCH(O189-1,'[1]Normy VP'!$O$27:$R$27),MATCH(O189-1,'[1]Normy VP'!$O$28:$R$28),MATCH(O189-1,'[1]Normy VP'!$O$29:$R$29),MATCH(O189-1,'[1]Normy VP'!$O$30:$R$30)),CHOOSE(_xlfn.ARABIC($H189),MATCH(O189-1,'[1]Normy VP'!$S$10:$V$10),MATCH(O189-1,'[1]Normy VP'!$S$11:$V$11),MATCH(O189-1,'[1]Normy VP'!$S$12:$V$12),MATCH(O189-1,'[1]Normy VP'!$S$13:$V$13),MATCH(O189-1,'[1]Normy VP'!$S$14:$V$14),MATCH(O189-1,'[1]Normy VP'!$S$15:$V$15)))),"O")</f>
        <v>N</v>
      </c>
      <c r="W189" s="34" t="str">
        <f t="shared" si="11"/>
        <v>N</v>
      </c>
      <c r="X189" s="27" t="str">
        <f>IF(COUNTIF(B189:G189,"")&gt;0,"",IF(COUNTIF([1]PP!$A:$A,A189)=0,"neni v PP",IF(OR(Y189="odešel",VLOOKUP(A189,[1]PP!$A:$W,22,FALSE)="odešel"),"odešel",IF(OR(Y189="N",VLOOKUP(A189,[1]PP!$A:$W,22,FALSE)="N"),"N",IF(OR(Y189="C",VLOOKUP(A189,[1]PP!$A:$W,22,FALSE)="C"),"C",IF(OR(Y189="DZO",VLOOKUP(A189,[1]PP!$A:$W,22,FALSE)="DZO"),"DZO",IF(OR(Y189="mise",Y189="disp.",Y189="končí",Y189="DSC",VLOOKUP(A189,[1]PP!$A:$W,22,FALSE)="mise",VLOOKUP(A189,[1]PP!$A:$W,22,FALSE)="disp.",VLOOKUP(A189,[1]PP!$A:$W,22,FALSE)="končí",VLOOKUP(A189,[1]PP!$A:$W,22,FALSE)="DSC"),"jiné",IF(OR(Y189=4,VLOOKUP(A189,[1]PP!$A:$W,22,FALSE)=4),4,IF(OR(Y189=3,VLOOKUP(A189,[1]PP!$A:$W,22,FALSE)=3),3,IF(OR(Y189=2,VLOOKUP(A189,[1]PP!$A:$W,22,FALSE)=2),2,IF(AND(Y189=1,VLOOKUP(A189,[1]PP!$A:$W,22,FALSE)=1),1)))))))))))</f>
        <v/>
      </c>
      <c r="Y189" s="28" t="str">
        <f>IF(COUNTIF(B189:G189,"")&gt;0,"",IF(COUNTIF([1]PP!$A:$A,A189)=0,"neni v PP",IF(VLOOKUP(A189,[1]PP!$A:$W,8,FALSE)="odešel","odešel",IF(F189="","",IF(J189="",IF(OR(T189=4,W189=4),4,IF(AND(T189="N",W189="N"),"N",IF(OR(T189="N",W189="N"),4,ROUND(AVERAGE(T189,W189),0)))),J189)))))</f>
        <v/>
      </c>
      <c r="Z189" s="29" t="str">
        <f>IF(COUNTIF(B189:G189,"")=0,IF(X189="neni v PP",CONCATENATE("ID: &lt;",A189,"&gt; se neshoduje s žádným IDem v kartě PP"),IF(COUNTIF($A:$A,A189)&gt;1,CONCATENATE("ID: &lt;",A189,"&gt; se v kartě VP opakuje. Je nutné tyto IDy od sebe odlišit, např. mezerou za příjmením."),IF(COUNTIF([1]PP!A:A,A189)&gt;1,CONCATENATE("ID: &lt;",A189,"&gt; se v kartě PP opakuje. Je nutné tyto IDy od sebe odlišit, např. mezerou za příjmením."),IF(VLOOKUP(A189,[1]PP!$A:$W,5,FALSE)&lt;&gt;E189,CONCATENATE($E$4," &lt;",E189,"&gt; se neshoduje s jednotkou v kartě PP"," &lt;",VLOOKUP(A189,[1]PP!$A:$W,5,FALSE),"&gt;"),IF(AND(COUNTIF(K189:O189,"")&lt;5,J189="",I189=""),CONCATENATE("Doplň: ",$I$4),IF(AND(YEAR(I189)&lt;&gt;$E$2,COUNTIF(I189,"")=0),CONCATENATE("špatně uveden &lt;",$D$2,"&gt; nebo &lt;",$I$4,"&gt;"),IF(OR(AND(OR(COUNTIF(C189,"*a"),COUNTIF(C189,"*ie"),COUNTIF(C189,"*ine"),COUNTIF(D189,"*Á")),F189="muž"),AND(AND(COUNTIF(C189,"&lt;&gt;"&amp;"*a"),COUNTIF(C189,"&lt;&gt;"&amp;"*ie"),COUNTIF(C189,"&lt;&gt;"&amp;"*ine"),COUNTIF(D189,"&lt;&gt;"&amp;"*Á")),F189="žena")),CONCATENATE(C189," ",D189," je ",F189,"?"),""))))))),IF(COUNTIF(B189:O189,"")=14,"",CONCATENATE("Doplň: ",IF(B189="",CONCATENATE($B$4,IF(COUNTIF(C189:G189,"")=0,"",", ")),""),IF(C189="",CONCATENATE($C$4,IF(COUNTIF(D189:G189,"")=0,"",", ")),""),IF(D189="",CONCATENATE($D$4,IF(COUNTIF(E189:G189,"")=0,"",", ")),""),IF(E189="",CONCATENATE($E$4,IF(COUNTIF(F189:G189,"")=0,"",", ")),""),IF(F189="",CONCATENATE($F$4,IF(G189="",", ","")),""),IF(G189="",$G$4,""))))</f>
        <v/>
      </c>
      <c r="AA189" s="30"/>
    </row>
    <row r="190" spans="1:27" ht="16" x14ac:dyDescent="0.35">
      <c r="A190" s="14" t="str">
        <f t="shared" si="8"/>
        <v xml:space="preserve">  </v>
      </c>
      <c r="B190" s="15"/>
      <c r="C190" s="31"/>
      <c r="D190" s="31"/>
      <c r="E190" s="17"/>
      <c r="F190" s="18"/>
      <c r="G190" s="32"/>
      <c r="H190" s="33" t="str">
        <f>IF(G190="","",IF(F190="žena",ROMAN(MATCH(G190+1,'[1]Normy VP'!$Y$27:$Y$33,-1)),ROMAN(MATCH(G190+1,'[1]Normy VP'!$Y$19:$Y$25,-1))))</f>
        <v/>
      </c>
      <c r="I190" s="21"/>
      <c r="J190" s="22"/>
      <c r="K190" s="23"/>
      <c r="L190" s="23"/>
      <c r="M190" s="23"/>
      <c r="N190" s="22"/>
      <c r="O190" s="22"/>
      <c r="P190" s="24" t="str">
        <f>IF(OR($J190="",$J190="odešel"),IF(K190="","",IF($F190="žena",CHOOSE(_xlfn.ARABIC($H190),MATCH(K190+1,'[1]Normy VP'!$C$25:$F$25,-1),MATCH(K190+1,'[1]Normy VP'!$C$26:$F$26,-1),MATCH(K190+1,'[1]Normy VP'!$C$27:$F$27,-1),MATCH(K190+1,'[1]Normy VP'!$C$28:$F$28,-1),MATCH(K190+1,'[1]Normy VP'!$C$29:$F$29,-1),"muž"),CHOOSE(_xlfn.ARABIC($H190),MATCH(K190+1,'[1]Normy VP'!$C$10:$F$10,-1),MATCH(K190+1,'[1]Normy VP'!$C$11:$F$11,-1),MATCH(K190+1,'[1]Normy VP'!$C$12:$F$12,-1),MATCH(K190+1,'[1]Normy VP'!$C$13:$F$13,-1),MATCH(K190+1,'[1]Normy VP'!$C$14:$F$14,-1),""))),"O")</f>
        <v/>
      </c>
      <c r="Q190" s="24" t="str">
        <f>IF(OR($J190="",$J190="odešel"),IF($F190="žena","",IF(L190="","",(CHOOSE(_xlfn.ARABIC($H190),MATCH(L190+1,'[1]Normy VP'!$G$10:$J$10,-1),MATCH(L190+1,'[1]Normy VP'!$G$11:$J$11,-1),MATCH(L190+1,'[1]Normy VP'!$G$12:$J$12,-1),MATCH(L190+1,'[1]Normy VP'!$G$13:$J$13,-1),MATCH(L190+1,'[1]Normy VP'!$G$14:$J$14,-1),"")))),"O")</f>
        <v/>
      </c>
      <c r="R190" s="34" t="str">
        <f t="shared" si="9"/>
        <v>N</v>
      </c>
      <c r="S190" s="24" t="str">
        <f>IF(OR($J190="",$J190="odešel"),IF(M190="","N",IF($F190="žena",CHOOSE(_xlfn.ARABIC($H190),MATCH(M190+1,'[1]Normy VP'!$G$25:$J$25,-1),MATCH(M190+1,'[1]Normy VP'!$G$26:$J$26,-1),MATCH(M190+1,'[1]Normy VP'!$G$27:$J$27,-1),MATCH(M190+1,'[1]Normy VP'!$G$28:$J$28,-1),MATCH(M190+1,'[1]Normy VP'!$G$29:$J$29,-1),"muž"),(CHOOSE(_xlfn.ARABIC($H190),MATCH(M190+1,'[1]Normy VP'!$K$10:$N$10,-1),MATCH(M190+1,'[1]Normy VP'!$K$11:$N$11,-1),MATCH(M190+1,'[1]Normy VP'!$K$12:$N$12,-1),MATCH(M190+1,'[1]Normy VP'!$K$13:$N$13,-1),MATCH(M190+1,'[1]Normy VP'!$K$14:$N$14,-1),"")))),"O")</f>
        <v>N</v>
      </c>
      <c r="T190" s="34" t="str">
        <f t="shared" si="10"/>
        <v>N</v>
      </c>
      <c r="U190" s="24" t="str">
        <f>IF(OR($J190="",$J190="odešel"),IF(N190="","N",IF($F190="žena",CHOOSE(_xlfn.ARABIC($H190),MATCH(N190+1,'[1]Normy VP'!$K$25:$N$25,-1),MATCH(N190+1,'[1]Normy VP'!$K$26:$N$26,-1),MATCH(N190+1,'[1]Normy VP'!$K$27:$N$27,-1),MATCH(N190+1,'[1]Normy VP'!$K$28:$N$28,-1),MATCH(N190+1,'[1]Normy VP'!$K$29:$N$29,-1),MATCH(N190+1,'[1]Normy VP'!$K$30:$N$30,-1)),CHOOSE(_xlfn.ARABIC($H190),MATCH(N190+1,'[1]Normy VP'!$O$10:$R$10,-1),MATCH(N190+1,'[1]Normy VP'!$O$11:$R$11,-1),MATCH(N190+1,'[1]Normy VP'!$O$12:$R$12,-1),MATCH(N190+1,'[1]Normy VP'!$O$13:$R$13,-1),MATCH(N190+1,'[1]Normy VP'!$O$14:$R$14,-1),MATCH(N190+1,'[1]Normy VP'!$O$15:$R$15,-1)))),"O")</f>
        <v>N</v>
      </c>
      <c r="V190" s="26" t="str">
        <f>IF(OR($J190="",$J190="odešel"),IF(O190="","N",IF($F190="žena",CHOOSE(_xlfn.ARABIC($H190),MATCH(O190-1,'[1]Normy VP'!$O$25:$R$25),MATCH(O190-1,'[1]Normy VP'!$O$26:$R$26),MATCH(O190-1,'[1]Normy VP'!$O$27:$R$27),MATCH(O190-1,'[1]Normy VP'!$O$28:$R$28),MATCH(O190-1,'[1]Normy VP'!$O$29:$R$29),MATCH(O190-1,'[1]Normy VP'!$O$30:$R$30)),CHOOSE(_xlfn.ARABIC($H190),MATCH(O190-1,'[1]Normy VP'!$S$10:$V$10),MATCH(O190-1,'[1]Normy VP'!$S$11:$V$11),MATCH(O190-1,'[1]Normy VP'!$S$12:$V$12),MATCH(O190-1,'[1]Normy VP'!$S$13:$V$13),MATCH(O190-1,'[1]Normy VP'!$S$14:$V$14),MATCH(O190-1,'[1]Normy VP'!$S$15:$V$15)))),"O")</f>
        <v>N</v>
      </c>
      <c r="W190" s="34" t="str">
        <f t="shared" si="11"/>
        <v>N</v>
      </c>
      <c r="X190" s="27" t="str">
        <f>IF(COUNTIF(B190:G190,"")&gt;0,"",IF(COUNTIF([1]PP!$A:$A,A190)=0,"neni v PP",IF(OR(Y190="odešel",VLOOKUP(A190,[1]PP!$A:$W,22,FALSE)="odešel"),"odešel",IF(OR(Y190="N",VLOOKUP(A190,[1]PP!$A:$W,22,FALSE)="N"),"N",IF(OR(Y190="C",VLOOKUP(A190,[1]PP!$A:$W,22,FALSE)="C"),"C",IF(OR(Y190="DZO",VLOOKUP(A190,[1]PP!$A:$W,22,FALSE)="DZO"),"DZO",IF(OR(Y190="mise",Y190="disp.",Y190="končí",Y190="DSC",VLOOKUP(A190,[1]PP!$A:$W,22,FALSE)="mise",VLOOKUP(A190,[1]PP!$A:$W,22,FALSE)="disp.",VLOOKUP(A190,[1]PP!$A:$W,22,FALSE)="končí",VLOOKUP(A190,[1]PP!$A:$W,22,FALSE)="DSC"),"jiné",IF(OR(Y190=4,VLOOKUP(A190,[1]PP!$A:$W,22,FALSE)=4),4,IF(OR(Y190=3,VLOOKUP(A190,[1]PP!$A:$W,22,FALSE)=3),3,IF(OR(Y190=2,VLOOKUP(A190,[1]PP!$A:$W,22,FALSE)=2),2,IF(AND(Y190=1,VLOOKUP(A190,[1]PP!$A:$W,22,FALSE)=1),1)))))))))))</f>
        <v/>
      </c>
      <c r="Y190" s="28" t="str">
        <f>IF(COUNTIF(B190:G190,"")&gt;0,"",IF(COUNTIF([1]PP!$A:$A,A190)=0,"neni v PP",IF(VLOOKUP(A190,[1]PP!$A:$W,8,FALSE)="odešel","odešel",IF(F190="","",IF(J190="",IF(OR(T190=4,W190=4),4,IF(AND(T190="N",W190="N"),"N",IF(OR(T190="N",W190="N"),4,ROUND(AVERAGE(T190,W190),0)))),J190)))))</f>
        <v/>
      </c>
      <c r="Z190" s="29" t="str">
        <f>IF(COUNTIF(B190:G190,"")=0,IF(X190="neni v PP",CONCATENATE("ID: &lt;",A190,"&gt; se neshoduje s žádným IDem v kartě PP"),IF(COUNTIF($A:$A,A190)&gt;1,CONCATENATE("ID: &lt;",A190,"&gt; se v kartě VP opakuje. Je nutné tyto IDy od sebe odlišit, např. mezerou za příjmením."),IF(COUNTIF([1]PP!A:A,A190)&gt;1,CONCATENATE("ID: &lt;",A190,"&gt; se v kartě PP opakuje. Je nutné tyto IDy od sebe odlišit, např. mezerou za příjmením."),IF(VLOOKUP(A190,[1]PP!$A:$W,5,FALSE)&lt;&gt;E190,CONCATENATE($E$4," &lt;",E190,"&gt; se neshoduje s jednotkou v kartě PP"," &lt;",VLOOKUP(A190,[1]PP!$A:$W,5,FALSE),"&gt;"),IF(AND(COUNTIF(K190:O190,"")&lt;5,J190="",I190=""),CONCATENATE("Doplň: ",$I$4),IF(AND(YEAR(I190)&lt;&gt;$E$2,COUNTIF(I190,"")=0),CONCATENATE("špatně uveden &lt;",$D$2,"&gt; nebo &lt;",$I$4,"&gt;"),IF(OR(AND(OR(COUNTIF(C190,"*a"),COUNTIF(C190,"*ie"),COUNTIF(C190,"*ine"),COUNTIF(D190,"*Á")),F190="muž"),AND(AND(COUNTIF(C190,"&lt;&gt;"&amp;"*a"),COUNTIF(C190,"&lt;&gt;"&amp;"*ie"),COUNTIF(C190,"&lt;&gt;"&amp;"*ine"),COUNTIF(D190,"&lt;&gt;"&amp;"*Á")),F190="žena")),CONCATENATE(C190," ",D190," je ",F190,"?"),""))))))),IF(COUNTIF(B190:O190,"")=14,"",CONCATENATE("Doplň: ",IF(B190="",CONCATENATE($B$4,IF(COUNTIF(C190:G190,"")=0,"",", ")),""),IF(C190="",CONCATENATE($C$4,IF(COUNTIF(D190:G190,"")=0,"",", ")),""),IF(D190="",CONCATENATE($D$4,IF(COUNTIF(E190:G190,"")=0,"",", ")),""),IF(E190="",CONCATENATE($E$4,IF(COUNTIF(F190:G190,"")=0,"",", ")),""),IF(F190="",CONCATENATE($F$4,IF(G190="",", ","")),""),IF(G190="",$G$4,""))))</f>
        <v/>
      </c>
      <c r="AA190" s="30"/>
    </row>
    <row r="191" spans="1:27" ht="16" x14ac:dyDescent="0.35">
      <c r="A191" s="14" t="str">
        <f t="shared" si="8"/>
        <v xml:space="preserve">  </v>
      </c>
      <c r="B191" s="15"/>
      <c r="C191" s="31"/>
      <c r="D191" s="31"/>
      <c r="E191" s="17"/>
      <c r="F191" s="18"/>
      <c r="G191" s="32"/>
      <c r="H191" s="33" t="str">
        <f>IF(G191="","",IF(F191="žena",ROMAN(MATCH(G191+1,'[1]Normy VP'!$Y$27:$Y$33,-1)),ROMAN(MATCH(G191+1,'[1]Normy VP'!$Y$19:$Y$25,-1))))</f>
        <v/>
      </c>
      <c r="I191" s="21"/>
      <c r="J191" s="22"/>
      <c r="K191" s="23"/>
      <c r="L191" s="23"/>
      <c r="M191" s="23"/>
      <c r="N191" s="22"/>
      <c r="O191" s="22"/>
      <c r="P191" s="24" t="str">
        <f>IF(OR($J191="",$J191="odešel"),IF(K191="","",IF($F191="žena",CHOOSE(_xlfn.ARABIC($H191),MATCH(K191+1,'[1]Normy VP'!$C$25:$F$25,-1),MATCH(K191+1,'[1]Normy VP'!$C$26:$F$26,-1),MATCH(K191+1,'[1]Normy VP'!$C$27:$F$27,-1),MATCH(K191+1,'[1]Normy VP'!$C$28:$F$28,-1),MATCH(K191+1,'[1]Normy VP'!$C$29:$F$29,-1),"muž"),CHOOSE(_xlfn.ARABIC($H191),MATCH(K191+1,'[1]Normy VP'!$C$10:$F$10,-1),MATCH(K191+1,'[1]Normy VP'!$C$11:$F$11,-1),MATCH(K191+1,'[1]Normy VP'!$C$12:$F$12,-1),MATCH(K191+1,'[1]Normy VP'!$C$13:$F$13,-1),MATCH(K191+1,'[1]Normy VP'!$C$14:$F$14,-1),""))),"O")</f>
        <v/>
      </c>
      <c r="Q191" s="24" t="str">
        <f>IF(OR($J191="",$J191="odešel"),IF($F191="žena","",IF(L191="","",(CHOOSE(_xlfn.ARABIC($H191),MATCH(L191+1,'[1]Normy VP'!$G$10:$J$10,-1),MATCH(L191+1,'[1]Normy VP'!$G$11:$J$11,-1),MATCH(L191+1,'[1]Normy VP'!$G$12:$J$12,-1),MATCH(L191+1,'[1]Normy VP'!$G$13:$J$13,-1),MATCH(L191+1,'[1]Normy VP'!$G$14:$J$14,-1),"")))),"O")</f>
        <v/>
      </c>
      <c r="R191" s="34" t="str">
        <f t="shared" si="9"/>
        <v>N</v>
      </c>
      <c r="S191" s="24" t="str">
        <f>IF(OR($J191="",$J191="odešel"),IF(M191="","N",IF($F191="žena",CHOOSE(_xlfn.ARABIC($H191),MATCH(M191+1,'[1]Normy VP'!$G$25:$J$25,-1),MATCH(M191+1,'[1]Normy VP'!$G$26:$J$26,-1),MATCH(M191+1,'[1]Normy VP'!$G$27:$J$27,-1),MATCH(M191+1,'[1]Normy VP'!$G$28:$J$28,-1),MATCH(M191+1,'[1]Normy VP'!$G$29:$J$29,-1),"muž"),(CHOOSE(_xlfn.ARABIC($H191),MATCH(M191+1,'[1]Normy VP'!$K$10:$N$10,-1),MATCH(M191+1,'[1]Normy VP'!$K$11:$N$11,-1),MATCH(M191+1,'[1]Normy VP'!$K$12:$N$12,-1),MATCH(M191+1,'[1]Normy VP'!$K$13:$N$13,-1),MATCH(M191+1,'[1]Normy VP'!$K$14:$N$14,-1),"")))),"O")</f>
        <v>N</v>
      </c>
      <c r="T191" s="34" t="str">
        <f t="shared" si="10"/>
        <v>N</v>
      </c>
      <c r="U191" s="24" t="str">
        <f>IF(OR($J191="",$J191="odešel"),IF(N191="","N",IF($F191="žena",CHOOSE(_xlfn.ARABIC($H191),MATCH(N191+1,'[1]Normy VP'!$K$25:$N$25,-1),MATCH(N191+1,'[1]Normy VP'!$K$26:$N$26,-1),MATCH(N191+1,'[1]Normy VP'!$K$27:$N$27,-1),MATCH(N191+1,'[1]Normy VP'!$K$28:$N$28,-1),MATCH(N191+1,'[1]Normy VP'!$K$29:$N$29,-1),MATCH(N191+1,'[1]Normy VP'!$K$30:$N$30,-1)),CHOOSE(_xlfn.ARABIC($H191),MATCH(N191+1,'[1]Normy VP'!$O$10:$R$10,-1),MATCH(N191+1,'[1]Normy VP'!$O$11:$R$11,-1),MATCH(N191+1,'[1]Normy VP'!$O$12:$R$12,-1),MATCH(N191+1,'[1]Normy VP'!$O$13:$R$13,-1),MATCH(N191+1,'[1]Normy VP'!$O$14:$R$14,-1),MATCH(N191+1,'[1]Normy VP'!$O$15:$R$15,-1)))),"O")</f>
        <v>N</v>
      </c>
      <c r="V191" s="26" t="str">
        <f>IF(OR($J191="",$J191="odešel"),IF(O191="","N",IF($F191="žena",CHOOSE(_xlfn.ARABIC($H191),MATCH(O191-1,'[1]Normy VP'!$O$25:$R$25),MATCH(O191-1,'[1]Normy VP'!$O$26:$R$26),MATCH(O191-1,'[1]Normy VP'!$O$27:$R$27),MATCH(O191-1,'[1]Normy VP'!$O$28:$R$28),MATCH(O191-1,'[1]Normy VP'!$O$29:$R$29),MATCH(O191-1,'[1]Normy VP'!$O$30:$R$30)),CHOOSE(_xlfn.ARABIC($H191),MATCH(O191-1,'[1]Normy VP'!$S$10:$V$10),MATCH(O191-1,'[1]Normy VP'!$S$11:$V$11),MATCH(O191-1,'[1]Normy VP'!$S$12:$V$12),MATCH(O191-1,'[1]Normy VP'!$S$13:$V$13),MATCH(O191-1,'[1]Normy VP'!$S$14:$V$14),MATCH(O191-1,'[1]Normy VP'!$S$15:$V$15)))),"O")</f>
        <v>N</v>
      </c>
      <c r="W191" s="34" t="str">
        <f t="shared" si="11"/>
        <v>N</v>
      </c>
      <c r="X191" s="27" t="str">
        <f>IF(COUNTIF(B191:G191,"")&gt;0,"",IF(COUNTIF([1]PP!$A:$A,A191)=0,"neni v PP",IF(OR(Y191="odešel",VLOOKUP(A191,[1]PP!$A:$W,22,FALSE)="odešel"),"odešel",IF(OR(Y191="N",VLOOKUP(A191,[1]PP!$A:$W,22,FALSE)="N"),"N",IF(OR(Y191="C",VLOOKUP(A191,[1]PP!$A:$W,22,FALSE)="C"),"C",IF(OR(Y191="DZO",VLOOKUP(A191,[1]PP!$A:$W,22,FALSE)="DZO"),"DZO",IF(OR(Y191="mise",Y191="disp.",Y191="končí",Y191="DSC",VLOOKUP(A191,[1]PP!$A:$W,22,FALSE)="mise",VLOOKUP(A191,[1]PP!$A:$W,22,FALSE)="disp.",VLOOKUP(A191,[1]PP!$A:$W,22,FALSE)="končí",VLOOKUP(A191,[1]PP!$A:$W,22,FALSE)="DSC"),"jiné",IF(OR(Y191=4,VLOOKUP(A191,[1]PP!$A:$W,22,FALSE)=4),4,IF(OR(Y191=3,VLOOKUP(A191,[1]PP!$A:$W,22,FALSE)=3),3,IF(OR(Y191=2,VLOOKUP(A191,[1]PP!$A:$W,22,FALSE)=2),2,IF(AND(Y191=1,VLOOKUP(A191,[1]PP!$A:$W,22,FALSE)=1),1)))))))))))</f>
        <v/>
      </c>
      <c r="Y191" s="28" t="str">
        <f>IF(COUNTIF(B191:G191,"")&gt;0,"",IF(COUNTIF([1]PP!$A:$A,A191)=0,"neni v PP",IF(VLOOKUP(A191,[1]PP!$A:$W,8,FALSE)="odešel","odešel",IF(F191="","",IF(J191="",IF(OR(T191=4,W191=4),4,IF(AND(T191="N",W191="N"),"N",IF(OR(T191="N",W191="N"),4,ROUND(AVERAGE(T191,W191),0)))),J191)))))</f>
        <v/>
      </c>
      <c r="Z191" s="29" t="str">
        <f>IF(COUNTIF(B191:G191,"")=0,IF(X191="neni v PP",CONCATENATE("ID: &lt;",A191,"&gt; se neshoduje s žádným IDem v kartě PP"),IF(COUNTIF($A:$A,A191)&gt;1,CONCATENATE("ID: &lt;",A191,"&gt; se v kartě VP opakuje. Je nutné tyto IDy od sebe odlišit, např. mezerou za příjmením."),IF(COUNTIF([1]PP!A:A,A191)&gt;1,CONCATENATE("ID: &lt;",A191,"&gt; se v kartě PP opakuje. Je nutné tyto IDy od sebe odlišit, např. mezerou za příjmením."),IF(VLOOKUP(A191,[1]PP!$A:$W,5,FALSE)&lt;&gt;E191,CONCATENATE($E$4," &lt;",E191,"&gt; se neshoduje s jednotkou v kartě PP"," &lt;",VLOOKUP(A191,[1]PP!$A:$W,5,FALSE),"&gt;"),IF(AND(COUNTIF(K191:O191,"")&lt;5,J191="",I191=""),CONCATENATE("Doplň: ",$I$4),IF(AND(YEAR(I191)&lt;&gt;$E$2,COUNTIF(I191,"")=0),CONCATENATE("špatně uveden &lt;",$D$2,"&gt; nebo &lt;",$I$4,"&gt;"),IF(OR(AND(OR(COUNTIF(C191,"*a"),COUNTIF(C191,"*ie"),COUNTIF(C191,"*ine"),COUNTIF(D191,"*Á")),F191="muž"),AND(AND(COUNTIF(C191,"&lt;&gt;"&amp;"*a"),COUNTIF(C191,"&lt;&gt;"&amp;"*ie"),COUNTIF(C191,"&lt;&gt;"&amp;"*ine"),COUNTIF(D191,"&lt;&gt;"&amp;"*Á")),F191="žena")),CONCATENATE(C191," ",D191," je ",F191,"?"),""))))))),IF(COUNTIF(B191:O191,"")=14,"",CONCATENATE("Doplň: ",IF(B191="",CONCATENATE($B$4,IF(COUNTIF(C191:G191,"")=0,"",", ")),""),IF(C191="",CONCATENATE($C$4,IF(COUNTIF(D191:G191,"")=0,"",", ")),""),IF(D191="",CONCATENATE($D$4,IF(COUNTIF(E191:G191,"")=0,"",", ")),""),IF(E191="",CONCATENATE($E$4,IF(COUNTIF(F191:G191,"")=0,"",", ")),""),IF(F191="",CONCATENATE($F$4,IF(G191="",", ","")),""),IF(G191="",$G$4,""))))</f>
        <v/>
      </c>
      <c r="AA191" s="30"/>
    </row>
    <row r="192" spans="1:27" ht="16" x14ac:dyDescent="0.35">
      <c r="A192" s="14" t="str">
        <f t="shared" si="8"/>
        <v xml:space="preserve">  </v>
      </c>
      <c r="B192" s="15"/>
      <c r="C192" s="31"/>
      <c r="D192" s="31"/>
      <c r="E192" s="17"/>
      <c r="F192" s="18"/>
      <c r="G192" s="32"/>
      <c r="H192" s="33" t="str">
        <f>IF(G192="","",IF(F192="žena",ROMAN(MATCH(G192+1,'[1]Normy VP'!$Y$27:$Y$33,-1)),ROMAN(MATCH(G192+1,'[1]Normy VP'!$Y$19:$Y$25,-1))))</f>
        <v/>
      </c>
      <c r="I192" s="21"/>
      <c r="J192" s="22"/>
      <c r="K192" s="23"/>
      <c r="L192" s="23"/>
      <c r="M192" s="23"/>
      <c r="N192" s="22"/>
      <c r="O192" s="22"/>
      <c r="P192" s="24" t="str">
        <f>IF(OR($J192="",$J192="odešel"),IF(K192="","",IF($F192="žena",CHOOSE(_xlfn.ARABIC($H192),MATCH(K192+1,'[1]Normy VP'!$C$25:$F$25,-1),MATCH(K192+1,'[1]Normy VP'!$C$26:$F$26,-1),MATCH(K192+1,'[1]Normy VP'!$C$27:$F$27,-1),MATCH(K192+1,'[1]Normy VP'!$C$28:$F$28,-1),MATCH(K192+1,'[1]Normy VP'!$C$29:$F$29,-1),"muž"),CHOOSE(_xlfn.ARABIC($H192),MATCH(K192+1,'[1]Normy VP'!$C$10:$F$10,-1),MATCH(K192+1,'[1]Normy VP'!$C$11:$F$11,-1),MATCH(K192+1,'[1]Normy VP'!$C$12:$F$12,-1),MATCH(K192+1,'[1]Normy VP'!$C$13:$F$13,-1),MATCH(K192+1,'[1]Normy VP'!$C$14:$F$14,-1),""))),"O")</f>
        <v/>
      </c>
      <c r="Q192" s="24" t="str">
        <f>IF(OR($J192="",$J192="odešel"),IF($F192="žena","",IF(L192="","",(CHOOSE(_xlfn.ARABIC($H192),MATCH(L192+1,'[1]Normy VP'!$G$10:$J$10,-1),MATCH(L192+1,'[1]Normy VP'!$G$11:$J$11,-1),MATCH(L192+1,'[1]Normy VP'!$G$12:$J$12,-1),MATCH(L192+1,'[1]Normy VP'!$G$13:$J$13,-1),MATCH(L192+1,'[1]Normy VP'!$G$14:$J$14,-1),"")))),"O")</f>
        <v/>
      </c>
      <c r="R192" s="34" t="str">
        <f t="shared" si="9"/>
        <v>N</v>
      </c>
      <c r="S192" s="24" t="str">
        <f>IF(OR($J192="",$J192="odešel"),IF(M192="","N",IF($F192="žena",CHOOSE(_xlfn.ARABIC($H192),MATCH(M192+1,'[1]Normy VP'!$G$25:$J$25,-1),MATCH(M192+1,'[1]Normy VP'!$G$26:$J$26,-1),MATCH(M192+1,'[1]Normy VP'!$G$27:$J$27,-1),MATCH(M192+1,'[1]Normy VP'!$G$28:$J$28,-1),MATCH(M192+1,'[1]Normy VP'!$G$29:$J$29,-1),"muž"),(CHOOSE(_xlfn.ARABIC($H192),MATCH(M192+1,'[1]Normy VP'!$K$10:$N$10,-1),MATCH(M192+1,'[1]Normy VP'!$K$11:$N$11,-1),MATCH(M192+1,'[1]Normy VP'!$K$12:$N$12,-1),MATCH(M192+1,'[1]Normy VP'!$K$13:$N$13,-1),MATCH(M192+1,'[1]Normy VP'!$K$14:$N$14,-1),"")))),"O")</f>
        <v>N</v>
      </c>
      <c r="T192" s="34" t="str">
        <f t="shared" si="10"/>
        <v>N</v>
      </c>
      <c r="U192" s="24" t="str">
        <f>IF(OR($J192="",$J192="odešel"),IF(N192="","N",IF($F192="žena",CHOOSE(_xlfn.ARABIC($H192),MATCH(N192+1,'[1]Normy VP'!$K$25:$N$25,-1),MATCH(N192+1,'[1]Normy VP'!$K$26:$N$26,-1),MATCH(N192+1,'[1]Normy VP'!$K$27:$N$27,-1),MATCH(N192+1,'[1]Normy VP'!$K$28:$N$28,-1),MATCH(N192+1,'[1]Normy VP'!$K$29:$N$29,-1),MATCH(N192+1,'[1]Normy VP'!$K$30:$N$30,-1)),CHOOSE(_xlfn.ARABIC($H192),MATCH(N192+1,'[1]Normy VP'!$O$10:$R$10,-1),MATCH(N192+1,'[1]Normy VP'!$O$11:$R$11,-1),MATCH(N192+1,'[1]Normy VP'!$O$12:$R$12,-1),MATCH(N192+1,'[1]Normy VP'!$O$13:$R$13,-1),MATCH(N192+1,'[1]Normy VP'!$O$14:$R$14,-1),MATCH(N192+1,'[1]Normy VP'!$O$15:$R$15,-1)))),"O")</f>
        <v>N</v>
      </c>
      <c r="V192" s="26" t="str">
        <f>IF(OR($J192="",$J192="odešel"),IF(O192="","N",IF($F192="žena",CHOOSE(_xlfn.ARABIC($H192),MATCH(O192-1,'[1]Normy VP'!$O$25:$R$25),MATCH(O192-1,'[1]Normy VP'!$O$26:$R$26),MATCH(O192-1,'[1]Normy VP'!$O$27:$R$27),MATCH(O192-1,'[1]Normy VP'!$O$28:$R$28),MATCH(O192-1,'[1]Normy VP'!$O$29:$R$29),MATCH(O192-1,'[1]Normy VP'!$O$30:$R$30)),CHOOSE(_xlfn.ARABIC($H192),MATCH(O192-1,'[1]Normy VP'!$S$10:$V$10),MATCH(O192-1,'[1]Normy VP'!$S$11:$V$11),MATCH(O192-1,'[1]Normy VP'!$S$12:$V$12),MATCH(O192-1,'[1]Normy VP'!$S$13:$V$13),MATCH(O192-1,'[1]Normy VP'!$S$14:$V$14),MATCH(O192-1,'[1]Normy VP'!$S$15:$V$15)))),"O")</f>
        <v>N</v>
      </c>
      <c r="W192" s="34" t="str">
        <f t="shared" si="11"/>
        <v>N</v>
      </c>
      <c r="X192" s="27" t="str">
        <f>IF(COUNTIF(B192:G192,"")&gt;0,"",IF(COUNTIF([1]PP!$A:$A,A192)=0,"neni v PP",IF(OR(Y192="odešel",VLOOKUP(A192,[1]PP!$A:$W,22,FALSE)="odešel"),"odešel",IF(OR(Y192="N",VLOOKUP(A192,[1]PP!$A:$W,22,FALSE)="N"),"N",IF(OR(Y192="C",VLOOKUP(A192,[1]PP!$A:$W,22,FALSE)="C"),"C",IF(OR(Y192="DZO",VLOOKUP(A192,[1]PP!$A:$W,22,FALSE)="DZO"),"DZO",IF(OR(Y192="mise",Y192="disp.",Y192="končí",Y192="DSC",VLOOKUP(A192,[1]PP!$A:$W,22,FALSE)="mise",VLOOKUP(A192,[1]PP!$A:$W,22,FALSE)="disp.",VLOOKUP(A192,[1]PP!$A:$W,22,FALSE)="končí",VLOOKUP(A192,[1]PP!$A:$W,22,FALSE)="DSC"),"jiné",IF(OR(Y192=4,VLOOKUP(A192,[1]PP!$A:$W,22,FALSE)=4),4,IF(OR(Y192=3,VLOOKUP(A192,[1]PP!$A:$W,22,FALSE)=3),3,IF(OR(Y192=2,VLOOKUP(A192,[1]PP!$A:$W,22,FALSE)=2),2,IF(AND(Y192=1,VLOOKUP(A192,[1]PP!$A:$W,22,FALSE)=1),1)))))))))))</f>
        <v/>
      </c>
      <c r="Y192" s="28" t="str">
        <f>IF(COUNTIF(B192:G192,"")&gt;0,"",IF(COUNTIF([1]PP!$A:$A,A192)=0,"neni v PP",IF(VLOOKUP(A192,[1]PP!$A:$W,8,FALSE)="odešel","odešel",IF(F192="","",IF(J192="",IF(OR(T192=4,W192=4),4,IF(AND(T192="N",W192="N"),"N",IF(OR(T192="N",W192="N"),4,ROUND(AVERAGE(T192,W192),0)))),J192)))))</f>
        <v/>
      </c>
      <c r="Z192" s="29" t="str">
        <f>IF(COUNTIF(B192:G192,"")=0,IF(X192="neni v PP",CONCATENATE("ID: &lt;",A192,"&gt; se neshoduje s žádným IDem v kartě PP"),IF(COUNTIF($A:$A,A192)&gt;1,CONCATENATE("ID: &lt;",A192,"&gt; se v kartě VP opakuje. Je nutné tyto IDy od sebe odlišit, např. mezerou za příjmením."),IF(COUNTIF([1]PP!A:A,A192)&gt;1,CONCATENATE("ID: &lt;",A192,"&gt; se v kartě PP opakuje. Je nutné tyto IDy od sebe odlišit, např. mezerou za příjmením."),IF(VLOOKUP(A192,[1]PP!$A:$W,5,FALSE)&lt;&gt;E192,CONCATENATE($E$4," &lt;",E192,"&gt; se neshoduje s jednotkou v kartě PP"," &lt;",VLOOKUP(A192,[1]PP!$A:$W,5,FALSE),"&gt;"),IF(AND(COUNTIF(K192:O192,"")&lt;5,J192="",I192=""),CONCATENATE("Doplň: ",$I$4),IF(AND(YEAR(I192)&lt;&gt;$E$2,COUNTIF(I192,"")=0),CONCATENATE("špatně uveden &lt;",$D$2,"&gt; nebo &lt;",$I$4,"&gt;"),IF(OR(AND(OR(COUNTIF(C192,"*a"),COUNTIF(C192,"*ie"),COUNTIF(C192,"*ine"),COUNTIF(D192,"*Á")),F192="muž"),AND(AND(COUNTIF(C192,"&lt;&gt;"&amp;"*a"),COUNTIF(C192,"&lt;&gt;"&amp;"*ie"),COUNTIF(C192,"&lt;&gt;"&amp;"*ine"),COUNTIF(D192,"&lt;&gt;"&amp;"*Á")),F192="žena")),CONCATENATE(C192," ",D192," je ",F192,"?"),""))))))),IF(COUNTIF(B192:O192,"")=14,"",CONCATENATE("Doplň: ",IF(B192="",CONCATENATE($B$4,IF(COUNTIF(C192:G192,"")=0,"",", ")),""),IF(C192="",CONCATENATE($C$4,IF(COUNTIF(D192:G192,"")=0,"",", ")),""),IF(D192="",CONCATENATE($D$4,IF(COUNTIF(E192:G192,"")=0,"",", ")),""),IF(E192="",CONCATENATE($E$4,IF(COUNTIF(F192:G192,"")=0,"",", ")),""),IF(F192="",CONCATENATE($F$4,IF(G192="",", ","")),""),IF(G192="",$G$4,""))))</f>
        <v/>
      </c>
      <c r="AA192" s="30"/>
    </row>
    <row r="193" spans="1:27" ht="16" x14ac:dyDescent="0.35">
      <c r="A193" s="14" t="str">
        <f t="shared" si="8"/>
        <v xml:space="preserve">  </v>
      </c>
      <c r="B193" s="15"/>
      <c r="C193" s="31"/>
      <c r="D193" s="31"/>
      <c r="E193" s="17"/>
      <c r="F193" s="18"/>
      <c r="G193" s="32"/>
      <c r="H193" s="33" t="str">
        <f>IF(G193="","",IF(F193="žena",ROMAN(MATCH(G193+1,'[1]Normy VP'!$Y$27:$Y$33,-1)),ROMAN(MATCH(G193+1,'[1]Normy VP'!$Y$19:$Y$25,-1))))</f>
        <v/>
      </c>
      <c r="I193" s="21"/>
      <c r="J193" s="22"/>
      <c r="K193" s="23"/>
      <c r="L193" s="23"/>
      <c r="M193" s="23"/>
      <c r="N193" s="22"/>
      <c r="O193" s="22"/>
      <c r="P193" s="24" t="str">
        <f>IF(OR($J193="",$J193="odešel"),IF(K193="","",IF($F193="žena",CHOOSE(_xlfn.ARABIC($H193),MATCH(K193+1,'[1]Normy VP'!$C$25:$F$25,-1),MATCH(K193+1,'[1]Normy VP'!$C$26:$F$26,-1),MATCH(K193+1,'[1]Normy VP'!$C$27:$F$27,-1),MATCH(K193+1,'[1]Normy VP'!$C$28:$F$28,-1),MATCH(K193+1,'[1]Normy VP'!$C$29:$F$29,-1),"muž"),CHOOSE(_xlfn.ARABIC($H193),MATCH(K193+1,'[1]Normy VP'!$C$10:$F$10,-1),MATCH(K193+1,'[1]Normy VP'!$C$11:$F$11,-1),MATCH(K193+1,'[1]Normy VP'!$C$12:$F$12,-1),MATCH(K193+1,'[1]Normy VP'!$C$13:$F$13,-1),MATCH(K193+1,'[1]Normy VP'!$C$14:$F$14,-1),""))),"O")</f>
        <v/>
      </c>
      <c r="Q193" s="24" t="str">
        <f>IF(OR($J193="",$J193="odešel"),IF($F193="žena","",IF(L193="","",(CHOOSE(_xlfn.ARABIC($H193),MATCH(L193+1,'[1]Normy VP'!$G$10:$J$10,-1),MATCH(L193+1,'[1]Normy VP'!$G$11:$J$11,-1),MATCH(L193+1,'[1]Normy VP'!$G$12:$J$12,-1),MATCH(L193+1,'[1]Normy VP'!$G$13:$J$13,-1),MATCH(L193+1,'[1]Normy VP'!$G$14:$J$14,-1),"")))),"O")</f>
        <v/>
      </c>
      <c r="R193" s="34" t="str">
        <f t="shared" si="9"/>
        <v>N</v>
      </c>
      <c r="S193" s="24" t="str">
        <f>IF(OR($J193="",$J193="odešel"),IF(M193="","N",IF($F193="žena",CHOOSE(_xlfn.ARABIC($H193),MATCH(M193+1,'[1]Normy VP'!$G$25:$J$25,-1),MATCH(M193+1,'[1]Normy VP'!$G$26:$J$26,-1),MATCH(M193+1,'[1]Normy VP'!$G$27:$J$27,-1),MATCH(M193+1,'[1]Normy VP'!$G$28:$J$28,-1),MATCH(M193+1,'[1]Normy VP'!$G$29:$J$29,-1),"muž"),(CHOOSE(_xlfn.ARABIC($H193),MATCH(M193+1,'[1]Normy VP'!$K$10:$N$10,-1),MATCH(M193+1,'[1]Normy VP'!$K$11:$N$11,-1),MATCH(M193+1,'[1]Normy VP'!$K$12:$N$12,-1),MATCH(M193+1,'[1]Normy VP'!$K$13:$N$13,-1),MATCH(M193+1,'[1]Normy VP'!$K$14:$N$14,-1),"")))),"O")</f>
        <v>N</v>
      </c>
      <c r="T193" s="34" t="str">
        <f t="shared" si="10"/>
        <v>N</v>
      </c>
      <c r="U193" s="24" t="str">
        <f>IF(OR($J193="",$J193="odešel"),IF(N193="","N",IF($F193="žena",CHOOSE(_xlfn.ARABIC($H193),MATCH(N193+1,'[1]Normy VP'!$K$25:$N$25,-1),MATCH(N193+1,'[1]Normy VP'!$K$26:$N$26,-1),MATCH(N193+1,'[1]Normy VP'!$K$27:$N$27,-1),MATCH(N193+1,'[1]Normy VP'!$K$28:$N$28,-1),MATCH(N193+1,'[1]Normy VP'!$K$29:$N$29,-1),MATCH(N193+1,'[1]Normy VP'!$K$30:$N$30,-1)),CHOOSE(_xlfn.ARABIC($H193),MATCH(N193+1,'[1]Normy VP'!$O$10:$R$10,-1),MATCH(N193+1,'[1]Normy VP'!$O$11:$R$11,-1),MATCH(N193+1,'[1]Normy VP'!$O$12:$R$12,-1),MATCH(N193+1,'[1]Normy VP'!$O$13:$R$13,-1),MATCH(N193+1,'[1]Normy VP'!$O$14:$R$14,-1),MATCH(N193+1,'[1]Normy VP'!$O$15:$R$15,-1)))),"O")</f>
        <v>N</v>
      </c>
      <c r="V193" s="26" t="str">
        <f>IF(OR($J193="",$J193="odešel"),IF(O193="","N",IF($F193="žena",CHOOSE(_xlfn.ARABIC($H193),MATCH(O193-1,'[1]Normy VP'!$O$25:$R$25),MATCH(O193-1,'[1]Normy VP'!$O$26:$R$26),MATCH(O193-1,'[1]Normy VP'!$O$27:$R$27),MATCH(O193-1,'[1]Normy VP'!$O$28:$R$28),MATCH(O193-1,'[1]Normy VP'!$O$29:$R$29),MATCH(O193-1,'[1]Normy VP'!$O$30:$R$30)),CHOOSE(_xlfn.ARABIC($H193),MATCH(O193-1,'[1]Normy VP'!$S$10:$V$10),MATCH(O193-1,'[1]Normy VP'!$S$11:$V$11),MATCH(O193-1,'[1]Normy VP'!$S$12:$V$12),MATCH(O193-1,'[1]Normy VP'!$S$13:$V$13),MATCH(O193-1,'[1]Normy VP'!$S$14:$V$14),MATCH(O193-1,'[1]Normy VP'!$S$15:$V$15)))),"O")</f>
        <v>N</v>
      </c>
      <c r="W193" s="34" t="str">
        <f t="shared" si="11"/>
        <v>N</v>
      </c>
      <c r="X193" s="27" t="str">
        <f>IF(COUNTIF(B193:G193,"")&gt;0,"",IF(COUNTIF([1]PP!$A:$A,A193)=0,"neni v PP",IF(OR(Y193="odešel",VLOOKUP(A193,[1]PP!$A:$W,22,FALSE)="odešel"),"odešel",IF(OR(Y193="N",VLOOKUP(A193,[1]PP!$A:$W,22,FALSE)="N"),"N",IF(OR(Y193="C",VLOOKUP(A193,[1]PP!$A:$W,22,FALSE)="C"),"C",IF(OR(Y193="DZO",VLOOKUP(A193,[1]PP!$A:$W,22,FALSE)="DZO"),"DZO",IF(OR(Y193="mise",Y193="disp.",Y193="končí",Y193="DSC",VLOOKUP(A193,[1]PP!$A:$W,22,FALSE)="mise",VLOOKUP(A193,[1]PP!$A:$W,22,FALSE)="disp.",VLOOKUP(A193,[1]PP!$A:$W,22,FALSE)="končí",VLOOKUP(A193,[1]PP!$A:$W,22,FALSE)="DSC"),"jiné",IF(OR(Y193=4,VLOOKUP(A193,[1]PP!$A:$W,22,FALSE)=4),4,IF(OR(Y193=3,VLOOKUP(A193,[1]PP!$A:$W,22,FALSE)=3),3,IF(OR(Y193=2,VLOOKUP(A193,[1]PP!$A:$W,22,FALSE)=2),2,IF(AND(Y193=1,VLOOKUP(A193,[1]PP!$A:$W,22,FALSE)=1),1)))))))))))</f>
        <v/>
      </c>
      <c r="Y193" s="28" t="str">
        <f>IF(COUNTIF(B193:G193,"")&gt;0,"",IF(COUNTIF([1]PP!$A:$A,A193)=0,"neni v PP",IF(VLOOKUP(A193,[1]PP!$A:$W,8,FALSE)="odešel","odešel",IF(F193="","",IF(J193="",IF(OR(T193=4,W193=4),4,IF(AND(T193="N",W193="N"),"N",IF(OR(T193="N",W193="N"),4,ROUND(AVERAGE(T193,W193),0)))),J193)))))</f>
        <v/>
      </c>
      <c r="Z193" s="29" t="str">
        <f>IF(COUNTIF(B193:G193,"")=0,IF(X193="neni v PP",CONCATENATE("ID: &lt;",A193,"&gt; se neshoduje s žádným IDem v kartě PP"),IF(COUNTIF($A:$A,A193)&gt;1,CONCATENATE("ID: &lt;",A193,"&gt; se v kartě VP opakuje. Je nutné tyto IDy od sebe odlišit, např. mezerou za příjmením."),IF(COUNTIF([1]PP!A:A,A193)&gt;1,CONCATENATE("ID: &lt;",A193,"&gt; se v kartě PP opakuje. Je nutné tyto IDy od sebe odlišit, např. mezerou za příjmením."),IF(VLOOKUP(A193,[1]PP!$A:$W,5,FALSE)&lt;&gt;E193,CONCATENATE($E$4," &lt;",E193,"&gt; se neshoduje s jednotkou v kartě PP"," &lt;",VLOOKUP(A193,[1]PP!$A:$W,5,FALSE),"&gt;"),IF(AND(COUNTIF(K193:O193,"")&lt;5,J193="",I193=""),CONCATENATE("Doplň: ",$I$4),IF(AND(YEAR(I193)&lt;&gt;$E$2,COUNTIF(I193,"")=0),CONCATENATE("špatně uveden &lt;",$D$2,"&gt; nebo &lt;",$I$4,"&gt;"),IF(OR(AND(OR(COUNTIF(C193,"*a"),COUNTIF(C193,"*ie"),COUNTIF(C193,"*ine"),COUNTIF(D193,"*Á")),F193="muž"),AND(AND(COUNTIF(C193,"&lt;&gt;"&amp;"*a"),COUNTIF(C193,"&lt;&gt;"&amp;"*ie"),COUNTIF(C193,"&lt;&gt;"&amp;"*ine"),COUNTIF(D193,"&lt;&gt;"&amp;"*Á")),F193="žena")),CONCATENATE(C193," ",D193," je ",F193,"?"),""))))))),IF(COUNTIF(B193:O193,"")=14,"",CONCATENATE("Doplň: ",IF(B193="",CONCATENATE($B$4,IF(COUNTIF(C193:G193,"")=0,"",", ")),""),IF(C193="",CONCATENATE($C$4,IF(COUNTIF(D193:G193,"")=0,"",", ")),""),IF(D193="",CONCATENATE($D$4,IF(COUNTIF(E193:G193,"")=0,"",", ")),""),IF(E193="",CONCATENATE($E$4,IF(COUNTIF(F193:G193,"")=0,"",", ")),""),IF(F193="",CONCATENATE($F$4,IF(G193="",", ","")),""),IF(G193="",$G$4,""))))</f>
        <v/>
      </c>
      <c r="AA193" s="30"/>
    </row>
    <row r="194" spans="1:27" ht="16" x14ac:dyDescent="0.35">
      <c r="A194" s="14" t="str">
        <f t="shared" ref="A194:A257" si="12">CONCATENATE(B194," ",UPPER(D194)," ",C194)</f>
        <v xml:space="preserve">  </v>
      </c>
      <c r="B194" s="15"/>
      <c r="C194" s="31"/>
      <c r="D194" s="31"/>
      <c r="E194" s="17"/>
      <c r="F194" s="18"/>
      <c r="G194" s="32"/>
      <c r="H194" s="33" t="str">
        <f>IF(G194="","",IF(F194="žena",ROMAN(MATCH(G194+1,'[1]Normy VP'!$Y$27:$Y$33,-1)),ROMAN(MATCH(G194+1,'[1]Normy VP'!$Y$19:$Y$25,-1))))</f>
        <v/>
      </c>
      <c r="I194" s="21"/>
      <c r="J194" s="22"/>
      <c r="K194" s="23"/>
      <c r="L194" s="23"/>
      <c r="M194" s="23"/>
      <c r="N194" s="22"/>
      <c r="O194" s="22"/>
      <c r="P194" s="24" t="str">
        <f>IF(OR($J194="",$J194="odešel"),IF(K194="","",IF($F194="žena",CHOOSE(_xlfn.ARABIC($H194),MATCH(K194+1,'[1]Normy VP'!$C$25:$F$25,-1),MATCH(K194+1,'[1]Normy VP'!$C$26:$F$26,-1),MATCH(K194+1,'[1]Normy VP'!$C$27:$F$27,-1),MATCH(K194+1,'[1]Normy VP'!$C$28:$F$28,-1),MATCH(K194+1,'[1]Normy VP'!$C$29:$F$29,-1),"muž"),CHOOSE(_xlfn.ARABIC($H194),MATCH(K194+1,'[1]Normy VP'!$C$10:$F$10,-1),MATCH(K194+1,'[1]Normy VP'!$C$11:$F$11,-1),MATCH(K194+1,'[1]Normy VP'!$C$12:$F$12,-1),MATCH(K194+1,'[1]Normy VP'!$C$13:$F$13,-1),MATCH(K194+1,'[1]Normy VP'!$C$14:$F$14,-1),""))),"O")</f>
        <v/>
      </c>
      <c r="Q194" s="24" t="str">
        <f>IF(OR($J194="",$J194="odešel"),IF($F194="žena","",IF(L194="","",(CHOOSE(_xlfn.ARABIC($H194),MATCH(L194+1,'[1]Normy VP'!$G$10:$J$10,-1),MATCH(L194+1,'[1]Normy VP'!$G$11:$J$11,-1),MATCH(L194+1,'[1]Normy VP'!$G$12:$J$12,-1),MATCH(L194+1,'[1]Normy VP'!$G$13:$J$13,-1),MATCH(L194+1,'[1]Normy VP'!$G$14:$J$14,-1),"")))),"O")</f>
        <v/>
      </c>
      <c r="R194" s="34" t="str">
        <f t="shared" ref="R194:R257" si="13">IF(F194="žena",IF(P194="","N",P194),IF(AND(P194="",Q194=""),"N",IF(OR(P194="",Q194=""),4,MAX(P194,Q194))))</f>
        <v>N</v>
      </c>
      <c r="S194" s="24" t="str">
        <f>IF(OR($J194="",$J194="odešel"),IF(M194="","N",IF($F194="žena",CHOOSE(_xlfn.ARABIC($H194),MATCH(M194+1,'[1]Normy VP'!$G$25:$J$25,-1),MATCH(M194+1,'[1]Normy VP'!$G$26:$J$26,-1),MATCH(M194+1,'[1]Normy VP'!$G$27:$J$27,-1),MATCH(M194+1,'[1]Normy VP'!$G$28:$J$28,-1),MATCH(M194+1,'[1]Normy VP'!$G$29:$J$29,-1),"muž"),(CHOOSE(_xlfn.ARABIC($H194),MATCH(M194+1,'[1]Normy VP'!$K$10:$N$10,-1),MATCH(M194+1,'[1]Normy VP'!$K$11:$N$11,-1),MATCH(M194+1,'[1]Normy VP'!$K$12:$N$12,-1),MATCH(M194+1,'[1]Normy VP'!$K$13:$N$13,-1),MATCH(M194+1,'[1]Normy VP'!$K$14:$N$14,-1),"")))),"O")</f>
        <v>N</v>
      </c>
      <c r="T194" s="34" t="str">
        <f t="shared" ref="T194:T257" si="14">IF(_xlfn.ARABIC(H194)=6,W194,IF(AND(R194="N",S194="N"),"N",MIN(R194,S194)))</f>
        <v>N</v>
      </c>
      <c r="U194" s="24" t="str">
        <f>IF(OR($J194="",$J194="odešel"),IF(N194="","N",IF($F194="žena",CHOOSE(_xlfn.ARABIC($H194),MATCH(N194+1,'[1]Normy VP'!$K$25:$N$25,-1),MATCH(N194+1,'[1]Normy VP'!$K$26:$N$26,-1),MATCH(N194+1,'[1]Normy VP'!$K$27:$N$27,-1),MATCH(N194+1,'[1]Normy VP'!$K$28:$N$28,-1),MATCH(N194+1,'[1]Normy VP'!$K$29:$N$29,-1),MATCH(N194+1,'[1]Normy VP'!$K$30:$N$30,-1)),CHOOSE(_xlfn.ARABIC($H194),MATCH(N194+1,'[1]Normy VP'!$O$10:$R$10,-1),MATCH(N194+1,'[1]Normy VP'!$O$11:$R$11,-1),MATCH(N194+1,'[1]Normy VP'!$O$12:$R$12,-1),MATCH(N194+1,'[1]Normy VP'!$O$13:$R$13,-1),MATCH(N194+1,'[1]Normy VP'!$O$14:$R$14,-1),MATCH(N194+1,'[1]Normy VP'!$O$15:$R$15,-1)))),"O")</f>
        <v>N</v>
      </c>
      <c r="V194" s="26" t="str">
        <f>IF(OR($J194="",$J194="odešel"),IF(O194="","N",IF($F194="žena",CHOOSE(_xlfn.ARABIC($H194),MATCH(O194-1,'[1]Normy VP'!$O$25:$R$25),MATCH(O194-1,'[1]Normy VP'!$O$26:$R$26),MATCH(O194-1,'[1]Normy VP'!$O$27:$R$27),MATCH(O194-1,'[1]Normy VP'!$O$28:$R$28),MATCH(O194-1,'[1]Normy VP'!$O$29:$R$29),MATCH(O194-1,'[1]Normy VP'!$O$30:$R$30)),CHOOSE(_xlfn.ARABIC($H194),MATCH(O194-1,'[1]Normy VP'!$S$10:$V$10),MATCH(O194-1,'[1]Normy VP'!$S$11:$V$11),MATCH(O194-1,'[1]Normy VP'!$S$12:$V$12),MATCH(O194-1,'[1]Normy VP'!$S$13:$V$13),MATCH(O194-1,'[1]Normy VP'!$S$14:$V$14),MATCH(O194-1,'[1]Normy VP'!$S$15:$V$15)))),"O")</f>
        <v>N</v>
      </c>
      <c r="W194" s="34" t="str">
        <f t="shared" ref="W194:W257" si="15">IF(AND(U194="N",V194="N"),"N",MIN(U194,V194))</f>
        <v>N</v>
      </c>
      <c r="X194" s="27" t="str">
        <f>IF(COUNTIF(B194:G194,"")&gt;0,"",IF(COUNTIF([1]PP!$A:$A,A194)=0,"neni v PP",IF(OR(Y194="odešel",VLOOKUP(A194,[1]PP!$A:$W,22,FALSE)="odešel"),"odešel",IF(OR(Y194="N",VLOOKUP(A194,[1]PP!$A:$W,22,FALSE)="N"),"N",IF(OR(Y194="C",VLOOKUP(A194,[1]PP!$A:$W,22,FALSE)="C"),"C",IF(OR(Y194="DZO",VLOOKUP(A194,[1]PP!$A:$W,22,FALSE)="DZO"),"DZO",IF(OR(Y194="mise",Y194="disp.",Y194="končí",Y194="DSC",VLOOKUP(A194,[1]PP!$A:$W,22,FALSE)="mise",VLOOKUP(A194,[1]PP!$A:$W,22,FALSE)="disp.",VLOOKUP(A194,[1]PP!$A:$W,22,FALSE)="končí",VLOOKUP(A194,[1]PP!$A:$W,22,FALSE)="DSC"),"jiné",IF(OR(Y194=4,VLOOKUP(A194,[1]PP!$A:$W,22,FALSE)=4),4,IF(OR(Y194=3,VLOOKUP(A194,[1]PP!$A:$W,22,FALSE)=3),3,IF(OR(Y194=2,VLOOKUP(A194,[1]PP!$A:$W,22,FALSE)=2),2,IF(AND(Y194=1,VLOOKUP(A194,[1]PP!$A:$W,22,FALSE)=1),1)))))))))))</f>
        <v/>
      </c>
      <c r="Y194" s="28" t="str">
        <f>IF(COUNTIF(B194:G194,"")&gt;0,"",IF(COUNTIF([1]PP!$A:$A,A194)=0,"neni v PP",IF(VLOOKUP(A194,[1]PP!$A:$W,8,FALSE)="odešel","odešel",IF(F194="","",IF(J194="",IF(OR(T194=4,W194=4),4,IF(AND(T194="N",W194="N"),"N",IF(OR(T194="N",W194="N"),4,ROUND(AVERAGE(T194,W194),0)))),J194)))))</f>
        <v/>
      </c>
      <c r="Z194" s="29" t="str">
        <f>IF(COUNTIF(B194:G194,"")=0,IF(X194="neni v PP",CONCATENATE("ID: &lt;",A194,"&gt; se neshoduje s žádným IDem v kartě PP"),IF(COUNTIF($A:$A,A194)&gt;1,CONCATENATE("ID: &lt;",A194,"&gt; se v kartě VP opakuje. Je nutné tyto IDy od sebe odlišit, např. mezerou za příjmením."),IF(COUNTIF([1]PP!A:A,A194)&gt;1,CONCATENATE("ID: &lt;",A194,"&gt; se v kartě PP opakuje. Je nutné tyto IDy od sebe odlišit, např. mezerou za příjmením."),IF(VLOOKUP(A194,[1]PP!$A:$W,5,FALSE)&lt;&gt;E194,CONCATENATE($E$4," &lt;",E194,"&gt; se neshoduje s jednotkou v kartě PP"," &lt;",VLOOKUP(A194,[1]PP!$A:$W,5,FALSE),"&gt;"),IF(AND(COUNTIF(K194:O194,"")&lt;5,J194="",I194=""),CONCATENATE("Doplň: ",$I$4),IF(AND(YEAR(I194)&lt;&gt;$E$2,COUNTIF(I194,"")=0),CONCATENATE("špatně uveden &lt;",$D$2,"&gt; nebo &lt;",$I$4,"&gt;"),IF(OR(AND(OR(COUNTIF(C194,"*a"),COUNTIF(C194,"*ie"),COUNTIF(C194,"*ine"),COUNTIF(D194,"*Á")),F194="muž"),AND(AND(COUNTIF(C194,"&lt;&gt;"&amp;"*a"),COUNTIF(C194,"&lt;&gt;"&amp;"*ie"),COUNTIF(C194,"&lt;&gt;"&amp;"*ine"),COUNTIF(D194,"&lt;&gt;"&amp;"*Á")),F194="žena")),CONCATENATE(C194," ",D194," je ",F194,"?"),""))))))),IF(COUNTIF(B194:O194,"")=14,"",CONCATENATE("Doplň: ",IF(B194="",CONCATENATE($B$4,IF(COUNTIF(C194:G194,"")=0,"",", ")),""),IF(C194="",CONCATENATE($C$4,IF(COUNTIF(D194:G194,"")=0,"",", ")),""),IF(D194="",CONCATENATE($D$4,IF(COUNTIF(E194:G194,"")=0,"",", ")),""),IF(E194="",CONCATENATE($E$4,IF(COUNTIF(F194:G194,"")=0,"",", ")),""),IF(F194="",CONCATENATE($F$4,IF(G194="",", ","")),""),IF(G194="",$G$4,""))))</f>
        <v/>
      </c>
      <c r="AA194" s="30"/>
    </row>
    <row r="195" spans="1:27" ht="16" x14ac:dyDescent="0.35">
      <c r="A195" s="14" t="str">
        <f t="shared" si="12"/>
        <v xml:space="preserve">  </v>
      </c>
      <c r="B195" s="15"/>
      <c r="C195" s="31"/>
      <c r="D195" s="31"/>
      <c r="E195" s="17"/>
      <c r="F195" s="18"/>
      <c r="G195" s="32"/>
      <c r="H195" s="33" t="str">
        <f>IF(G195="","",IF(F195="žena",ROMAN(MATCH(G195+1,'[1]Normy VP'!$Y$27:$Y$33,-1)),ROMAN(MATCH(G195+1,'[1]Normy VP'!$Y$19:$Y$25,-1))))</f>
        <v/>
      </c>
      <c r="I195" s="21"/>
      <c r="J195" s="22"/>
      <c r="K195" s="23"/>
      <c r="L195" s="23"/>
      <c r="M195" s="23"/>
      <c r="N195" s="22"/>
      <c r="O195" s="22"/>
      <c r="P195" s="24" t="str">
        <f>IF(OR($J195="",$J195="odešel"),IF(K195="","",IF($F195="žena",CHOOSE(_xlfn.ARABIC($H195),MATCH(K195+1,'[1]Normy VP'!$C$25:$F$25,-1),MATCH(K195+1,'[1]Normy VP'!$C$26:$F$26,-1),MATCH(K195+1,'[1]Normy VP'!$C$27:$F$27,-1),MATCH(K195+1,'[1]Normy VP'!$C$28:$F$28,-1),MATCH(K195+1,'[1]Normy VP'!$C$29:$F$29,-1),"muž"),CHOOSE(_xlfn.ARABIC($H195),MATCH(K195+1,'[1]Normy VP'!$C$10:$F$10,-1),MATCH(K195+1,'[1]Normy VP'!$C$11:$F$11,-1),MATCH(K195+1,'[1]Normy VP'!$C$12:$F$12,-1),MATCH(K195+1,'[1]Normy VP'!$C$13:$F$13,-1),MATCH(K195+1,'[1]Normy VP'!$C$14:$F$14,-1),""))),"O")</f>
        <v/>
      </c>
      <c r="Q195" s="24" t="str">
        <f>IF(OR($J195="",$J195="odešel"),IF($F195="žena","",IF(L195="","",(CHOOSE(_xlfn.ARABIC($H195),MATCH(L195+1,'[1]Normy VP'!$G$10:$J$10,-1),MATCH(L195+1,'[1]Normy VP'!$G$11:$J$11,-1),MATCH(L195+1,'[1]Normy VP'!$G$12:$J$12,-1),MATCH(L195+1,'[1]Normy VP'!$G$13:$J$13,-1),MATCH(L195+1,'[1]Normy VP'!$G$14:$J$14,-1),"")))),"O")</f>
        <v/>
      </c>
      <c r="R195" s="34" t="str">
        <f t="shared" si="13"/>
        <v>N</v>
      </c>
      <c r="S195" s="24" t="str">
        <f>IF(OR($J195="",$J195="odešel"),IF(M195="","N",IF($F195="žena",CHOOSE(_xlfn.ARABIC($H195),MATCH(M195+1,'[1]Normy VP'!$G$25:$J$25,-1),MATCH(M195+1,'[1]Normy VP'!$G$26:$J$26,-1),MATCH(M195+1,'[1]Normy VP'!$G$27:$J$27,-1),MATCH(M195+1,'[1]Normy VP'!$G$28:$J$28,-1),MATCH(M195+1,'[1]Normy VP'!$G$29:$J$29,-1),"muž"),(CHOOSE(_xlfn.ARABIC($H195),MATCH(M195+1,'[1]Normy VP'!$K$10:$N$10,-1),MATCH(M195+1,'[1]Normy VP'!$K$11:$N$11,-1),MATCH(M195+1,'[1]Normy VP'!$K$12:$N$12,-1),MATCH(M195+1,'[1]Normy VP'!$K$13:$N$13,-1),MATCH(M195+1,'[1]Normy VP'!$K$14:$N$14,-1),"")))),"O")</f>
        <v>N</v>
      </c>
      <c r="T195" s="34" t="str">
        <f t="shared" si="14"/>
        <v>N</v>
      </c>
      <c r="U195" s="24" t="str">
        <f>IF(OR($J195="",$J195="odešel"),IF(N195="","N",IF($F195="žena",CHOOSE(_xlfn.ARABIC($H195),MATCH(N195+1,'[1]Normy VP'!$K$25:$N$25,-1),MATCH(N195+1,'[1]Normy VP'!$K$26:$N$26,-1),MATCH(N195+1,'[1]Normy VP'!$K$27:$N$27,-1),MATCH(N195+1,'[1]Normy VP'!$K$28:$N$28,-1),MATCH(N195+1,'[1]Normy VP'!$K$29:$N$29,-1),MATCH(N195+1,'[1]Normy VP'!$K$30:$N$30,-1)),CHOOSE(_xlfn.ARABIC($H195),MATCH(N195+1,'[1]Normy VP'!$O$10:$R$10,-1),MATCH(N195+1,'[1]Normy VP'!$O$11:$R$11,-1),MATCH(N195+1,'[1]Normy VP'!$O$12:$R$12,-1),MATCH(N195+1,'[1]Normy VP'!$O$13:$R$13,-1),MATCH(N195+1,'[1]Normy VP'!$O$14:$R$14,-1),MATCH(N195+1,'[1]Normy VP'!$O$15:$R$15,-1)))),"O")</f>
        <v>N</v>
      </c>
      <c r="V195" s="26" t="str">
        <f>IF(OR($J195="",$J195="odešel"),IF(O195="","N",IF($F195="žena",CHOOSE(_xlfn.ARABIC($H195),MATCH(O195-1,'[1]Normy VP'!$O$25:$R$25),MATCH(O195-1,'[1]Normy VP'!$O$26:$R$26),MATCH(O195-1,'[1]Normy VP'!$O$27:$R$27),MATCH(O195-1,'[1]Normy VP'!$O$28:$R$28),MATCH(O195-1,'[1]Normy VP'!$O$29:$R$29),MATCH(O195-1,'[1]Normy VP'!$O$30:$R$30)),CHOOSE(_xlfn.ARABIC($H195),MATCH(O195-1,'[1]Normy VP'!$S$10:$V$10),MATCH(O195-1,'[1]Normy VP'!$S$11:$V$11),MATCH(O195-1,'[1]Normy VP'!$S$12:$V$12),MATCH(O195-1,'[1]Normy VP'!$S$13:$V$13),MATCH(O195-1,'[1]Normy VP'!$S$14:$V$14),MATCH(O195-1,'[1]Normy VP'!$S$15:$V$15)))),"O")</f>
        <v>N</v>
      </c>
      <c r="W195" s="34" t="str">
        <f t="shared" si="15"/>
        <v>N</v>
      </c>
      <c r="X195" s="27" t="str">
        <f>IF(COUNTIF(B195:G195,"")&gt;0,"",IF(COUNTIF([1]PP!$A:$A,A195)=0,"neni v PP",IF(OR(Y195="odešel",VLOOKUP(A195,[1]PP!$A:$W,22,FALSE)="odešel"),"odešel",IF(OR(Y195="N",VLOOKUP(A195,[1]PP!$A:$W,22,FALSE)="N"),"N",IF(OR(Y195="C",VLOOKUP(A195,[1]PP!$A:$W,22,FALSE)="C"),"C",IF(OR(Y195="DZO",VLOOKUP(A195,[1]PP!$A:$W,22,FALSE)="DZO"),"DZO",IF(OR(Y195="mise",Y195="disp.",Y195="končí",Y195="DSC",VLOOKUP(A195,[1]PP!$A:$W,22,FALSE)="mise",VLOOKUP(A195,[1]PP!$A:$W,22,FALSE)="disp.",VLOOKUP(A195,[1]PP!$A:$W,22,FALSE)="končí",VLOOKUP(A195,[1]PP!$A:$W,22,FALSE)="DSC"),"jiné",IF(OR(Y195=4,VLOOKUP(A195,[1]PP!$A:$W,22,FALSE)=4),4,IF(OR(Y195=3,VLOOKUP(A195,[1]PP!$A:$W,22,FALSE)=3),3,IF(OR(Y195=2,VLOOKUP(A195,[1]PP!$A:$W,22,FALSE)=2),2,IF(AND(Y195=1,VLOOKUP(A195,[1]PP!$A:$W,22,FALSE)=1),1)))))))))))</f>
        <v/>
      </c>
      <c r="Y195" s="28" t="str">
        <f>IF(COUNTIF(B195:G195,"")&gt;0,"",IF(COUNTIF([1]PP!$A:$A,A195)=0,"neni v PP",IF(VLOOKUP(A195,[1]PP!$A:$W,8,FALSE)="odešel","odešel",IF(F195="","",IF(J195="",IF(OR(T195=4,W195=4),4,IF(AND(T195="N",W195="N"),"N",IF(OR(T195="N",W195="N"),4,ROUND(AVERAGE(T195,W195),0)))),J195)))))</f>
        <v/>
      </c>
      <c r="Z195" s="29" t="str">
        <f>IF(COUNTIF(B195:G195,"")=0,IF(X195="neni v PP",CONCATENATE("ID: &lt;",A195,"&gt; se neshoduje s žádným IDem v kartě PP"),IF(COUNTIF($A:$A,A195)&gt;1,CONCATENATE("ID: &lt;",A195,"&gt; se v kartě VP opakuje. Je nutné tyto IDy od sebe odlišit, např. mezerou za příjmením."),IF(COUNTIF([1]PP!A:A,A195)&gt;1,CONCATENATE("ID: &lt;",A195,"&gt; se v kartě PP opakuje. Je nutné tyto IDy od sebe odlišit, např. mezerou za příjmením."),IF(VLOOKUP(A195,[1]PP!$A:$W,5,FALSE)&lt;&gt;E195,CONCATENATE($E$4," &lt;",E195,"&gt; se neshoduje s jednotkou v kartě PP"," &lt;",VLOOKUP(A195,[1]PP!$A:$W,5,FALSE),"&gt;"),IF(AND(COUNTIF(K195:O195,"")&lt;5,J195="",I195=""),CONCATENATE("Doplň: ",$I$4),IF(AND(YEAR(I195)&lt;&gt;$E$2,COUNTIF(I195,"")=0),CONCATENATE("špatně uveden &lt;",$D$2,"&gt; nebo &lt;",$I$4,"&gt;"),IF(OR(AND(OR(COUNTIF(C195,"*a"),COUNTIF(C195,"*ie"),COUNTIF(C195,"*ine"),COUNTIF(D195,"*Á")),F195="muž"),AND(AND(COUNTIF(C195,"&lt;&gt;"&amp;"*a"),COUNTIF(C195,"&lt;&gt;"&amp;"*ie"),COUNTIF(C195,"&lt;&gt;"&amp;"*ine"),COUNTIF(D195,"&lt;&gt;"&amp;"*Á")),F195="žena")),CONCATENATE(C195," ",D195," je ",F195,"?"),""))))))),IF(COUNTIF(B195:O195,"")=14,"",CONCATENATE("Doplň: ",IF(B195="",CONCATENATE($B$4,IF(COUNTIF(C195:G195,"")=0,"",", ")),""),IF(C195="",CONCATENATE($C$4,IF(COUNTIF(D195:G195,"")=0,"",", ")),""),IF(D195="",CONCATENATE($D$4,IF(COUNTIF(E195:G195,"")=0,"",", ")),""),IF(E195="",CONCATENATE($E$4,IF(COUNTIF(F195:G195,"")=0,"",", ")),""),IF(F195="",CONCATENATE($F$4,IF(G195="",", ","")),""),IF(G195="",$G$4,""))))</f>
        <v/>
      </c>
      <c r="AA195" s="30"/>
    </row>
    <row r="196" spans="1:27" ht="16" x14ac:dyDescent="0.35">
      <c r="A196" s="14" t="str">
        <f t="shared" si="12"/>
        <v xml:space="preserve">  </v>
      </c>
      <c r="B196" s="15"/>
      <c r="C196" s="31"/>
      <c r="D196" s="31"/>
      <c r="E196" s="17"/>
      <c r="F196" s="18"/>
      <c r="G196" s="32"/>
      <c r="H196" s="33" t="str">
        <f>IF(G196="","",IF(F196="žena",ROMAN(MATCH(G196+1,'[1]Normy VP'!$Y$27:$Y$33,-1)),ROMAN(MATCH(G196+1,'[1]Normy VP'!$Y$19:$Y$25,-1))))</f>
        <v/>
      </c>
      <c r="I196" s="21"/>
      <c r="J196" s="22"/>
      <c r="K196" s="23"/>
      <c r="L196" s="23"/>
      <c r="M196" s="23"/>
      <c r="N196" s="22"/>
      <c r="O196" s="22"/>
      <c r="P196" s="24" t="str">
        <f>IF(OR($J196="",$J196="odešel"),IF(K196="","",IF($F196="žena",CHOOSE(_xlfn.ARABIC($H196),MATCH(K196+1,'[1]Normy VP'!$C$25:$F$25,-1),MATCH(K196+1,'[1]Normy VP'!$C$26:$F$26,-1),MATCH(K196+1,'[1]Normy VP'!$C$27:$F$27,-1),MATCH(K196+1,'[1]Normy VP'!$C$28:$F$28,-1),MATCH(K196+1,'[1]Normy VP'!$C$29:$F$29,-1),"muž"),CHOOSE(_xlfn.ARABIC($H196),MATCH(K196+1,'[1]Normy VP'!$C$10:$F$10,-1),MATCH(K196+1,'[1]Normy VP'!$C$11:$F$11,-1),MATCH(K196+1,'[1]Normy VP'!$C$12:$F$12,-1),MATCH(K196+1,'[1]Normy VP'!$C$13:$F$13,-1),MATCH(K196+1,'[1]Normy VP'!$C$14:$F$14,-1),""))),"O")</f>
        <v/>
      </c>
      <c r="Q196" s="24" t="str">
        <f>IF(OR($J196="",$J196="odešel"),IF($F196="žena","",IF(L196="","",(CHOOSE(_xlfn.ARABIC($H196),MATCH(L196+1,'[1]Normy VP'!$G$10:$J$10,-1),MATCH(L196+1,'[1]Normy VP'!$G$11:$J$11,-1),MATCH(L196+1,'[1]Normy VP'!$G$12:$J$12,-1),MATCH(L196+1,'[1]Normy VP'!$G$13:$J$13,-1),MATCH(L196+1,'[1]Normy VP'!$G$14:$J$14,-1),"")))),"O")</f>
        <v/>
      </c>
      <c r="R196" s="34" t="str">
        <f t="shared" si="13"/>
        <v>N</v>
      </c>
      <c r="S196" s="24" t="str">
        <f>IF(OR($J196="",$J196="odešel"),IF(M196="","N",IF($F196="žena",CHOOSE(_xlfn.ARABIC($H196),MATCH(M196+1,'[1]Normy VP'!$G$25:$J$25,-1),MATCH(M196+1,'[1]Normy VP'!$G$26:$J$26,-1),MATCH(M196+1,'[1]Normy VP'!$G$27:$J$27,-1),MATCH(M196+1,'[1]Normy VP'!$G$28:$J$28,-1),MATCH(M196+1,'[1]Normy VP'!$G$29:$J$29,-1),"muž"),(CHOOSE(_xlfn.ARABIC($H196),MATCH(M196+1,'[1]Normy VP'!$K$10:$N$10,-1),MATCH(M196+1,'[1]Normy VP'!$K$11:$N$11,-1),MATCH(M196+1,'[1]Normy VP'!$K$12:$N$12,-1),MATCH(M196+1,'[1]Normy VP'!$K$13:$N$13,-1),MATCH(M196+1,'[1]Normy VP'!$K$14:$N$14,-1),"")))),"O")</f>
        <v>N</v>
      </c>
      <c r="T196" s="34" t="str">
        <f t="shared" si="14"/>
        <v>N</v>
      </c>
      <c r="U196" s="24" t="str">
        <f>IF(OR($J196="",$J196="odešel"),IF(N196="","N",IF($F196="žena",CHOOSE(_xlfn.ARABIC($H196),MATCH(N196+1,'[1]Normy VP'!$K$25:$N$25,-1),MATCH(N196+1,'[1]Normy VP'!$K$26:$N$26,-1),MATCH(N196+1,'[1]Normy VP'!$K$27:$N$27,-1),MATCH(N196+1,'[1]Normy VP'!$K$28:$N$28,-1),MATCH(N196+1,'[1]Normy VP'!$K$29:$N$29,-1),MATCH(N196+1,'[1]Normy VP'!$K$30:$N$30,-1)),CHOOSE(_xlfn.ARABIC($H196),MATCH(N196+1,'[1]Normy VP'!$O$10:$R$10,-1),MATCH(N196+1,'[1]Normy VP'!$O$11:$R$11,-1),MATCH(N196+1,'[1]Normy VP'!$O$12:$R$12,-1),MATCH(N196+1,'[1]Normy VP'!$O$13:$R$13,-1),MATCH(N196+1,'[1]Normy VP'!$O$14:$R$14,-1),MATCH(N196+1,'[1]Normy VP'!$O$15:$R$15,-1)))),"O")</f>
        <v>N</v>
      </c>
      <c r="V196" s="26" t="str">
        <f>IF(OR($J196="",$J196="odešel"),IF(O196="","N",IF($F196="žena",CHOOSE(_xlfn.ARABIC($H196),MATCH(O196-1,'[1]Normy VP'!$O$25:$R$25),MATCH(O196-1,'[1]Normy VP'!$O$26:$R$26),MATCH(O196-1,'[1]Normy VP'!$O$27:$R$27),MATCH(O196-1,'[1]Normy VP'!$O$28:$R$28),MATCH(O196-1,'[1]Normy VP'!$O$29:$R$29),MATCH(O196-1,'[1]Normy VP'!$O$30:$R$30)),CHOOSE(_xlfn.ARABIC($H196),MATCH(O196-1,'[1]Normy VP'!$S$10:$V$10),MATCH(O196-1,'[1]Normy VP'!$S$11:$V$11),MATCH(O196-1,'[1]Normy VP'!$S$12:$V$12),MATCH(O196-1,'[1]Normy VP'!$S$13:$V$13),MATCH(O196-1,'[1]Normy VP'!$S$14:$V$14),MATCH(O196-1,'[1]Normy VP'!$S$15:$V$15)))),"O")</f>
        <v>N</v>
      </c>
      <c r="W196" s="34" t="str">
        <f t="shared" si="15"/>
        <v>N</v>
      </c>
      <c r="X196" s="27" t="str">
        <f>IF(COUNTIF(B196:G196,"")&gt;0,"",IF(COUNTIF([1]PP!$A:$A,A196)=0,"neni v PP",IF(OR(Y196="odešel",VLOOKUP(A196,[1]PP!$A:$W,22,FALSE)="odešel"),"odešel",IF(OR(Y196="N",VLOOKUP(A196,[1]PP!$A:$W,22,FALSE)="N"),"N",IF(OR(Y196="C",VLOOKUP(A196,[1]PP!$A:$W,22,FALSE)="C"),"C",IF(OR(Y196="DZO",VLOOKUP(A196,[1]PP!$A:$W,22,FALSE)="DZO"),"DZO",IF(OR(Y196="mise",Y196="disp.",Y196="končí",Y196="DSC",VLOOKUP(A196,[1]PP!$A:$W,22,FALSE)="mise",VLOOKUP(A196,[1]PP!$A:$W,22,FALSE)="disp.",VLOOKUP(A196,[1]PP!$A:$W,22,FALSE)="končí",VLOOKUP(A196,[1]PP!$A:$W,22,FALSE)="DSC"),"jiné",IF(OR(Y196=4,VLOOKUP(A196,[1]PP!$A:$W,22,FALSE)=4),4,IF(OR(Y196=3,VLOOKUP(A196,[1]PP!$A:$W,22,FALSE)=3),3,IF(OR(Y196=2,VLOOKUP(A196,[1]PP!$A:$W,22,FALSE)=2),2,IF(AND(Y196=1,VLOOKUP(A196,[1]PP!$A:$W,22,FALSE)=1),1)))))))))))</f>
        <v/>
      </c>
      <c r="Y196" s="28" t="str">
        <f>IF(COUNTIF(B196:G196,"")&gt;0,"",IF(COUNTIF([1]PP!$A:$A,A196)=0,"neni v PP",IF(VLOOKUP(A196,[1]PP!$A:$W,8,FALSE)="odešel","odešel",IF(F196="","",IF(J196="",IF(OR(T196=4,W196=4),4,IF(AND(T196="N",W196="N"),"N",IF(OR(T196="N",W196="N"),4,ROUND(AVERAGE(T196,W196),0)))),J196)))))</f>
        <v/>
      </c>
      <c r="Z196" s="29" t="str">
        <f>IF(COUNTIF(B196:G196,"")=0,IF(X196="neni v PP",CONCATENATE("ID: &lt;",A196,"&gt; se neshoduje s žádným IDem v kartě PP"),IF(COUNTIF($A:$A,A196)&gt;1,CONCATENATE("ID: &lt;",A196,"&gt; se v kartě VP opakuje. Je nutné tyto IDy od sebe odlišit, např. mezerou za příjmením."),IF(COUNTIF([1]PP!A:A,A196)&gt;1,CONCATENATE("ID: &lt;",A196,"&gt; se v kartě PP opakuje. Je nutné tyto IDy od sebe odlišit, např. mezerou za příjmením."),IF(VLOOKUP(A196,[1]PP!$A:$W,5,FALSE)&lt;&gt;E196,CONCATENATE($E$4," &lt;",E196,"&gt; se neshoduje s jednotkou v kartě PP"," &lt;",VLOOKUP(A196,[1]PP!$A:$W,5,FALSE),"&gt;"),IF(AND(COUNTIF(K196:O196,"")&lt;5,J196="",I196=""),CONCATENATE("Doplň: ",$I$4),IF(AND(YEAR(I196)&lt;&gt;$E$2,COUNTIF(I196,"")=0),CONCATENATE("špatně uveden &lt;",$D$2,"&gt; nebo &lt;",$I$4,"&gt;"),IF(OR(AND(OR(COUNTIF(C196,"*a"),COUNTIF(C196,"*ie"),COUNTIF(C196,"*ine"),COUNTIF(D196,"*Á")),F196="muž"),AND(AND(COUNTIF(C196,"&lt;&gt;"&amp;"*a"),COUNTIF(C196,"&lt;&gt;"&amp;"*ie"),COUNTIF(C196,"&lt;&gt;"&amp;"*ine"),COUNTIF(D196,"&lt;&gt;"&amp;"*Á")),F196="žena")),CONCATENATE(C196," ",D196," je ",F196,"?"),""))))))),IF(COUNTIF(B196:O196,"")=14,"",CONCATENATE("Doplň: ",IF(B196="",CONCATENATE($B$4,IF(COUNTIF(C196:G196,"")=0,"",", ")),""),IF(C196="",CONCATENATE($C$4,IF(COUNTIF(D196:G196,"")=0,"",", ")),""),IF(D196="",CONCATENATE($D$4,IF(COUNTIF(E196:G196,"")=0,"",", ")),""),IF(E196="",CONCATENATE($E$4,IF(COUNTIF(F196:G196,"")=0,"",", ")),""),IF(F196="",CONCATENATE($F$4,IF(G196="",", ","")),""),IF(G196="",$G$4,""))))</f>
        <v/>
      </c>
      <c r="AA196" s="30"/>
    </row>
    <row r="197" spans="1:27" ht="16" x14ac:dyDescent="0.35">
      <c r="A197" s="14" t="str">
        <f t="shared" si="12"/>
        <v xml:space="preserve">  </v>
      </c>
      <c r="B197" s="15"/>
      <c r="C197" s="31"/>
      <c r="D197" s="31"/>
      <c r="E197" s="17"/>
      <c r="F197" s="18"/>
      <c r="G197" s="32"/>
      <c r="H197" s="33" t="str">
        <f>IF(G197="","",IF(F197="žena",ROMAN(MATCH(G197+1,'[1]Normy VP'!$Y$27:$Y$33,-1)),ROMAN(MATCH(G197+1,'[1]Normy VP'!$Y$19:$Y$25,-1))))</f>
        <v/>
      </c>
      <c r="I197" s="21"/>
      <c r="J197" s="22"/>
      <c r="K197" s="23"/>
      <c r="L197" s="23"/>
      <c r="M197" s="23"/>
      <c r="N197" s="22"/>
      <c r="O197" s="22"/>
      <c r="P197" s="24" t="str">
        <f>IF(OR($J197="",$J197="odešel"),IF(K197="","",IF($F197="žena",CHOOSE(_xlfn.ARABIC($H197),MATCH(K197+1,'[1]Normy VP'!$C$25:$F$25,-1),MATCH(K197+1,'[1]Normy VP'!$C$26:$F$26,-1),MATCH(K197+1,'[1]Normy VP'!$C$27:$F$27,-1),MATCH(K197+1,'[1]Normy VP'!$C$28:$F$28,-1),MATCH(K197+1,'[1]Normy VP'!$C$29:$F$29,-1),"muž"),CHOOSE(_xlfn.ARABIC($H197),MATCH(K197+1,'[1]Normy VP'!$C$10:$F$10,-1),MATCH(K197+1,'[1]Normy VP'!$C$11:$F$11,-1),MATCH(K197+1,'[1]Normy VP'!$C$12:$F$12,-1),MATCH(K197+1,'[1]Normy VP'!$C$13:$F$13,-1),MATCH(K197+1,'[1]Normy VP'!$C$14:$F$14,-1),""))),"O")</f>
        <v/>
      </c>
      <c r="Q197" s="24" t="str">
        <f>IF(OR($J197="",$J197="odešel"),IF($F197="žena","",IF(L197="","",(CHOOSE(_xlfn.ARABIC($H197),MATCH(L197+1,'[1]Normy VP'!$G$10:$J$10,-1),MATCH(L197+1,'[1]Normy VP'!$G$11:$J$11,-1),MATCH(L197+1,'[1]Normy VP'!$G$12:$J$12,-1),MATCH(L197+1,'[1]Normy VP'!$G$13:$J$13,-1),MATCH(L197+1,'[1]Normy VP'!$G$14:$J$14,-1),"")))),"O")</f>
        <v/>
      </c>
      <c r="R197" s="34" t="str">
        <f t="shared" si="13"/>
        <v>N</v>
      </c>
      <c r="S197" s="24" t="str">
        <f>IF(OR($J197="",$J197="odešel"),IF(M197="","N",IF($F197="žena",CHOOSE(_xlfn.ARABIC($H197),MATCH(M197+1,'[1]Normy VP'!$G$25:$J$25,-1),MATCH(M197+1,'[1]Normy VP'!$G$26:$J$26,-1),MATCH(M197+1,'[1]Normy VP'!$G$27:$J$27,-1),MATCH(M197+1,'[1]Normy VP'!$G$28:$J$28,-1),MATCH(M197+1,'[1]Normy VP'!$G$29:$J$29,-1),"muž"),(CHOOSE(_xlfn.ARABIC($H197),MATCH(M197+1,'[1]Normy VP'!$K$10:$N$10,-1),MATCH(M197+1,'[1]Normy VP'!$K$11:$N$11,-1),MATCH(M197+1,'[1]Normy VP'!$K$12:$N$12,-1),MATCH(M197+1,'[1]Normy VP'!$K$13:$N$13,-1),MATCH(M197+1,'[1]Normy VP'!$K$14:$N$14,-1),"")))),"O")</f>
        <v>N</v>
      </c>
      <c r="T197" s="34" t="str">
        <f t="shared" si="14"/>
        <v>N</v>
      </c>
      <c r="U197" s="24" t="str">
        <f>IF(OR($J197="",$J197="odešel"),IF(N197="","N",IF($F197="žena",CHOOSE(_xlfn.ARABIC($H197),MATCH(N197+1,'[1]Normy VP'!$K$25:$N$25,-1),MATCH(N197+1,'[1]Normy VP'!$K$26:$N$26,-1),MATCH(N197+1,'[1]Normy VP'!$K$27:$N$27,-1),MATCH(N197+1,'[1]Normy VP'!$K$28:$N$28,-1),MATCH(N197+1,'[1]Normy VP'!$K$29:$N$29,-1),MATCH(N197+1,'[1]Normy VP'!$K$30:$N$30,-1)),CHOOSE(_xlfn.ARABIC($H197),MATCH(N197+1,'[1]Normy VP'!$O$10:$R$10,-1),MATCH(N197+1,'[1]Normy VP'!$O$11:$R$11,-1),MATCH(N197+1,'[1]Normy VP'!$O$12:$R$12,-1),MATCH(N197+1,'[1]Normy VP'!$O$13:$R$13,-1),MATCH(N197+1,'[1]Normy VP'!$O$14:$R$14,-1),MATCH(N197+1,'[1]Normy VP'!$O$15:$R$15,-1)))),"O")</f>
        <v>N</v>
      </c>
      <c r="V197" s="26" t="str">
        <f>IF(OR($J197="",$J197="odešel"),IF(O197="","N",IF($F197="žena",CHOOSE(_xlfn.ARABIC($H197),MATCH(O197-1,'[1]Normy VP'!$O$25:$R$25),MATCH(O197-1,'[1]Normy VP'!$O$26:$R$26),MATCH(O197-1,'[1]Normy VP'!$O$27:$R$27),MATCH(O197-1,'[1]Normy VP'!$O$28:$R$28),MATCH(O197-1,'[1]Normy VP'!$O$29:$R$29),MATCH(O197-1,'[1]Normy VP'!$O$30:$R$30)),CHOOSE(_xlfn.ARABIC($H197),MATCH(O197-1,'[1]Normy VP'!$S$10:$V$10),MATCH(O197-1,'[1]Normy VP'!$S$11:$V$11),MATCH(O197-1,'[1]Normy VP'!$S$12:$V$12),MATCH(O197-1,'[1]Normy VP'!$S$13:$V$13),MATCH(O197-1,'[1]Normy VP'!$S$14:$V$14),MATCH(O197-1,'[1]Normy VP'!$S$15:$V$15)))),"O")</f>
        <v>N</v>
      </c>
      <c r="W197" s="34" t="str">
        <f t="shared" si="15"/>
        <v>N</v>
      </c>
      <c r="X197" s="27" t="str">
        <f>IF(COUNTIF(B197:G197,"")&gt;0,"",IF(COUNTIF([1]PP!$A:$A,A197)=0,"neni v PP",IF(OR(Y197="odešel",VLOOKUP(A197,[1]PP!$A:$W,22,FALSE)="odešel"),"odešel",IF(OR(Y197="N",VLOOKUP(A197,[1]PP!$A:$W,22,FALSE)="N"),"N",IF(OR(Y197="C",VLOOKUP(A197,[1]PP!$A:$W,22,FALSE)="C"),"C",IF(OR(Y197="DZO",VLOOKUP(A197,[1]PP!$A:$W,22,FALSE)="DZO"),"DZO",IF(OR(Y197="mise",Y197="disp.",Y197="končí",Y197="DSC",VLOOKUP(A197,[1]PP!$A:$W,22,FALSE)="mise",VLOOKUP(A197,[1]PP!$A:$W,22,FALSE)="disp.",VLOOKUP(A197,[1]PP!$A:$W,22,FALSE)="končí",VLOOKUP(A197,[1]PP!$A:$W,22,FALSE)="DSC"),"jiné",IF(OR(Y197=4,VLOOKUP(A197,[1]PP!$A:$W,22,FALSE)=4),4,IF(OR(Y197=3,VLOOKUP(A197,[1]PP!$A:$W,22,FALSE)=3),3,IF(OR(Y197=2,VLOOKUP(A197,[1]PP!$A:$W,22,FALSE)=2),2,IF(AND(Y197=1,VLOOKUP(A197,[1]PP!$A:$W,22,FALSE)=1),1)))))))))))</f>
        <v/>
      </c>
      <c r="Y197" s="28" t="str">
        <f>IF(COUNTIF(B197:G197,"")&gt;0,"",IF(COUNTIF([1]PP!$A:$A,A197)=0,"neni v PP",IF(VLOOKUP(A197,[1]PP!$A:$W,8,FALSE)="odešel","odešel",IF(F197="","",IF(J197="",IF(OR(T197=4,W197=4),4,IF(AND(T197="N",W197="N"),"N",IF(OR(T197="N",W197="N"),4,ROUND(AVERAGE(T197,W197),0)))),J197)))))</f>
        <v/>
      </c>
      <c r="Z197" s="29" t="str">
        <f>IF(COUNTIF(B197:G197,"")=0,IF(X197="neni v PP",CONCATENATE("ID: &lt;",A197,"&gt; se neshoduje s žádným IDem v kartě PP"),IF(COUNTIF($A:$A,A197)&gt;1,CONCATENATE("ID: &lt;",A197,"&gt; se v kartě VP opakuje. Je nutné tyto IDy od sebe odlišit, např. mezerou za příjmením."),IF(COUNTIF([1]PP!A:A,A197)&gt;1,CONCATENATE("ID: &lt;",A197,"&gt; se v kartě PP opakuje. Je nutné tyto IDy od sebe odlišit, např. mezerou za příjmením."),IF(VLOOKUP(A197,[1]PP!$A:$W,5,FALSE)&lt;&gt;E197,CONCATENATE($E$4," &lt;",E197,"&gt; se neshoduje s jednotkou v kartě PP"," &lt;",VLOOKUP(A197,[1]PP!$A:$W,5,FALSE),"&gt;"),IF(AND(COUNTIF(K197:O197,"")&lt;5,J197="",I197=""),CONCATENATE("Doplň: ",$I$4),IF(AND(YEAR(I197)&lt;&gt;$E$2,COUNTIF(I197,"")=0),CONCATENATE("špatně uveden &lt;",$D$2,"&gt; nebo &lt;",$I$4,"&gt;"),IF(OR(AND(OR(COUNTIF(C197,"*a"),COUNTIF(C197,"*ie"),COUNTIF(C197,"*ine"),COUNTIF(D197,"*Á")),F197="muž"),AND(AND(COUNTIF(C197,"&lt;&gt;"&amp;"*a"),COUNTIF(C197,"&lt;&gt;"&amp;"*ie"),COUNTIF(C197,"&lt;&gt;"&amp;"*ine"),COUNTIF(D197,"&lt;&gt;"&amp;"*Á")),F197="žena")),CONCATENATE(C197," ",D197," je ",F197,"?"),""))))))),IF(COUNTIF(B197:O197,"")=14,"",CONCATENATE("Doplň: ",IF(B197="",CONCATENATE($B$4,IF(COUNTIF(C197:G197,"")=0,"",", ")),""),IF(C197="",CONCATENATE($C$4,IF(COUNTIF(D197:G197,"")=0,"",", ")),""),IF(D197="",CONCATENATE($D$4,IF(COUNTIF(E197:G197,"")=0,"",", ")),""),IF(E197="",CONCATENATE($E$4,IF(COUNTIF(F197:G197,"")=0,"",", ")),""),IF(F197="",CONCATENATE($F$4,IF(G197="",", ","")),""),IF(G197="",$G$4,""))))</f>
        <v/>
      </c>
      <c r="AA197" s="30"/>
    </row>
    <row r="198" spans="1:27" ht="16" x14ac:dyDescent="0.35">
      <c r="A198" s="14" t="str">
        <f t="shared" si="12"/>
        <v xml:space="preserve">  </v>
      </c>
      <c r="B198" s="15"/>
      <c r="C198" s="31"/>
      <c r="D198" s="31"/>
      <c r="E198" s="17"/>
      <c r="F198" s="18"/>
      <c r="G198" s="32"/>
      <c r="H198" s="33" t="str">
        <f>IF(G198="","",IF(F198="žena",ROMAN(MATCH(G198+1,'[1]Normy VP'!$Y$27:$Y$33,-1)),ROMAN(MATCH(G198+1,'[1]Normy VP'!$Y$19:$Y$25,-1))))</f>
        <v/>
      </c>
      <c r="I198" s="21"/>
      <c r="J198" s="22"/>
      <c r="K198" s="23"/>
      <c r="L198" s="23"/>
      <c r="M198" s="23"/>
      <c r="N198" s="22"/>
      <c r="O198" s="22"/>
      <c r="P198" s="24" t="str">
        <f>IF(OR($J198="",$J198="odešel"),IF(K198="","",IF($F198="žena",CHOOSE(_xlfn.ARABIC($H198),MATCH(K198+1,'[1]Normy VP'!$C$25:$F$25,-1),MATCH(K198+1,'[1]Normy VP'!$C$26:$F$26,-1),MATCH(K198+1,'[1]Normy VP'!$C$27:$F$27,-1),MATCH(K198+1,'[1]Normy VP'!$C$28:$F$28,-1),MATCH(K198+1,'[1]Normy VP'!$C$29:$F$29,-1),"muž"),CHOOSE(_xlfn.ARABIC($H198),MATCH(K198+1,'[1]Normy VP'!$C$10:$F$10,-1),MATCH(K198+1,'[1]Normy VP'!$C$11:$F$11,-1),MATCH(K198+1,'[1]Normy VP'!$C$12:$F$12,-1),MATCH(K198+1,'[1]Normy VP'!$C$13:$F$13,-1),MATCH(K198+1,'[1]Normy VP'!$C$14:$F$14,-1),""))),"O")</f>
        <v/>
      </c>
      <c r="Q198" s="24" t="str">
        <f>IF(OR($J198="",$J198="odešel"),IF($F198="žena","",IF(L198="","",(CHOOSE(_xlfn.ARABIC($H198),MATCH(L198+1,'[1]Normy VP'!$G$10:$J$10,-1),MATCH(L198+1,'[1]Normy VP'!$G$11:$J$11,-1),MATCH(L198+1,'[1]Normy VP'!$G$12:$J$12,-1),MATCH(L198+1,'[1]Normy VP'!$G$13:$J$13,-1),MATCH(L198+1,'[1]Normy VP'!$G$14:$J$14,-1),"")))),"O")</f>
        <v/>
      </c>
      <c r="R198" s="34" t="str">
        <f t="shared" si="13"/>
        <v>N</v>
      </c>
      <c r="S198" s="24" t="str">
        <f>IF(OR($J198="",$J198="odešel"),IF(M198="","N",IF($F198="žena",CHOOSE(_xlfn.ARABIC($H198),MATCH(M198+1,'[1]Normy VP'!$G$25:$J$25,-1),MATCH(M198+1,'[1]Normy VP'!$G$26:$J$26,-1),MATCH(M198+1,'[1]Normy VP'!$G$27:$J$27,-1),MATCH(M198+1,'[1]Normy VP'!$G$28:$J$28,-1),MATCH(M198+1,'[1]Normy VP'!$G$29:$J$29,-1),"muž"),(CHOOSE(_xlfn.ARABIC($H198),MATCH(M198+1,'[1]Normy VP'!$K$10:$N$10,-1),MATCH(M198+1,'[1]Normy VP'!$K$11:$N$11,-1),MATCH(M198+1,'[1]Normy VP'!$K$12:$N$12,-1),MATCH(M198+1,'[1]Normy VP'!$K$13:$N$13,-1),MATCH(M198+1,'[1]Normy VP'!$K$14:$N$14,-1),"")))),"O")</f>
        <v>N</v>
      </c>
      <c r="T198" s="34" t="str">
        <f t="shared" si="14"/>
        <v>N</v>
      </c>
      <c r="U198" s="24" t="str">
        <f>IF(OR($J198="",$J198="odešel"),IF(N198="","N",IF($F198="žena",CHOOSE(_xlfn.ARABIC($H198),MATCH(N198+1,'[1]Normy VP'!$K$25:$N$25,-1),MATCH(N198+1,'[1]Normy VP'!$K$26:$N$26,-1),MATCH(N198+1,'[1]Normy VP'!$K$27:$N$27,-1),MATCH(N198+1,'[1]Normy VP'!$K$28:$N$28,-1),MATCH(N198+1,'[1]Normy VP'!$K$29:$N$29,-1),MATCH(N198+1,'[1]Normy VP'!$K$30:$N$30,-1)),CHOOSE(_xlfn.ARABIC($H198),MATCH(N198+1,'[1]Normy VP'!$O$10:$R$10,-1),MATCH(N198+1,'[1]Normy VP'!$O$11:$R$11,-1),MATCH(N198+1,'[1]Normy VP'!$O$12:$R$12,-1),MATCH(N198+1,'[1]Normy VP'!$O$13:$R$13,-1),MATCH(N198+1,'[1]Normy VP'!$O$14:$R$14,-1),MATCH(N198+1,'[1]Normy VP'!$O$15:$R$15,-1)))),"O")</f>
        <v>N</v>
      </c>
      <c r="V198" s="26" t="str">
        <f>IF(OR($J198="",$J198="odešel"),IF(O198="","N",IF($F198="žena",CHOOSE(_xlfn.ARABIC($H198),MATCH(O198-1,'[1]Normy VP'!$O$25:$R$25),MATCH(O198-1,'[1]Normy VP'!$O$26:$R$26),MATCH(O198-1,'[1]Normy VP'!$O$27:$R$27),MATCH(O198-1,'[1]Normy VP'!$O$28:$R$28),MATCH(O198-1,'[1]Normy VP'!$O$29:$R$29),MATCH(O198-1,'[1]Normy VP'!$O$30:$R$30)),CHOOSE(_xlfn.ARABIC($H198),MATCH(O198-1,'[1]Normy VP'!$S$10:$V$10),MATCH(O198-1,'[1]Normy VP'!$S$11:$V$11),MATCH(O198-1,'[1]Normy VP'!$S$12:$V$12),MATCH(O198-1,'[1]Normy VP'!$S$13:$V$13),MATCH(O198-1,'[1]Normy VP'!$S$14:$V$14),MATCH(O198-1,'[1]Normy VP'!$S$15:$V$15)))),"O")</f>
        <v>N</v>
      </c>
      <c r="W198" s="34" t="str">
        <f t="shared" si="15"/>
        <v>N</v>
      </c>
      <c r="X198" s="27" t="str">
        <f>IF(COUNTIF(B198:G198,"")&gt;0,"",IF(COUNTIF([1]PP!$A:$A,A198)=0,"neni v PP",IF(OR(Y198="odešel",VLOOKUP(A198,[1]PP!$A:$W,22,FALSE)="odešel"),"odešel",IF(OR(Y198="N",VLOOKUP(A198,[1]PP!$A:$W,22,FALSE)="N"),"N",IF(OR(Y198="C",VLOOKUP(A198,[1]PP!$A:$W,22,FALSE)="C"),"C",IF(OR(Y198="DZO",VLOOKUP(A198,[1]PP!$A:$W,22,FALSE)="DZO"),"DZO",IF(OR(Y198="mise",Y198="disp.",Y198="končí",Y198="DSC",VLOOKUP(A198,[1]PP!$A:$W,22,FALSE)="mise",VLOOKUP(A198,[1]PP!$A:$W,22,FALSE)="disp.",VLOOKUP(A198,[1]PP!$A:$W,22,FALSE)="končí",VLOOKUP(A198,[1]PP!$A:$W,22,FALSE)="DSC"),"jiné",IF(OR(Y198=4,VLOOKUP(A198,[1]PP!$A:$W,22,FALSE)=4),4,IF(OR(Y198=3,VLOOKUP(A198,[1]PP!$A:$W,22,FALSE)=3),3,IF(OR(Y198=2,VLOOKUP(A198,[1]PP!$A:$W,22,FALSE)=2),2,IF(AND(Y198=1,VLOOKUP(A198,[1]PP!$A:$W,22,FALSE)=1),1)))))))))))</f>
        <v/>
      </c>
      <c r="Y198" s="28" t="str">
        <f>IF(COUNTIF(B198:G198,"")&gt;0,"",IF(COUNTIF([1]PP!$A:$A,A198)=0,"neni v PP",IF(VLOOKUP(A198,[1]PP!$A:$W,8,FALSE)="odešel","odešel",IF(F198="","",IF(J198="",IF(OR(T198=4,W198=4),4,IF(AND(T198="N",W198="N"),"N",IF(OR(T198="N",W198="N"),4,ROUND(AVERAGE(T198,W198),0)))),J198)))))</f>
        <v/>
      </c>
      <c r="Z198" s="29" t="str">
        <f>IF(COUNTIF(B198:G198,"")=0,IF(X198="neni v PP",CONCATENATE("ID: &lt;",A198,"&gt; se neshoduje s žádným IDem v kartě PP"),IF(COUNTIF($A:$A,A198)&gt;1,CONCATENATE("ID: &lt;",A198,"&gt; se v kartě VP opakuje. Je nutné tyto IDy od sebe odlišit, např. mezerou za příjmením."),IF(COUNTIF([1]PP!A:A,A198)&gt;1,CONCATENATE("ID: &lt;",A198,"&gt; se v kartě PP opakuje. Je nutné tyto IDy od sebe odlišit, např. mezerou za příjmením."),IF(VLOOKUP(A198,[1]PP!$A:$W,5,FALSE)&lt;&gt;E198,CONCATENATE($E$4," &lt;",E198,"&gt; se neshoduje s jednotkou v kartě PP"," &lt;",VLOOKUP(A198,[1]PP!$A:$W,5,FALSE),"&gt;"),IF(AND(COUNTIF(K198:O198,"")&lt;5,J198="",I198=""),CONCATENATE("Doplň: ",$I$4),IF(AND(YEAR(I198)&lt;&gt;$E$2,COUNTIF(I198,"")=0),CONCATENATE("špatně uveden &lt;",$D$2,"&gt; nebo &lt;",$I$4,"&gt;"),IF(OR(AND(OR(COUNTIF(C198,"*a"),COUNTIF(C198,"*ie"),COUNTIF(C198,"*ine"),COUNTIF(D198,"*Á")),F198="muž"),AND(AND(COUNTIF(C198,"&lt;&gt;"&amp;"*a"),COUNTIF(C198,"&lt;&gt;"&amp;"*ie"),COUNTIF(C198,"&lt;&gt;"&amp;"*ine"),COUNTIF(D198,"&lt;&gt;"&amp;"*Á")),F198="žena")),CONCATENATE(C198," ",D198," je ",F198,"?"),""))))))),IF(COUNTIF(B198:O198,"")=14,"",CONCATENATE("Doplň: ",IF(B198="",CONCATENATE($B$4,IF(COUNTIF(C198:G198,"")=0,"",", ")),""),IF(C198="",CONCATENATE($C$4,IF(COUNTIF(D198:G198,"")=0,"",", ")),""),IF(D198="",CONCATENATE($D$4,IF(COUNTIF(E198:G198,"")=0,"",", ")),""),IF(E198="",CONCATENATE($E$4,IF(COUNTIF(F198:G198,"")=0,"",", ")),""),IF(F198="",CONCATENATE($F$4,IF(G198="",", ","")),""),IF(G198="",$G$4,""))))</f>
        <v/>
      </c>
      <c r="AA198" s="30"/>
    </row>
    <row r="199" spans="1:27" ht="16" x14ac:dyDescent="0.35">
      <c r="A199" s="14" t="str">
        <f t="shared" si="12"/>
        <v xml:space="preserve">  </v>
      </c>
      <c r="B199" s="15"/>
      <c r="C199" s="31"/>
      <c r="D199" s="31"/>
      <c r="E199" s="17"/>
      <c r="F199" s="18"/>
      <c r="G199" s="32"/>
      <c r="H199" s="33" t="str">
        <f>IF(G199="","",IF(F199="žena",ROMAN(MATCH(G199+1,'[1]Normy VP'!$Y$27:$Y$33,-1)),ROMAN(MATCH(G199+1,'[1]Normy VP'!$Y$19:$Y$25,-1))))</f>
        <v/>
      </c>
      <c r="I199" s="21"/>
      <c r="J199" s="22"/>
      <c r="K199" s="23"/>
      <c r="L199" s="23"/>
      <c r="M199" s="23"/>
      <c r="N199" s="22"/>
      <c r="O199" s="22"/>
      <c r="P199" s="24" t="str">
        <f>IF(OR($J199="",$J199="odešel"),IF(K199="","",IF($F199="žena",CHOOSE(_xlfn.ARABIC($H199),MATCH(K199+1,'[1]Normy VP'!$C$25:$F$25,-1),MATCH(K199+1,'[1]Normy VP'!$C$26:$F$26,-1),MATCH(K199+1,'[1]Normy VP'!$C$27:$F$27,-1),MATCH(K199+1,'[1]Normy VP'!$C$28:$F$28,-1),MATCH(K199+1,'[1]Normy VP'!$C$29:$F$29,-1),"muž"),CHOOSE(_xlfn.ARABIC($H199),MATCH(K199+1,'[1]Normy VP'!$C$10:$F$10,-1),MATCH(K199+1,'[1]Normy VP'!$C$11:$F$11,-1),MATCH(K199+1,'[1]Normy VP'!$C$12:$F$12,-1),MATCH(K199+1,'[1]Normy VP'!$C$13:$F$13,-1),MATCH(K199+1,'[1]Normy VP'!$C$14:$F$14,-1),""))),"O")</f>
        <v/>
      </c>
      <c r="Q199" s="24" t="str">
        <f>IF(OR($J199="",$J199="odešel"),IF($F199="žena","",IF(L199="","",(CHOOSE(_xlfn.ARABIC($H199),MATCH(L199+1,'[1]Normy VP'!$G$10:$J$10,-1),MATCH(L199+1,'[1]Normy VP'!$G$11:$J$11,-1),MATCH(L199+1,'[1]Normy VP'!$G$12:$J$12,-1),MATCH(L199+1,'[1]Normy VP'!$G$13:$J$13,-1),MATCH(L199+1,'[1]Normy VP'!$G$14:$J$14,-1),"")))),"O")</f>
        <v/>
      </c>
      <c r="R199" s="34" t="str">
        <f t="shared" si="13"/>
        <v>N</v>
      </c>
      <c r="S199" s="24" t="str">
        <f>IF(OR($J199="",$J199="odešel"),IF(M199="","N",IF($F199="žena",CHOOSE(_xlfn.ARABIC($H199),MATCH(M199+1,'[1]Normy VP'!$G$25:$J$25,-1),MATCH(M199+1,'[1]Normy VP'!$G$26:$J$26,-1),MATCH(M199+1,'[1]Normy VP'!$G$27:$J$27,-1),MATCH(M199+1,'[1]Normy VP'!$G$28:$J$28,-1),MATCH(M199+1,'[1]Normy VP'!$G$29:$J$29,-1),"muž"),(CHOOSE(_xlfn.ARABIC($H199),MATCH(M199+1,'[1]Normy VP'!$K$10:$N$10,-1),MATCH(M199+1,'[1]Normy VP'!$K$11:$N$11,-1),MATCH(M199+1,'[1]Normy VP'!$K$12:$N$12,-1),MATCH(M199+1,'[1]Normy VP'!$K$13:$N$13,-1),MATCH(M199+1,'[1]Normy VP'!$K$14:$N$14,-1),"")))),"O")</f>
        <v>N</v>
      </c>
      <c r="T199" s="34" t="str">
        <f t="shared" si="14"/>
        <v>N</v>
      </c>
      <c r="U199" s="24" t="str">
        <f>IF(OR($J199="",$J199="odešel"),IF(N199="","N",IF($F199="žena",CHOOSE(_xlfn.ARABIC($H199),MATCH(N199+1,'[1]Normy VP'!$K$25:$N$25,-1),MATCH(N199+1,'[1]Normy VP'!$K$26:$N$26,-1),MATCH(N199+1,'[1]Normy VP'!$K$27:$N$27,-1),MATCH(N199+1,'[1]Normy VP'!$K$28:$N$28,-1),MATCH(N199+1,'[1]Normy VP'!$K$29:$N$29,-1),MATCH(N199+1,'[1]Normy VP'!$K$30:$N$30,-1)),CHOOSE(_xlfn.ARABIC($H199),MATCH(N199+1,'[1]Normy VP'!$O$10:$R$10,-1),MATCH(N199+1,'[1]Normy VP'!$O$11:$R$11,-1),MATCH(N199+1,'[1]Normy VP'!$O$12:$R$12,-1),MATCH(N199+1,'[1]Normy VP'!$O$13:$R$13,-1),MATCH(N199+1,'[1]Normy VP'!$O$14:$R$14,-1),MATCH(N199+1,'[1]Normy VP'!$O$15:$R$15,-1)))),"O")</f>
        <v>N</v>
      </c>
      <c r="V199" s="26" t="str">
        <f>IF(OR($J199="",$J199="odešel"),IF(O199="","N",IF($F199="žena",CHOOSE(_xlfn.ARABIC($H199),MATCH(O199-1,'[1]Normy VP'!$O$25:$R$25),MATCH(O199-1,'[1]Normy VP'!$O$26:$R$26),MATCH(O199-1,'[1]Normy VP'!$O$27:$R$27),MATCH(O199-1,'[1]Normy VP'!$O$28:$R$28),MATCH(O199-1,'[1]Normy VP'!$O$29:$R$29),MATCH(O199-1,'[1]Normy VP'!$O$30:$R$30)),CHOOSE(_xlfn.ARABIC($H199),MATCH(O199-1,'[1]Normy VP'!$S$10:$V$10),MATCH(O199-1,'[1]Normy VP'!$S$11:$V$11),MATCH(O199-1,'[1]Normy VP'!$S$12:$V$12),MATCH(O199-1,'[1]Normy VP'!$S$13:$V$13),MATCH(O199-1,'[1]Normy VP'!$S$14:$V$14),MATCH(O199-1,'[1]Normy VP'!$S$15:$V$15)))),"O")</f>
        <v>N</v>
      </c>
      <c r="W199" s="34" t="str">
        <f t="shared" si="15"/>
        <v>N</v>
      </c>
      <c r="X199" s="27" t="str">
        <f>IF(COUNTIF(B199:G199,"")&gt;0,"",IF(COUNTIF([1]PP!$A:$A,A199)=0,"neni v PP",IF(OR(Y199="odešel",VLOOKUP(A199,[1]PP!$A:$W,22,FALSE)="odešel"),"odešel",IF(OR(Y199="N",VLOOKUP(A199,[1]PP!$A:$W,22,FALSE)="N"),"N",IF(OR(Y199="C",VLOOKUP(A199,[1]PP!$A:$W,22,FALSE)="C"),"C",IF(OR(Y199="DZO",VLOOKUP(A199,[1]PP!$A:$W,22,FALSE)="DZO"),"DZO",IF(OR(Y199="mise",Y199="disp.",Y199="končí",Y199="DSC",VLOOKUP(A199,[1]PP!$A:$W,22,FALSE)="mise",VLOOKUP(A199,[1]PP!$A:$W,22,FALSE)="disp.",VLOOKUP(A199,[1]PP!$A:$W,22,FALSE)="končí",VLOOKUP(A199,[1]PP!$A:$W,22,FALSE)="DSC"),"jiné",IF(OR(Y199=4,VLOOKUP(A199,[1]PP!$A:$W,22,FALSE)=4),4,IF(OR(Y199=3,VLOOKUP(A199,[1]PP!$A:$W,22,FALSE)=3),3,IF(OR(Y199=2,VLOOKUP(A199,[1]PP!$A:$W,22,FALSE)=2),2,IF(AND(Y199=1,VLOOKUP(A199,[1]PP!$A:$W,22,FALSE)=1),1)))))))))))</f>
        <v/>
      </c>
      <c r="Y199" s="28" t="str">
        <f>IF(COUNTIF(B199:G199,"")&gt;0,"",IF(COUNTIF([1]PP!$A:$A,A199)=0,"neni v PP",IF(VLOOKUP(A199,[1]PP!$A:$W,8,FALSE)="odešel","odešel",IF(F199="","",IF(J199="",IF(OR(T199=4,W199=4),4,IF(AND(T199="N",W199="N"),"N",IF(OR(T199="N",W199="N"),4,ROUND(AVERAGE(T199,W199),0)))),J199)))))</f>
        <v/>
      </c>
      <c r="Z199" s="29" t="str">
        <f>IF(COUNTIF(B199:G199,"")=0,IF(X199="neni v PP",CONCATENATE("ID: &lt;",A199,"&gt; se neshoduje s žádným IDem v kartě PP"),IF(COUNTIF($A:$A,A199)&gt;1,CONCATENATE("ID: &lt;",A199,"&gt; se v kartě VP opakuje. Je nutné tyto IDy od sebe odlišit, např. mezerou za příjmením."),IF(COUNTIF([1]PP!A:A,A199)&gt;1,CONCATENATE("ID: &lt;",A199,"&gt; se v kartě PP opakuje. Je nutné tyto IDy od sebe odlišit, např. mezerou za příjmením."),IF(VLOOKUP(A199,[1]PP!$A:$W,5,FALSE)&lt;&gt;E199,CONCATENATE($E$4," &lt;",E199,"&gt; se neshoduje s jednotkou v kartě PP"," &lt;",VLOOKUP(A199,[1]PP!$A:$W,5,FALSE),"&gt;"),IF(AND(COUNTIF(K199:O199,"")&lt;5,J199="",I199=""),CONCATENATE("Doplň: ",$I$4),IF(AND(YEAR(I199)&lt;&gt;$E$2,COUNTIF(I199,"")=0),CONCATENATE("špatně uveden &lt;",$D$2,"&gt; nebo &lt;",$I$4,"&gt;"),IF(OR(AND(OR(COUNTIF(C199,"*a"),COUNTIF(C199,"*ie"),COUNTIF(C199,"*ine"),COUNTIF(D199,"*Á")),F199="muž"),AND(AND(COUNTIF(C199,"&lt;&gt;"&amp;"*a"),COUNTIF(C199,"&lt;&gt;"&amp;"*ie"),COUNTIF(C199,"&lt;&gt;"&amp;"*ine"),COUNTIF(D199,"&lt;&gt;"&amp;"*Á")),F199="žena")),CONCATENATE(C199," ",D199," je ",F199,"?"),""))))))),IF(COUNTIF(B199:O199,"")=14,"",CONCATENATE("Doplň: ",IF(B199="",CONCATENATE($B$4,IF(COUNTIF(C199:G199,"")=0,"",", ")),""),IF(C199="",CONCATENATE($C$4,IF(COUNTIF(D199:G199,"")=0,"",", ")),""),IF(D199="",CONCATENATE($D$4,IF(COUNTIF(E199:G199,"")=0,"",", ")),""),IF(E199="",CONCATENATE($E$4,IF(COUNTIF(F199:G199,"")=0,"",", ")),""),IF(F199="",CONCATENATE($F$4,IF(G199="",", ","")),""),IF(G199="",$G$4,""))))</f>
        <v/>
      </c>
      <c r="AA199" s="30"/>
    </row>
    <row r="200" spans="1:27" ht="16" x14ac:dyDescent="0.35">
      <c r="A200" s="14" t="str">
        <f t="shared" si="12"/>
        <v xml:space="preserve">  </v>
      </c>
      <c r="B200" s="15"/>
      <c r="C200" s="31"/>
      <c r="D200" s="31"/>
      <c r="E200" s="17"/>
      <c r="F200" s="18"/>
      <c r="G200" s="32"/>
      <c r="H200" s="33" t="str">
        <f>IF(G200="","",IF(F200="žena",ROMAN(MATCH(G200+1,'[1]Normy VP'!$Y$27:$Y$33,-1)),ROMAN(MATCH(G200+1,'[1]Normy VP'!$Y$19:$Y$25,-1))))</f>
        <v/>
      </c>
      <c r="I200" s="21"/>
      <c r="J200" s="22"/>
      <c r="K200" s="23"/>
      <c r="L200" s="23"/>
      <c r="M200" s="23"/>
      <c r="N200" s="22"/>
      <c r="O200" s="22"/>
      <c r="P200" s="24" t="str">
        <f>IF(OR($J200="",$J200="odešel"),IF(K200="","",IF($F200="žena",CHOOSE(_xlfn.ARABIC($H200),MATCH(K200+1,'[1]Normy VP'!$C$25:$F$25,-1),MATCH(K200+1,'[1]Normy VP'!$C$26:$F$26,-1),MATCH(K200+1,'[1]Normy VP'!$C$27:$F$27,-1),MATCH(K200+1,'[1]Normy VP'!$C$28:$F$28,-1),MATCH(K200+1,'[1]Normy VP'!$C$29:$F$29,-1),"muž"),CHOOSE(_xlfn.ARABIC($H200),MATCH(K200+1,'[1]Normy VP'!$C$10:$F$10,-1),MATCH(K200+1,'[1]Normy VP'!$C$11:$F$11,-1),MATCH(K200+1,'[1]Normy VP'!$C$12:$F$12,-1),MATCH(K200+1,'[1]Normy VP'!$C$13:$F$13,-1),MATCH(K200+1,'[1]Normy VP'!$C$14:$F$14,-1),""))),"O")</f>
        <v/>
      </c>
      <c r="Q200" s="24" t="str">
        <f>IF(OR($J200="",$J200="odešel"),IF($F200="žena","",IF(L200="","",(CHOOSE(_xlfn.ARABIC($H200),MATCH(L200+1,'[1]Normy VP'!$G$10:$J$10,-1),MATCH(L200+1,'[1]Normy VP'!$G$11:$J$11,-1),MATCH(L200+1,'[1]Normy VP'!$G$12:$J$12,-1),MATCH(L200+1,'[1]Normy VP'!$G$13:$J$13,-1),MATCH(L200+1,'[1]Normy VP'!$G$14:$J$14,-1),"")))),"O")</f>
        <v/>
      </c>
      <c r="R200" s="34" t="str">
        <f t="shared" si="13"/>
        <v>N</v>
      </c>
      <c r="S200" s="24" t="str">
        <f>IF(OR($J200="",$J200="odešel"),IF(M200="","N",IF($F200="žena",CHOOSE(_xlfn.ARABIC($H200),MATCH(M200+1,'[1]Normy VP'!$G$25:$J$25,-1),MATCH(M200+1,'[1]Normy VP'!$G$26:$J$26,-1),MATCH(M200+1,'[1]Normy VP'!$G$27:$J$27,-1),MATCH(M200+1,'[1]Normy VP'!$G$28:$J$28,-1),MATCH(M200+1,'[1]Normy VP'!$G$29:$J$29,-1),"muž"),(CHOOSE(_xlfn.ARABIC($H200),MATCH(M200+1,'[1]Normy VP'!$K$10:$N$10,-1),MATCH(M200+1,'[1]Normy VP'!$K$11:$N$11,-1),MATCH(M200+1,'[1]Normy VP'!$K$12:$N$12,-1),MATCH(M200+1,'[1]Normy VP'!$K$13:$N$13,-1),MATCH(M200+1,'[1]Normy VP'!$K$14:$N$14,-1),"")))),"O")</f>
        <v>N</v>
      </c>
      <c r="T200" s="34" t="str">
        <f t="shared" si="14"/>
        <v>N</v>
      </c>
      <c r="U200" s="24" t="str">
        <f>IF(OR($J200="",$J200="odešel"),IF(N200="","N",IF($F200="žena",CHOOSE(_xlfn.ARABIC($H200),MATCH(N200+1,'[1]Normy VP'!$K$25:$N$25,-1),MATCH(N200+1,'[1]Normy VP'!$K$26:$N$26,-1),MATCH(N200+1,'[1]Normy VP'!$K$27:$N$27,-1),MATCH(N200+1,'[1]Normy VP'!$K$28:$N$28,-1),MATCH(N200+1,'[1]Normy VP'!$K$29:$N$29,-1),MATCH(N200+1,'[1]Normy VP'!$K$30:$N$30,-1)),CHOOSE(_xlfn.ARABIC($H200),MATCH(N200+1,'[1]Normy VP'!$O$10:$R$10,-1),MATCH(N200+1,'[1]Normy VP'!$O$11:$R$11,-1),MATCH(N200+1,'[1]Normy VP'!$O$12:$R$12,-1),MATCH(N200+1,'[1]Normy VP'!$O$13:$R$13,-1),MATCH(N200+1,'[1]Normy VP'!$O$14:$R$14,-1),MATCH(N200+1,'[1]Normy VP'!$O$15:$R$15,-1)))),"O")</f>
        <v>N</v>
      </c>
      <c r="V200" s="26" t="str">
        <f>IF(OR($J200="",$J200="odešel"),IF(O200="","N",IF($F200="žena",CHOOSE(_xlfn.ARABIC($H200),MATCH(O200-1,'[1]Normy VP'!$O$25:$R$25),MATCH(O200-1,'[1]Normy VP'!$O$26:$R$26),MATCH(O200-1,'[1]Normy VP'!$O$27:$R$27),MATCH(O200-1,'[1]Normy VP'!$O$28:$R$28),MATCH(O200-1,'[1]Normy VP'!$O$29:$R$29),MATCH(O200-1,'[1]Normy VP'!$O$30:$R$30)),CHOOSE(_xlfn.ARABIC($H200),MATCH(O200-1,'[1]Normy VP'!$S$10:$V$10),MATCH(O200-1,'[1]Normy VP'!$S$11:$V$11),MATCH(O200-1,'[1]Normy VP'!$S$12:$V$12),MATCH(O200-1,'[1]Normy VP'!$S$13:$V$13),MATCH(O200-1,'[1]Normy VP'!$S$14:$V$14),MATCH(O200-1,'[1]Normy VP'!$S$15:$V$15)))),"O")</f>
        <v>N</v>
      </c>
      <c r="W200" s="34" t="str">
        <f t="shared" si="15"/>
        <v>N</v>
      </c>
      <c r="X200" s="27" t="str">
        <f>IF(COUNTIF(B200:G200,"")&gt;0,"",IF(COUNTIF([1]PP!$A:$A,A200)=0,"neni v PP",IF(OR(Y200="odešel",VLOOKUP(A200,[1]PP!$A:$W,22,FALSE)="odešel"),"odešel",IF(OR(Y200="N",VLOOKUP(A200,[1]PP!$A:$W,22,FALSE)="N"),"N",IF(OR(Y200="C",VLOOKUP(A200,[1]PP!$A:$W,22,FALSE)="C"),"C",IF(OR(Y200="DZO",VLOOKUP(A200,[1]PP!$A:$W,22,FALSE)="DZO"),"DZO",IF(OR(Y200="mise",Y200="disp.",Y200="končí",Y200="DSC",VLOOKUP(A200,[1]PP!$A:$W,22,FALSE)="mise",VLOOKUP(A200,[1]PP!$A:$W,22,FALSE)="disp.",VLOOKUP(A200,[1]PP!$A:$W,22,FALSE)="končí",VLOOKUP(A200,[1]PP!$A:$W,22,FALSE)="DSC"),"jiné",IF(OR(Y200=4,VLOOKUP(A200,[1]PP!$A:$W,22,FALSE)=4),4,IF(OR(Y200=3,VLOOKUP(A200,[1]PP!$A:$W,22,FALSE)=3),3,IF(OR(Y200=2,VLOOKUP(A200,[1]PP!$A:$W,22,FALSE)=2),2,IF(AND(Y200=1,VLOOKUP(A200,[1]PP!$A:$W,22,FALSE)=1),1)))))))))))</f>
        <v/>
      </c>
      <c r="Y200" s="28" t="str">
        <f>IF(COUNTIF(B200:G200,"")&gt;0,"",IF(COUNTIF([1]PP!$A:$A,A200)=0,"neni v PP",IF(VLOOKUP(A200,[1]PP!$A:$W,8,FALSE)="odešel","odešel",IF(F200="","",IF(J200="",IF(OR(T200=4,W200=4),4,IF(AND(T200="N",W200="N"),"N",IF(OR(T200="N",W200="N"),4,ROUND(AVERAGE(T200,W200),0)))),J200)))))</f>
        <v/>
      </c>
      <c r="Z200" s="29" t="str">
        <f>IF(COUNTIF(B200:G200,"")=0,IF(X200="neni v PP",CONCATENATE("ID: &lt;",A200,"&gt; se neshoduje s žádným IDem v kartě PP"),IF(COUNTIF($A:$A,A200)&gt;1,CONCATENATE("ID: &lt;",A200,"&gt; se v kartě VP opakuje. Je nutné tyto IDy od sebe odlišit, např. mezerou za příjmením."),IF(COUNTIF([1]PP!A:A,A200)&gt;1,CONCATENATE("ID: &lt;",A200,"&gt; se v kartě PP opakuje. Je nutné tyto IDy od sebe odlišit, např. mezerou za příjmením."),IF(VLOOKUP(A200,[1]PP!$A:$W,5,FALSE)&lt;&gt;E200,CONCATENATE($E$4," &lt;",E200,"&gt; se neshoduje s jednotkou v kartě PP"," &lt;",VLOOKUP(A200,[1]PP!$A:$W,5,FALSE),"&gt;"),IF(AND(COUNTIF(K200:O200,"")&lt;5,J200="",I200=""),CONCATENATE("Doplň: ",$I$4),IF(AND(YEAR(I200)&lt;&gt;$E$2,COUNTIF(I200,"")=0),CONCATENATE("špatně uveden &lt;",$D$2,"&gt; nebo &lt;",$I$4,"&gt;"),IF(OR(AND(OR(COUNTIF(C200,"*a"),COUNTIF(C200,"*ie"),COUNTIF(C200,"*ine"),COUNTIF(D200,"*Á")),F200="muž"),AND(AND(COUNTIF(C200,"&lt;&gt;"&amp;"*a"),COUNTIF(C200,"&lt;&gt;"&amp;"*ie"),COUNTIF(C200,"&lt;&gt;"&amp;"*ine"),COUNTIF(D200,"&lt;&gt;"&amp;"*Á")),F200="žena")),CONCATENATE(C200," ",D200," je ",F200,"?"),""))))))),IF(COUNTIF(B200:O200,"")=14,"",CONCATENATE("Doplň: ",IF(B200="",CONCATENATE($B$4,IF(COUNTIF(C200:G200,"")=0,"",", ")),""),IF(C200="",CONCATENATE($C$4,IF(COUNTIF(D200:G200,"")=0,"",", ")),""),IF(D200="",CONCATENATE($D$4,IF(COUNTIF(E200:G200,"")=0,"",", ")),""),IF(E200="",CONCATENATE($E$4,IF(COUNTIF(F200:G200,"")=0,"",", ")),""),IF(F200="",CONCATENATE($F$4,IF(G200="",", ","")),""),IF(G200="",$G$4,""))))</f>
        <v/>
      </c>
      <c r="AA200" s="30"/>
    </row>
    <row r="201" spans="1:27" ht="16" x14ac:dyDescent="0.35">
      <c r="A201" s="14" t="str">
        <f t="shared" si="12"/>
        <v xml:space="preserve">  </v>
      </c>
      <c r="B201" s="15"/>
      <c r="C201" s="31"/>
      <c r="D201" s="31"/>
      <c r="E201" s="17"/>
      <c r="F201" s="18"/>
      <c r="G201" s="32"/>
      <c r="H201" s="33" t="str">
        <f>IF(G201="","",IF(F201="žena",ROMAN(MATCH(G201+1,'[1]Normy VP'!$Y$27:$Y$33,-1)),ROMAN(MATCH(G201+1,'[1]Normy VP'!$Y$19:$Y$25,-1))))</f>
        <v/>
      </c>
      <c r="I201" s="21"/>
      <c r="J201" s="22"/>
      <c r="K201" s="23"/>
      <c r="L201" s="23"/>
      <c r="M201" s="23"/>
      <c r="N201" s="22"/>
      <c r="O201" s="22"/>
      <c r="P201" s="24" t="str">
        <f>IF(OR($J201="",$J201="odešel"),IF(K201="","",IF($F201="žena",CHOOSE(_xlfn.ARABIC($H201),MATCH(K201+1,'[1]Normy VP'!$C$25:$F$25,-1),MATCH(K201+1,'[1]Normy VP'!$C$26:$F$26,-1),MATCH(K201+1,'[1]Normy VP'!$C$27:$F$27,-1),MATCH(K201+1,'[1]Normy VP'!$C$28:$F$28,-1),MATCH(K201+1,'[1]Normy VP'!$C$29:$F$29,-1),"muž"),CHOOSE(_xlfn.ARABIC($H201),MATCH(K201+1,'[1]Normy VP'!$C$10:$F$10,-1),MATCH(K201+1,'[1]Normy VP'!$C$11:$F$11,-1),MATCH(K201+1,'[1]Normy VP'!$C$12:$F$12,-1),MATCH(K201+1,'[1]Normy VP'!$C$13:$F$13,-1),MATCH(K201+1,'[1]Normy VP'!$C$14:$F$14,-1),""))),"O")</f>
        <v/>
      </c>
      <c r="Q201" s="24" t="str">
        <f>IF(OR($J201="",$J201="odešel"),IF($F201="žena","",IF(L201="","",(CHOOSE(_xlfn.ARABIC($H201),MATCH(L201+1,'[1]Normy VP'!$G$10:$J$10,-1),MATCH(L201+1,'[1]Normy VP'!$G$11:$J$11,-1),MATCH(L201+1,'[1]Normy VP'!$G$12:$J$12,-1),MATCH(L201+1,'[1]Normy VP'!$G$13:$J$13,-1),MATCH(L201+1,'[1]Normy VP'!$G$14:$J$14,-1),"")))),"O")</f>
        <v/>
      </c>
      <c r="R201" s="34" t="str">
        <f t="shared" si="13"/>
        <v>N</v>
      </c>
      <c r="S201" s="24" t="str">
        <f>IF(OR($J201="",$J201="odešel"),IF(M201="","N",IF($F201="žena",CHOOSE(_xlfn.ARABIC($H201),MATCH(M201+1,'[1]Normy VP'!$G$25:$J$25,-1),MATCH(M201+1,'[1]Normy VP'!$G$26:$J$26,-1),MATCH(M201+1,'[1]Normy VP'!$G$27:$J$27,-1),MATCH(M201+1,'[1]Normy VP'!$G$28:$J$28,-1),MATCH(M201+1,'[1]Normy VP'!$G$29:$J$29,-1),"muž"),(CHOOSE(_xlfn.ARABIC($H201),MATCH(M201+1,'[1]Normy VP'!$K$10:$N$10,-1),MATCH(M201+1,'[1]Normy VP'!$K$11:$N$11,-1),MATCH(M201+1,'[1]Normy VP'!$K$12:$N$12,-1),MATCH(M201+1,'[1]Normy VP'!$K$13:$N$13,-1),MATCH(M201+1,'[1]Normy VP'!$K$14:$N$14,-1),"")))),"O")</f>
        <v>N</v>
      </c>
      <c r="T201" s="34" t="str">
        <f t="shared" si="14"/>
        <v>N</v>
      </c>
      <c r="U201" s="24" t="str">
        <f>IF(OR($J201="",$J201="odešel"),IF(N201="","N",IF($F201="žena",CHOOSE(_xlfn.ARABIC($H201),MATCH(N201+1,'[1]Normy VP'!$K$25:$N$25,-1),MATCH(N201+1,'[1]Normy VP'!$K$26:$N$26,-1),MATCH(N201+1,'[1]Normy VP'!$K$27:$N$27,-1),MATCH(N201+1,'[1]Normy VP'!$K$28:$N$28,-1),MATCH(N201+1,'[1]Normy VP'!$K$29:$N$29,-1),MATCH(N201+1,'[1]Normy VP'!$K$30:$N$30,-1)),CHOOSE(_xlfn.ARABIC($H201),MATCH(N201+1,'[1]Normy VP'!$O$10:$R$10,-1),MATCH(N201+1,'[1]Normy VP'!$O$11:$R$11,-1),MATCH(N201+1,'[1]Normy VP'!$O$12:$R$12,-1),MATCH(N201+1,'[1]Normy VP'!$O$13:$R$13,-1),MATCH(N201+1,'[1]Normy VP'!$O$14:$R$14,-1),MATCH(N201+1,'[1]Normy VP'!$O$15:$R$15,-1)))),"O")</f>
        <v>N</v>
      </c>
      <c r="V201" s="26" t="str">
        <f>IF(OR($J201="",$J201="odešel"),IF(O201="","N",IF($F201="žena",CHOOSE(_xlfn.ARABIC($H201),MATCH(O201-1,'[1]Normy VP'!$O$25:$R$25),MATCH(O201-1,'[1]Normy VP'!$O$26:$R$26),MATCH(O201-1,'[1]Normy VP'!$O$27:$R$27),MATCH(O201-1,'[1]Normy VP'!$O$28:$R$28),MATCH(O201-1,'[1]Normy VP'!$O$29:$R$29),MATCH(O201-1,'[1]Normy VP'!$O$30:$R$30)),CHOOSE(_xlfn.ARABIC($H201),MATCH(O201-1,'[1]Normy VP'!$S$10:$V$10),MATCH(O201-1,'[1]Normy VP'!$S$11:$V$11),MATCH(O201-1,'[1]Normy VP'!$S$12:$V$12),MATCH(O201-1,'[1]Normy VP'!$S$13:$V$13),MATCH(O201-1,'[1]Normy VP'!$S$14:$V$14),MATCH(O201-1,'[1]Normy VP'!$S$15:$V$15)))),"O")</f>
        <v>N</v>
      </c>
      <c r="W201" s="34" t="str">
        <f t="shared" si="15"/>
        <v>N</v>
      </c>
      <c r="X201" s="27" t="str">
        <f>IF(COUNTIF(B201:G201,"")&gt;0,"",IF(COUNTIF([1]PP!$A:$A,A201)=0,"neni v PP",IF(OR(Y201="odešel",VLOOKUP(A201,[1]PP!$A:$W,22,FALSE)="odešel"),"odešel",IF(OR(Y201="N",VLOOKUP(A201,[1]PP!$A:$W,22,FALSE)="N"),"N",IF(OR(Y201="C",VLOOKUP(A201,[1]PP!$A:$W,22,FALSE)="C"),"C",IF(OR(Y201="DZO",VLOOKUP(A201,[1]PP!$A:$W,22,FALSE)="DZO"),"DZO",IF(OR(Y201="mise",Y201="disp.",Y201="končí",Y201="DSC",VLOOKUP(A201,[1]PP!$A:$W,22,FALSE)="mise",VLOOKUP(A201,[1]PP!$A:$W,22,FALSE)="disp.",VLOOKUP(A201,[1]PP!$A:$W,22,FALSE)="končí",VLOOKUP(A201,[1]PP!$A:$W,22,FALSE)="DSC"),"jiné",IF(OR(Y201=4,VLOOKUP(A201,[1]PP!$A:$W,22,FALSE)=4),4,IF(OR(Y201=3,VLOOKUP(A201,[1]PP!$A:$W,22,FALSE)=3),3,IF(OR(Y201=2,VLOOKUP(A201,[1]PP!$A:$W,22,FALSE)=2),2,IF(AND(Y201=1,VLOOKUP(A201,[1]PP!$A:$W,22,FALSE)=1),1)))))))))))</f>
        <v/>
      </c>
      <c r="Y201" s="28" t="str">
        <f>IF(COUNTIF(B201:G201,"")&gt;0,"",IF(COUNTIF([1]PP!$A:$A,A201)=0,"neni v PP",IF(VLOOKUP(A201,[1]PP!$A:$W,8,FALSE)="odešel","odešel",IF(F201="","",IF(J201="",IF(OR(T201=4,W201=4),4,IF(AND(T201="N",W201="N"),"N",IF(OR(T201="N",W201="N"),4,ROUND(AVERAGE(T201,W201),0)))),J201)))))</f>
        <v/>
      </c>
      <c r="Z201" s="29" t="str">
        <f>IF(COUNTIF(B201:G201,"")=0,IF(X201="neni v PP",CONCATENATE("ID: &lt;",A201,"&gt; se neshoduje s žádným IDem v kartě PP"),IF(COUNTIF($A:$A,A201)&gt;1,CONCATENATE("ID: &lt;",A201,"&gt; se v kartě VP opakuje. Je nutné tyto IDy od sebe odlišit, např. mezerou za příjmením."),IF(COUNTIF([1]PP!A:A,A201)&gt;1,CONCATENATE("ID: &lt;",A201,"&gt; se v kartě PP opakuje. Je nutné tyto IDy od sebe odlišit, např. mezerou za příjmením."),IF(VLOOKUP(A201,[1]PP!$A:$W,5,FALSE)&lt;&gt;E201,CONCATENATE($E$4," &lt;",E201,"&gt; se neshoduje s jednotkou v kartě PP"," &lt;",VLOOKUP(A201,[1]PP!$A:$W,5,FALSE),"&gt;"),IF(AND(COUNTIF(K201:O201,"")&lt;5,J201="",I201=""),CONCATENATE("Doplň: ",$I$4),IF(AND(YEAR(I201)&lt;&gt;$E$2,COUNTIF(I201,"")=0),CONCATENATE("špatně uveden &lt;",$D$2,"&gt; nebo &lt;",$I$4,"&gt;"),IF(OR(AND(OR(COUNTIF(C201,"*a"),COUNTIF(C201,"*ie"),COUNTIF(C201,"*ine"),COUNTIF(D201,"*Á")),F201="muž"),AND(AND(COUNTIF(C201,"&lt;&gt;"&amp;"*a"),COUNTIF(C201,"&lt;&gt;"&amp;"*ie"),COUNTIF(C201,"&lt;&gt;"&amp;"*ine"),COUNTIF(D201,"&lt;&gt;"&amp;"*Á")),F201="žena")),CONCATENATE(C201," ",D201," je ",F201,"?"),""))))))),IF(COUNTIF(B201:O201,"")=14,"",CONCATENATE("Doplň: ",IF(B201="",CONCATENATE($B$4,IF(COUNTIF(C201:G201,"")=0,"",", ")),""),IF(C201="",CONCATENATE($C$4,IF(COUNTIF(D201:G201,"")=0,"",", ")),""),IF(D201="",CONCATENATE($D$4,IF(COUNTIF(E201:G201,"")=0,"",", ")),""),IF(E201="",CONCATENATE($E$4,IF(COUNTIF(F201:G201,"")=0,"",", ")),""),IF(F201="",CONCATENATE($F$4,IF(G201="",", ","")),""),IF(G201="",$G$4,""))))</f>
        <v/>
      </c>
      <c r="AA201" s="30"/>
    </row>
    <row r="202" spans="1:27" ht="16" x14ac:dyDescent="0.35">
      <c r="A202" s="14" t="str">
        <f t="shared" si="12"/>
        <v xml:space="preserve">  </v>
      </c>
      <c r="B202" s="15"/>
      <c r="C202" s="31"/>
      <c r="D202" s="31"/>
      <c r="E202" s="17"/>
      <c r="F202" s="18"/>
      <c r="G202" s="32"/>
      <c r="H202" s="33" t="str">
        <f>IF(G202="","",IF(F202="žena",ROMAN(MATCH(G202+1,'[1]Normy VP'!$Y$27:$Y$33,-1)),ROMAN(MATCH(G202+1,'[1]Normy VP'!$Y$19:$Y$25,-1))))</f>
        <v/>
      </c>
      <c r="I202" s="21"/>
      <c r="J202" s="22"/>
      <c r="K202" s="23"/>
      <c r="L202" s="23"/>
      <c r="M202" s="23"/>
      <c r="N202" s="22"/>
      <c r="O202" s="22"/>
      <c r="P202" s="24" t="str">
        <f>IF(OR($J202="",$J202="odešel"),IF(K202="","",IF($F202="žena",CHOOSE(_xlfn.ARABIC($H202),MATCH(K202+1,'[1]Normy VP'!$C$25:$F$25,-1),MATCH(K202+1,'[1]Normy VP'!$C$26:$F$26,-1),MATCH(K202+1,'[1]Normy VP'!$C$27:$F$27,-1),MATCH(K202+1,'[1]Normy VP'!$C$28:$F$28,-1),MATCH(K202+1,'[1]Normy VP'!$C$29:$F$29,-1),"muž"),CHOOSE(_xlfn.ARABIC($H202),MATCH(K202+1,'[1]Normy VP'!$C$10:$F$10,-1),MATCH(K202+1,'[1]Normy VP'!$C$11:$F$11,-1),MATCH(K202+1,'[1]Normy VP'!$C$12:$F$12,-1),MATCH(K202+1,'[1]Normy VP'!$C$13:$F$13,-1),MATCH(K202+1,'[1]Normy VP'!$C$14:$F$14,-1),""))),"O")</f>
        <v/>
      </c>
      <c r="Q202" s="24" t="str">
        <f>IF(OR($J202="",$J202="odešel"),IF($F202="žena","",IF(L202="","",(CHOOSE(_xlfn.ARABIC($H202),MATCH(L202+1,'[1]Normy VP'!$G$10:$J$10,-1),MATCH(L202+1,'[1]Normy VP'!$G$11:$J$11,-1),MATCH(L202+1,'[1]Normy VP'!$G$12:$J$12,-1),MATCH(L202+1,'[1]Normy VP'!$G$13:$J$13,-1),MATCH(L202+1,'[1]Normy VP'!$G$14:$J$14,-1),"")))),"O")</f>
        <v/>
      </c>
      <c r="R202" s="34" t="str">
        <f t="shared" si="13"/>
        <v>N</v>
      </c>
      <c r="S202" s="24" t="str">
        <f>IF(OR($J202="",$J202="odešel"),IF(M202="","N",IF($F202="žena",CHOOSE(_xlfn.ARABIC($H202),MATCH(M202+1,'[1]Normy VP'!$G$25:$J$25,-1),MATCH(M202+1,'[1]Normy VP'!$G$26:$J$26,-1),MATCH(M202+1,'[1]Normy VP'!$G$27:$J$27,-1),MATCH(M202+1,'[1]Normy VP'!$G$28:$J$28,-1),MATCH(M202+1,'[1]Normy VP'!$G$29:$J$29,-1),"muž"),(CHOOSE(_xlfn.ARABIC($H202),MATCH(M202+1,'[1]Normy VP'!$K$10:$N$10,-1),MATCH(M202+1,'[1]Normy VP'!$K$11:$N$11,-1),MATCH(M202+1,'[1]Normy VP'!$K$12:$N$12,-1),MATCH(M202+1,'[1]Normy VP'!$K$13:$N$13,-1),MATCH(M202+1,'[1]Normy VP'!$K$14:$N$14,-1),"")))),"O")</f>
        <v>N</v>
      </c>
      <c r="T202" s="34" t="str">
        <f t="shared" si="14"/>
        <v>N</v>
      </c>
      <c r="U202" s="24" t="str">
        <f>IF(OR($J202="",$J202="odešel"),IF(N202="","N",IF($F202="žena",CHOOSE(_xlfn.ARABIC($H202),MATCH(N202+1,'[1]Normy VP'!$K$25:$N$25,-1),MATCH(N202+1,'[1]Normy VP'!$K$26:$N$26,-1),MATCH(N202+1,'[1]Normy VP'!$K$27:$N$27,-1),MATCH(N202+1,'[1]Normy VP'!$K$28:$N$28,-1),MATCH(N202+1,'[1]Normy VP'!$K$29:$N$29,-1),MATCH(N202+1,'[1]Normy VP'!$K$30:$N$30,-1)),CHOOSE(_xlfn.ARABIC($H202),MATCH(N202+1,'[1]Normy VP'!$O$10:$R$10,-1),MATCH(N202+1,'[1]Normy VP'!$O$11:$R$11,-1),MATCH(N202+1,'[1]Normy VP'!$O$12:$R$12,-1),MATCH(N202+1,'[1]Normy VP'!$O$13:$R$13,-1),MATCH(N202+1,'[1]Normy VP'!$O$14:$R$14,-1),MATCH(N202+1,'[1]Normy VP'!$O$15:$R$15,-1)))),"O")</f>
        <v>N</v>
      </c>
      <c r="V202" s="26" t="str">
        <f>IF(OR($J202="",$J202="odešel"),IF(O202="","N",IF($F202="žena",CHOOSE(_xlfn.ARABIC($H202),MATCH(O202-1,'[1]Normy VP'!$O$25:$R$25),MATCH(O202-1,'[1]Normy VP'!$O$26:$R$26),MATCH(O202-1,'[1]Normy VP'!$O$27:$R$27),MATCH(O202-1,'[1]Normy VP'!$O$28:$R$28),MATCH(O202-1,'[1]Normy VP'!$O$29:$R$29),MATCH(O202-1,'[1]Normy VP'!$O$30:$R$30)),CHOOSE(_xlfn.ARABIC($H202),MATCH(O202-1,'[1]Normy VP'!$S$10:$V$10),MATCH(O202-1,'[1]Normy VP'!$S$11:$V$11),MATCH(O202-1,'[1]Normy VP'!$S$12:$V$12),MATCH(O202-1,'[1]Normy VP'!$S$13:$V$13),MATCH(O202-1,'[1]Normy VP'!$S$14:$V$14),MATCH(O202-1,'[1]Normy VP'!$S$15:$V$15)))),"O")</f>
        <v>N</v>
      </c>
      <c r="W202" s="34" t="str">
        <f t="shared" si="15"/>
        <v>N</v>
      </c>
      <c r="X202" s="27" t="str">
        <f>IF(COUNTIF(B202:G202,"")&gt;0,"",IF(COUNTIF([1]PP!$A:$A,A202)=0,"neni v PP",IF(OR(Y202="odešel",VLOOKUP(A202,[1]PP!$A:$W,22,FALSE)="odešel"),"odešel",IF(OR(Y202="N",VLOOKUP(A202,[1]PP!$A:$W,22,FALSE)="N"),"N",IF(OR(Y202="C",VLOOKUP(A202,[1]PP!$A:$W,22,FALSE)="C"),"C",IF(OR(Y202="DZO",VLOOKUP(A202,[1]PP!$A:$W,22,FALSE)="DZO"),"DZO",IF(OR(Y202="mise",Y202="disp.",Y202="končí",Y202="DSC",VLOOKUP(A202,[1]PP!$A:$W,22,FALSE)="mise",VLOOKUP(A202,[1]PP!$A:$W,22,FALSE)="disp.",VLOOKUP(A202,[1]PP!$A:$W,22,FALSE)="končí",VLOOKUP(A202,[1]PP!$A:$W,22,FALSE)="DSC"),"jiné",IF(OR(Y202=4,VLOOKUP(A202,[1]PP!$A:$W,22,FALSE)=4),4,IF(OR(Y202=3,VLOOKUP(A202,[1]PP!$A:$W,22,FALSE)=3),3,IF(OR(Y202=2,VLOOKUP(A202,[1]PP!$A:$W,22,FALSE)=2),2,IF(AND(Y202=1,VLOOKUP(A202,[1]PP!$A:$W,22,FALSE)=1),1)))))))))))</f>
        <v/>
      </c>
      <c r="Y202" s="28" t="str">
        <f>IF(COUNTIF(B202:G202,"")&gt;0,"",IF(COUNTIF([1]PP!$A:$A,A202)=0,"neni v PP",IF(VLOOKUP(A202,[1]PP!$A:$W,8,FALSE)="odešel","odešel",IF(F202="","",IF(J202="",IF(OR(T202=4,W202=4),4,IF(AND(T202="N",W202="N"),"N",IF(OR(T202="N",W202="N"),4,ROUND(AVERAGE(T202,W202),0)))),J202)))))</f>
        <v/>
      </c>
      <c r="Z202" s="29" t="str">
        <f>IF(COUNTIF(B202:G202,"")=0,IF(X202="neni v PP",CONCATENATE("ID: &lt;",A202,"&gt; se neshoduje s žádným IDem v kartě PP"),IF(COUNTIF($A:$A,A202)&gt;1,CONCATENATE("ID: &lt;",A202,"&gt; se v kartě VP opakuje. Je nutné tyto IDy od sebe odlišit, např. mezerou za příjmením."),IF(COUNTIF([1]PP!A:A,A202)&gt;1,CONCATENATE("ID: &lt;",A202,"&gt; se v kartě PP opakuje. Je nutné tyto IDy od sebe odlišit, např. mezerou za příjmením."),IF(VLOOKUP(A202,[1]PP!$A:$W,5,FALSE)&lt;&gt;E202,CONCATENATE($E$4," &lt;",E202,"&gt; se neshoduje s jednotkou v kartě PP"," &lt;",VLOOKUP(A202,[1]PP!$A:$W,5,FALSE),"&gt;"),IF(AND(COUNTIF(K202:O202,"")&lt;5,J202="",I202=""),CONCATENATE("Doplň: ",$I$4),IF(AND(YEAR(I202)&lt;&gt;$E$2,COUNTIF(I202,"")=0),CONCATENATE("špatně uveden &lt;",$D$2,"&gt; nebo &lt;",$I$4,"&gt;"),IF(OR(AND(OR(COUNTIF(C202,"*a"),COUNTIF(C202,"*ie"),COUNTIF(C202,"*ine"),COUNTIF(D202,"*Á")),F202="muž"),AND(AND(COUNTIF(C202,"&lt;&gt;"&amp;"*a"),COUNTIF(C202,"&lt;&gt;"&amp;"*ie"),COUNTIF(C202,"&lt;&gt;"&amp;"*ine"),COUNTIF(D202,"&lt;&gt;"&amp;"*Á")),F202="žena")),CONCATENATE(C202," ",D202," je ",F202,"?"),""))))))),IF(COUNTIF(B202:O202,"")=14,"",CONCATENATE("Doplň: ",IF(B202="",CONCATENATE($B$4,IF(COUNTIF(C202:G202,"")=0,"",", ")),""),IF(C202="",CONCATENATE($C$4,IF(COUNTIF(D202:G202,"")=0,"",", ")),""),IF(D202="",CONCATENATE($D$4,IF(COUNTIF(E202:G202,"")=0,"",", ")),""),IF(E202="",CONCATENATE($E$4,IF(COUNTIF(F202:G202,"")=0,"",", ")),""),IF(F202="",CONCATENATE($F$4,IF(G202="",", ","")),""),IF(G202="",$G$4,""))))</f>
        <v/>
      </c>
      <c r="AA202" s="30"/>
    </row>
    <row r="203" spans="1:27" ht="16" x14ac:dyDescent="0.35">
      <c r="A203" s="14" t="str">
        <f t="shared" si="12"/>
        <v xml:space="preserve">  </v>
      </c>
      <c r="B203" s="15"/>
      <c r="C203" s="31"/>
      <c r="D203" s="31"/>
      <c r="E203" s="17"/>
      <c r="F203" s="18"/>
      <c r="G203" s="32"/>
      <c r="H203" s="33" t="str">
        <f>IF(G203="","",IF(F203="žena",ROMAN(MATCH(G203+1,'[1]Normy VP'!$Y$27:$Y$33,-1)),ROMAN(MATCH(G203+1,'[1]Normy VP'!$Y$19:$Y$25,-1))))</f>
        <v/>
      </c>
      <c r="I203" s="21"/>
      <c r="J203" s="22"/>
      <c r="K203" s="23"/>
      <c r="L203" s="23"/>
      <c r="M203" s="23"/>
      <c r="N203" s="22"/>
      <c r="O203" s="22"/>
      <c r="P203" s="24" t="str">
        <f>IF(OR($J203="",$J203="odešel"),IF(K203="","",IF($F203="žena",CHOOSE(_xlfn.ARABIC($H203),MATCH(K203+1,'[1]Normy VP'!$C$25:$F$25,-1),MATCH(K203+1,'[1]Normy VP'!$C$26:$F$26,-1),MATCH(K203+1,'[1]Normy VP'!$C$27:$F$27,-1),MATCH(K203+1,'[1]Normy VP'!$C$28:$F$28,-1),MATCH(K203+1,'[1]Normy VP'!$C$29:$F$29,-1),"muž"),CHOOSE(_xlfn.ARABIC($H203),MATCH(K203+1,'[1]Normy VP'!$C$10:$F$10,-1),MATCH(K203+1,'[1]Normy VP'!$C$11:$F$11,-1),MATCH(K203+1,'[1]Normy VP'!$C$12:$F$12,-1),MATCH(K203+1,'[1]Normy VP'!$C$13:$F$13,-1),MATCH(K203+1,'[1]Normy VP'!$C$14:$F$14,-1),""))),"O")</f>
        <v/>
      </c>
      <c r="Q203" s="24" t="str">
        <f>IF(OR($J203="",$J203="odešel"),IF($F203="žena","",IF(L203="","",(CHOOSE(_xlfn.ARABIC($H203),MATCH(L203+1,'[1]Normy VP'!$G$10:$J$10,-1),MATCH(L203+1,'[1]Normy VP'!$G$11:$J$11,-1),MATCH(L203+1,'[1]Normy VP'!$G$12:$J$12,-1),MATCH(L203+1,'[1]Normy VP'!$G$13:$J$13,-1),MATCH(L203+1,'[1]Normy VP'!$G$14:$J$14,-1),"")))),"O")</f>
        <v/>
      </c>
      <c r="R203" s="34" t="str">
        <f t="shared" si="13"/>
        <v>N</v>
      </c>
      <c r="S203" s="24" t="str">
        <f>IF(OR($J203="",$J203="odešel"),IF(M203="","N",IF($F203="žena",CHOOSE(_xlfn.ARABIC($H203),MATCH(M203+1,'[1]Normy VP'!$G$25:$J$25,-1),MATCH(M203+1,'[1]Normy VP'!$G$26:$J$26,-1),MATCH(M203+1,'[1]Normy VP'!$G$27:$J$27,-1),MATCH(M203+1,'[1]Normy VP'!$G$28:$J$28,-1),MATCH(M203+1,'[1]Normy VP'!$G$29:$J$29,-1),"muž"),(CHOOSE(_xlfn.ARABIC($H203),MATCH(M203+1,'[1]Normy VP'!$K$10:$N$10,-1),MATCH(M203+1,'[1]Normy VP'!$K$11:$N$11,-1),MATCH(M203+1,'[1]Normy VP'!$K$12:$N$12,-1),MATCH(M203+1,'[1]Normy VP'!$K$13:$N$13,-1),MATCH(M203+1,'[1]Normy VP'!$K$14:$N$14,-1),"")))),"O")</f>
        <v>N</v>
      </c>
      <c r="T203" s="34" t="str">
        <f t="shared" si="14"/>
        <v>N</v>
      </c>
      <c r="U203" s="24" t="str">
        <f>IF(OR($J203="",$J203="odešel"),IF(N203="","N",IF($F203="žena",CHOOSE(_xlfn.ARABIC($H203),MATCH(N203+1,'[1]Normy VP'!$K$25:$N$25,-1),MATCH(N203+1,'[1]Normy VP'!$K$26:$N$26,-1),MATCH(N203+1,'[1]Normy VP'!$K$27:$N$27,-1),MATCH(N203+1,'[1]Normy VP'!$K$28:$N$28,-1),MATCH(N203+1,'[1]Normy VP'!$K$29:$N$29,-1),MATCH(N203+1,'[1]Normy VP'!$K$30:$N$30,-1)),CHOOSE(_xlfn.ARABIC($H203),MATCH(N203+1,'[1]Normy VP'!$O$10:$R$10,-1),MATCH(N203+1,'[1]Normy VP'!$O$11:$R$11,-1),MATCH(N203+1,'[1]Normy VP'!$O$12:$R$12,-1),MATCH(N203+1,'[1]Normy VP'!$O$13:$R$13,-1),MATCH(N203+1,'[1]Normy VP'!$O$14:$R$14,-1),MATCH(N203+1,'[1]Normy VP'!$O$15:$R$15,-1)))),"O")</f>
        <v>N</v>
      </c>
      <c r="V203" s="26" t="str">
        <f>IF(OR($J203="",$J203="odešel"),IF(O203="","N",IF($F203="žena",CHOOSE(_xlfn.ARABIC($H203),MATCH(O203-1,'[1]Normy VP'!$O$25:$R$25),MATCH(O203-1,'[1]Normy VP'!$O$26:$R$26),MATCH(O203-1,'[1]Normy VP'!$O$27:$R$27),MATCH(O203-1,'[1]Normy VP'!$O$28:$R$28),MATCH(O203-1,'[1]Normy VP'!$O$29:$R$29),MATCH(O203-1,'[1]Normy VP'!$O$30:$R$30)),CHOOSE(_xlfn.ARABIC($H203),MATCH(O203-1,'[1]Normy VP'!$S$10:$V$10),MATCH(O203-1,'[1]Normy VP'!$S$11:$V$11),MATCH(O203-1,'[1]Normy VP'!$S$12:$V$12),MATCH(O203-1,'[1]Normy VP'!$S$13:$V$13),MATCH(O203-1,'[1]Normy VP'!$S$14:$V$14),MATCH(O203-1,'[1]Normy VP'!$S$15:$V$15)))),"O")</f>
        <v>N</v>
      </c>
      <c r="W203" s="34" t="str">
        <f t="shared" si="15"/>
        <v>N</v>
      </c>
      <c r="X203" s="27" t="str">
        <f>IF(COUNTIF(B203:G203,"")&gt;0,"",IF(COUNTIF([1]PP!$A:$A,A203)=0,"neni v PP",IF(OR(Y203="odešel",VLOOKUP(A203,[1]PP!$A:$W,22,FALSE)="odešel"),"odešel",IF(OR(Y203="N",VLOOKUP(A203,[1]PP!$A:$W,22,FALSE)="N"),"N",IF(OR(Y203="C",VLOOKUP(A203,[1]PP!$A:$W,22,FALSE)="C"),"C",IF(OR(Y203="DZO",VLOOKUP(A203,[1]PP!$A:$W,22,FALSE)="DZO"),"DZO",IF(OR(Y203="mise",Y203="disp.",Y203="končí",Y203="DSC",VLOOKUP(A203,[1]PP!$A:$W,22,FALSE)="mise",VLOOKUP(A203,[1]PP!$A:$W,22,FALSE)="disp.",VLOOKUP(A203,[1]PP!$A:$W,22,FALSE)="končí",VLOOKUP(A203,[1]PP!$A:$W,22,FALSE)="DSC"),"jiné",IF(OR(Y203=4,VLOOKUP(A203,[1]PP!$A:$W,22,FALSE)=4),4,IF(OR(Y203=3,VLOOKUP(A203,[1]PP!$A:$W,22,FALSE)=3),3,IF(OR(Y203=2,VLOOKUP(A203,[1]PP!$A:$W,22,FALSE)=2),2,IF(AND(Y203=1,VLOOKUP(A203,[1]PP!$A:$W,22,FALSE)=1),1)))))))))))</f>
        <v/>
      </c>
      <c r="Y203" s="28" t="str">
        <f>IF(COUNTIF(B203:G203,"")&gt;0,"",IF(COUNTIF([1]PP!$A:$A,A203)=0,"neni v PP",IF(VLOOKUP(A203,[1]PP!$A:$W,8,FALSE)="odešel","odešel",IF(F203="","",IF(J203="",IF(OR(T203=4,W203=4),4,IF(AND(T203="N",W203="N"),"N",IF(OR(T203="N",W203="N"),4,ROUND(AVERAGE(T203,W203),0)))),J203)))))</f>
        <v/>
      </c>
      <c r="Z203" s="29" t="str">
        <f>IF(COUNTIF(B203:G203,"")=0,IF(X203="neni v PP",CONCATENATE("ID: &lt;",A203,"&gt; se neshoduje s žádným IDem v kartě PP"),IF(COUNTIF($A:$A,A203)&gt;1,CONCATENATE("ID: &lt;",A203,"&gt; se v kartě VP opakuje. Je nutné tyto IDy od sebe odlišit, např. mezerou za příjmením."),IF(COUNTIF([1]PP!A:A,A203)&gt;1,CONCATENATE("ID: &lt;",A203,"&gt; se v kartě PP opakuje. Je nutné tyto IDy od sebe odlišit, např. mezerou za příjmením."),IF(VLOOKUP(A203,[1]PP!$A:$W,5,FALSE)&lt;&gt;E203,CONCATENATE($E$4," &lt;",E203,"&gt; se neshoduje s jednotkou v kartě PP"," &lt;",VLOOKUP(A203,[1]PP!$A:$W,5,FALSE),"&gt;"),IF(AND(COUNTIF(K203:O203,"")&lt;5,J203="",I203=""),CONCATENATE("Doplň: ",$I$4),IF(AND(YEAR(I203)&lt;&gt;$E$2,COUNTIF(I203,"")=0),CONCATENATE("špatně uveden &lt;",$D$2,"&gt; nebo &lt;",$I$4,"&gt;"),IF(OR(AND(OR(COUNTIF(C203,"*a"),COUNTIF(C203,"*ie"),COUNTIF(C203,"*ine"),COUNTIF(D203,"*Á")),F203="muž"),AND(AND(COUNTIF(C203,"&lt;&gt;"&amp;"*a"),COUNTIF(C203,"&lt;&gt;"&amp;"*ie"),COUNTIF(C203,"&lt;&gt;"&amp;"*ine"),COUNTIF(D203,"&lt;&gt;"&amp;"*Á")),F203="žena")),CONCATENATE(C203," ",D203," je ",F203,"?"),""))))))),IF(COUNTIF(B203:O203,"")=14,"",CONCATENATE("Doplň: ",IF(B203="",CONCATENATE($B$4,IF(COUNTIF(C203:G203,"")=0,"",", ")),""),IF(C203="",CONCATENATE($C$4,IF(COUNTIF(D203:G203,"")=0,"",", ")),""),IF(D203="",CONCATENATE($D$4,IF(COUNTIF(E203:G203,"")=0,"",", ")),""),IF(E203="",CONCATENATE($E$4,IF(COUNTIF(F203:G203,"")=0,"",", ")),""),IF(F203="",CONCATENATE($F$4,IF(G203="",", ","")),""),IF(G203="",$G$4,""))))</f>
        <v/>
      </c>
      <c r="AA203" s="30"/>
    </row>
    <row r="204" spans="1:27" ht="16" x14ac:dyDescent="0.35">
      <c r="A204" s="14" t="str">
        <f t="shared" si="12"/>
        <v xml:space="preserve">  </v>
      </c>
      <c r="B204" s="15"/>
      <c r="C204" s="31"/>
      <c r="D204" s="31"/>
      <c r="E204" s="17"/>
      <c r="F204" s="18"/>
      <c r="G204" s="32"/>
      <c r="H204" s="33" t="str">
        <f>IF(G204="","",IF(F204="žena",ROMAN(MATCH(G204+1,'[1]Normy VP'!$Y$27:$Y$33,-1)),ROMAN(MATCH(G204+1,'[1]Normy VP'!$Y$19:$Y$25,-1))))</f>
        <v/>
      </c>
      <c r="I204" s="21"/>
      <c r="J204" s="22"/>
      <c r="K204" s="23"/>
      <c r="L204" s="23"/>
      <c r="M204" s="23"/>
      <c r="N204" s="22"/>
      <c r="O204" s="22"/>
      <c r="P204" s="24" t="str">
        <f>IF(OR($J204="",$J204="odešel"),IF(K204="","",IF($F204="žena",CHOOSE(_xlfn.ARABIC($H204),MATCH(K204+1,'[1]Normy VP'!$C$25:$F$25,-1),MATCH(K204+1,'[1]Normy VP'!$C$26:$F$26,-1),MATCH(K204+1,'[1]Normy VP'!$C$27:$F$27,-1),MATCH(K204+1,'[1]Normy VP'!$C$28:$F$28,-1),MATCH(K204+1,'[1]Normy VP'!$C$29:$F$29,-1),"muž"),CHOOSE(_xlfn.ARABIC($H204),MATCH(K204+1,'[1]Normy VP'!$C$10:$F$10,-1),MATCH(K204+1,'[1]Normy VP'!$C$11:$F$11,-1),MATCH(K204+1,'[1]Normy VP'!$C$12:$F$12,-1),MATCH(K204+1,'[1]Normy VP'!$C$13:$F$13,-1),MATCH(K204+1,'[1]Normy VP'!$C$14:$F$14,-1),""))),"O")</f>
        <v/>
      </c>
      <c r="Q204" s="24" t="str">
        <f>IF(OR($J204="",$J204="odešel"),IF($F204="žena","",IF(L204="","",(CHOOSE(_xlfn.ARABIC($H204),MATCH(L204+1,'[1]Normy VP'!$G$10:$J$10,-1),MATCH(L204+1,'[1]Normy VP'!$G$11:$J$11,-1),MATCH(L204+1,'[1]Normy VP'!$G$12:$J$12,-1),MATCH(L204+1,'[1]Normy VP'!$G$13:$J$13,-1),MATCH(L204+1,'[1]Normy VP'!$G$14:$J$14,-1),"")))),"O")</f>
        <v/>
      </c>
      <c r="R204" s="34" t="str">
        <f t="shared" si="13"/>
        <v>N</v>
      </c>
      <c r="S204" s="24" t="str">
        <f>IF(OR($J204="",$J204="odešel"),IF(M204="","N",IF($F204="žena",CHOOSE(_xlfn.ARABIC($H204),MATCH(M204+1,'[1]Normy VP'!$G$25:$J$25,-1),MATCH(M204+1,'[1]Normy VP'!$G$26:$J$26,-1),MATCH(M204+1,'[1]Normy VP'!$G$27:$J$27,-1),MATCH(M204+1,'[1]Normy VP'!$G$28:$J$28,-1),MATCH(M204+1,'[1]Normy VP'!$G$29:$J$29,-1),"muž"),(CHOOSE(_xlfn.ARABIC($H204),MATCH(M204+1,'[1]Normy VP'!$K$10:$N$10,-1),MATCH(M204+1,'[1]Normy VP'!$K$11:$N$11,-1),MATCH(M204+1,'[1]Normy VP'!$K$12:$N$12,-1),MATCH(M204+1,'[1]Normy VP'!$K$13:$N$13,-1),MATCH(M204+1,'[1]Normy VP'!$K$14:$N$14,-1),"")))),"O")</f>
        <v>N</v>
      </c>
      <c r="T204" s="34" t="str">
        <f t="shared" si="14"/>
        <v>N</v>
      </c>
      <c r="U204" s="24" t="str">
        <f>IF(OR($J204="",$J204="odešel"),IF(N204="","N",IF($F204="žena",CHOOSE(_xlfn.ARABIC($H204),MATCH(N204+1,'[1]Normy VP'!$K$25:$N$25,-1),MATCH(N204+1,'[1]Normy VP'!$K$26:$N$26,-1),MATCH(N204+1,'[1]Normy VP'!$K$27:$N$27,-1),MATCH(N204+1,'[1]Normy VP'!$K$28:$N$28,-1),MATCH(N204+1,'[1]Normy VP'!$K$29:$N$29,-1),MATCH(N204+1,'[1]Normy VP'!$K$30:$N$30,-1)),CHOOSE(_xlfn.ARABIC($H204),MATCH(N204+1,'[1]Normy VP'!$O$10:$R$10,-1),MATCH(N204+1,'[1]Normy VP'!$O$11:$R$11,-1),MATCH(N204+1,'[1]Normy VP'!$O$12:$R$12,-1),MATCH(N204+1,'[1]Normy VP'!$O$13:$R$13,-1),MATCH(N204+1,'[1]Normy VP'!$O$14:$R$14,-1),MATCH(N204+1,'[1]Normy VP'!$O$15:$R$15,-1)))),"O")</f>
        <v>N</v>
      </c>
      <c r="V204" s="26" t="str">
        <f>IF(OR($J204="",$J204="odešel"),IF(O204="","N",IF($F204="žena",CHOOSE(_xlfn.ARABIC($H204),MATCH(O204-1,'[1]Normy VP'!$O$25:$R$25),MATCH(O204-1,'[1]Normy VP'!$O$26:$R$26),MATCH(O204-1,'[1]Normy VP'!$O$27:$R$27),MATCH(O204-1,'[1]Normy VP'!$O$28:$R$28),MATCH(O204-1,'[1]Normy VP'!$O$29:$R$29),MATCH(O204-1,'[1]Normy VP'!$O$30:$R$30)),CHOOSE(_xlfn.ARABIC($H204),MATCH(O204-1,'[1]Normy VP'!$S$10:$V$10),MATCH(O204-1,'[1]Normy VP'!$S$11:$V$11),MATCH(O204-1,'[1]Normy VP'!$S$12:$V$12),MATCH(O204-1,'[1]Normy VP'!$S$13:$V$13),MATCH(O204-1,'[1]Normy VP'!$S$14:$V$14),MATCH(O204-1,'[1]Normy VP'!$S$15:$V$15)))),"O")</f>
        <v>N</v>
      </c>
      <c r="W204" s="34" t="str">
        <f t="shared" si="15"/>
        <v>N</v>
      </c>
      <c r="X204" s="27" t="str">
        <f>IF(COUNTIF(B204:G204,"")&gt;0,"",IF(COUNTIF([1]PP!$A:$A,A204)=0,"neni v PP",IF(OR(Y204="odešel",VLOOKUP(A204,[1]PP!$A:$W,22,FALSE)="odešel"),"odešel",IF(OR(Y204="N",VLOOKUP(A204,[1]PP!$A:$W,22,FALSE)="N"),"N",IF(OR(Y204="C",VLOOKUP(A204,[1]PP!$A:$W,22,FALSE)="C"),"C",IF(OR(Y204="DZO",VLOOKUP(A204,[1]PP!$A:$W,22,FALSE)="DZO"),"DZO",IF(OR(Y204="mise",Y204="disp.",Y204="končí",Y204="DSC",VLOOKUP(A204,[1]PP!$A:$W,22,FALSE)="mise",VLOOKUP(A204,[1]PP!$A:$W,22,FALSE)="disp.",VLOOKUP(A204,[1]PP!$A:$W,22,FALSE)="končí",VLOOKUP(A204,[1]PP!$A:$W,22,FALSE)="DSC"),"jiné",IF(OR(Y204=4,VLOOKUP(A204,[1]PP!$A:$W,22,FALSE)=4),4,IF(OR(Y204=3,VLOOKUP(A204,[1]PP!$A:$W,22,FALSE)=3),3,IF(OR(Y204=2,VLOOKUP(A204,[1]PP!$A:$W,22,FALSE)=2),2,IF(AND(Y204=1,VLOOKUP(A204,[1]PP!$A:$W,22,FALSE)=1),1)))))))))))</f>
        <v/>
      </c>
      <c r="Y204" s="28" t="str">
        <f>IF(COUNTIF(B204:G204,"")&gt;0,"",IF(COUNTIF([1]PP!$A:$A,A204)=0,"neni v PP",IF(VLOOKUP(A204,[1]PP!$A:$W,8,FALSE)="odešel","odešel",IF(F204="","",IF(J204="",IF(OR(T204=4,W204=4),4,IF(AND(T204="N",W204="N"),"N",IF(OR(T204="N",W204="N"),4,ROUND(AVERAGE(T204,W204),0)))),J204)))))</f>
        <v/>
      </c>
      <c r="Z204" s="29" t="str">
        <f>IF(COUNTIF(B204:G204,"")=0,IF(X204="neni v PP",CONCATENATE("ID: &lt;",A204,"&gt; se neshoduje s žádným IDem v kartě PP"),IF(COUNTIF($A:$A,A204)&gt;1,CONCATENATE("ID: &lt;",A204,"&gt; se v kartě VP opakuje. Je nutné tyto IDy od sebe odlišit, např. mezerou za příjmením."),IF(COUNTIF([1]PP!A:A,A204)&gt;1,CONCATENATE("ID: &lt;",A204,"&gt; se v kartě PP opakuje. Je nutné tyto IDy od sebe odlišit, např. mezerou za příjmením."),IF(VLOOKUP(A204,[1]PP!$A:$W,5,FALSE)&lt;&gt;E204,CONCATENATE($E$4," &lt;",E204,"&gt; se neshoduje s jednotkou v kartě PP"," &lt;",VLOOKUP(A204,[1]PP!$A:$W,5,FALSE),"&gt;"),IF(AND(COUNTIF(K204:O204,"")&lt;5,J204="",I204=""),CONCATENATE("Doplň: ",$I$4),IF(AND(YEAR(I204)&lt;&gt;$E$2,COUNTIF(I204,"")=0),CONCATENATE("špatně uveden &lt;",$D$2,"&gt; nebo &lt;",$I$4,"&gt;"),IF(OR(AND(OR(COUNTIF(C204,"*a"),COUNTIF(C204,"*ie"),COUNTIF(C204,"*ine"),COUNTIF(D204,"*Á")),F204="muž"),AND(AND(COUNTIF(C204,"&lt;&gt;"&amp;"*a"),COUNTIF(C204,"&lt;&gt;"&amp;"*ie"),COUNTIF(C204,"&lt;&gt;"&amp;"*ine"),COUNTIF(D204,"&lt;&gt;"&amp;"*Á")),F204="žena")),CONCATENATE(C204," ",D204," je ",F204,"?"),""))))))),IF(COUNTIF(B204:O204,"")=14,"",CONCATENATE("Doplň: ",IF(B204="",CONCATENATE($B$4,IF(COUNTIF(C204:G204,"")=0,"",", ")),""),IF(C204="",CONCATENATE($C$4,IF(COUNTIF(D204:G204,"")=0,"",", ")),""),IF(D204="",CONCATENATE($D$4,IF(COUNTIF(E204:G204,"")=0,"",", ")),""),IF(E204="",CONCATENATE($E$4,IF(COUNTIF(F204:G204,"")=0,"",", ")),""),IF(F204="",CONCATENATE($F$4,IF(G204="",", ","")),""),IF(G204="",$G$4,""))))</f>
        <v/>
      </c>
      <c r="AA204" s="30"/>
    </row>
    <row r="205" spans="1:27" ht="16" x14ac:dyDescent="0.35">
      <c r="A205" s="14" t="str">
        <f t="shared" si="12"/>
        <v xml:space="preserve">  </v>
      </c>
      <c r="B205" s="15"/>
      <c r="C205" s="31"/>
      <c r="D205" s="31"/>
      <c r="E205" s="17"/>
      <c r="F205" s="18"/>
      <c r="G205" s="32"/>
      <c r="H205" s="33" t="str">
        <f>IF(G205="","",IF(F205="žena",ROMAN(MATCH(G205+1,'[1]Normy VP'!$Y$27:$Y$33,-1)),ROMAN(MATCH(G205+1,'[1]Normy VP'!$Y$19:$Y$25,-1))))</f>
        <v/>
      </c>
      <c r="I205" s="21"/>
      <c r="J205" s="22"/>
      <c r="K205" s="23"/>
      <c r="L205" s="23"/>
      <c r="M205" s="23"/>
      <c r="N205" s="22"/>
      <c r="O205" s="22"/>
      <c r="P205" s="24" t="str">
        <f>IF(OR($J205="",$J205="odešel"),IF(K205="","",IF($F205="žena",CHOOSE(_xlfn.ARABIC($H205),MATCH(K205+1,'[1]Normy VP'!$C$25:$F$25,-1),MATCH(K205+1,'[1]Normy VP'!$C$26:$F$26,-1),MATCH(K205+1,'[1]Normy VP'!$C$27:$F$27,-1),MATCH(K205+1,'[1]Normy VP'!$C$28:$F$28,-1),MATCH(K205+1,'[1]Normy VP'!$C$29:$F$29,-1),"muž"),CHOOSE(_xlfn.ARABIC($H205),MATCH(K205+1,'[1]Normy VP'!$C$10:$F$10,-1),MATCH(K205+1,'[1]Normy VP'!$C$11:$F$11,-1),MATCH(K205+1,'[1]Normy VP'!$C$12:$F$12,-1),MATCH(K205+1,'[1]Normy VP'!$C$13:$F$13,-1),MATCH(K205+1,'[1]Normy VP'!$C$14:$F$14,-1),""))),"O")</f>
        <v/>
      </c>
      <c r="Q205" s="24" t="str">
        <f>IF(OR($J205="",$J205="odešel"),IF($F205="žena","",IF(L205="","",(CHOOSE(_xlfn.ARABIC($H205),MATCH(L205+1,'[1]Normy VP'!$G$10:$J$10,-1),MATCH(L205+1,'[1]Normy VP'!$G$11:$J$11,-1),MATCH(L205+1,'[1]Normy VP'!$G$12:$J$12,-1),MATCH(L205+1,'[1]Normy VP'!$G$13:$J$13,-1),MATCH(L205+1,'[1]Normy VP'!$G$14:$J$14,-1),"")))),"O")</f>
        <v/>
      </c>
      <c r="R205" s="34" t="str">
        <f t="shared" si="13"/>
        <v>N</v>
      </c>
      <c r="S205" s="24" t="str">
        <f>IF(OR($J205="",$J205="odešel"),IF(M205="","N",IF($F205="žena",CHOOSE(_xlfn.ARABIC($H205),MATCH(M205+1,'[1]Normy VP'!$G$25:$J$25,-1),MATCH(M205+1,'[1]Normy VP'!$G$26:$J$26,-1),MATCH(M205+1,'[1]Normy VP'!$G$27:$J$27,-1),MATCH(M205+1,'[1]Normy VP'!$G$28:$J$28,-1),MATCH(M205+1,'[1]Normy VP'!$G$29:$J$29,-1),"muž"),(CHOOSE(_xlfn.ARABIC($H205),MATCH(M205+1,'[1]Normy VP'!$K$10:$N$10,-1),MATCH(M205+1,'[1]Normy VP'!$K$11:$N$11,-1),MATCH(M205+1,'[1]Normy VP'!$K$12:$N$12,-1),MATCH(M205+1,'[1]Normy VP'!$K$13:$N$13,-1),MATCH(M205+1,'[1]Normy VP'!$K$14:$N$14,-1),"")))),"O")</f>
        <v>N</v>
      </c>
      <c r="T205" s="34" t="str">
        <f t="shared" si="14"/>
        <v>N</v>
      </c>
      <c r="U205" s="24" t="str">
        <f>IF(OR($J205="",$J205="odešel"),IF(N205="","N",IF($F205="žena",CHOOSE(_xlfn.ARABIC($H205),MATCH(N205+1,'[1]Normy VP'!$K$25:$N$25,-1),MATCH(N205+1,'[1]Normy VP'!$K$26:$N$26,-1),MATCH(N205+1,'[1]Normy VP'!$K$27:$N$27,-1),MATCH(N205+1,'[1]Normy VP'!$K$28:$N$28,-1),MATCH(N205+1,'[1]Normy VP'!$K$29:$N$29,-1),MATCH(N205+1,'[1]Normy VP'!$K$30:$N$30,-1)),CHOOSE(_xlfn.ARABIC($H205),MATCH(N205+1,'[1]Normy VP'!$O$10:$R$10,-1),MATCH(N205+1,'[1]Normy VP'!$O$11:$R$11,-1),MATCH(N205+1,'[1]Normy VP'!$O$12:$R$12,-1),MATCH(N205+1,'[1]Normy VP'!$O$13:$R$13,-1),MATCH(N205+1,'[1]Normy VP'!$O$14:$R$14,-1),MATCH(N205+1,'[1]Normy VP'!$O$15:$R$15,-1)))),"O")</f>
        <v>N</v>
      </c>
      <c r="V205" s="26" t="str">
        <f>IF(OR($J205="",$J205="odešel"),IF(O205="","N",IF($F205="žena",CHOOSE(_xlfn.ARABIC($H205),MATCH(O205-1,'[1]Normy VP'!$O$25:$R$25),MATCH(O205-1,'[1]Normy VP'!$O$26:$R$26),MATCH(O205-1,'[1]Normy VP'!$O$27:$R$27),MATCH(O205-1,'[1]Normy VP'!$O$28:$R$28),MATCH(O205-1,'[1]Normy VP'!$O$29:$R$29),MATCH(O205-1,'[1]Normy VP'!$O$30:$R$30)),CHOOSE(_xlfn.ARABIC($H205),MATCH(O205-1,'[1]Normy VP'!$S$10:$V$10),MATCH(O205-1,'[1]Normy VP'!$S$11:$V$11),MATCH(O205-1,'[1]Normy VP'!$S$12:$V$12),MATCH(O205-1,'[1]Normy VP'!$S$13:$V$13),MATCH(O205-1,'[1]Normy VP'!$S$14:$V$14),MATCH(O205-1,'[1]Normy VP'!$S$15:$V$15)))),"O")</f>
        <v>N</v>
      </c>
      <c r="W205" s="34" t="str">
        <f t="shared" si="15"/>
        <v>N</v>
      </c>
      <c r="X205" s="27" t="str">
        <f>IF(COUNTIF(B205:G205,"")&gt;0,"",IF(COUNTIF([1]PP!$A:$A,A205)=0,"neni v PP",IF(OR(Y205="odešel",VLOOKUP(A205,[1]PP!$A:$W,22,FALSE)="odešel"),"odešel",IF(OR(Y205="N",VLOOKUP(A205,[1]PP!$A:$W,22,FALSE)="N"),"N",IF(OR(Y205="C",VLOOKUP(A205,[1]PP!$A:$W,22,FALSE)="C"),"C",IF(OR(Y205="DZO",VLOOKUP(A205,[1]PP!$A:$W,22,FALSE)="DZO"),"DZO",IF(OR(Y205="mise",Y205="disp.",Y205="končí",Y205="DSC",VLOOKUP(A205,[1]PP!$A:$W,22,FALSE)="mise",VLOOKUP(A205,[1]PP!$A:$W,22,FALSE)="disp.",VLOOKUP(A205,[1]PP!$A:$W,22,FALSE)="končí",VLOOKUP(A205,[1]PP!$A:$W,22,FALSE)="DSC"),"jiné",IF(OR(Y205=4,VLOOKUP(A205,[1]PP!$A:$W,22,FALSE)=4),4,IF(OR(Y205=3,VLOOKUP(A205,[1]PP!$A:$W,22,FALSE)=3),3,IF(OR(Y205=2,VLOOKUP(A205,[1]PP!$A:$W,22,FALSE)=2),2,IF(AND(Y205=1,VLOOKUP(A205,[1]PP!$A:$W,22,FALSE)=1),1)))))))))))</f>
        <v/>
      </c>
      <c r="Y205" s="28" t="str">
        <f>IF(COUNTIF(B205:G205,"")&gt;0,"",IF(COUNTIF([1]PP!$A:$A,A205)=0,"neni v PP",IF(VLOOKUP(A205,[1]PP!$A:$W,8,FALSE)="odešel","odešel",IF(F205="","",IF(J205="",IF(OR(T205=4,W205=4),4,IF(AND(T205="N",W205="N"),"N",IF(OR(T205="N",W205="N"),4,ROUND(AVERAGE(T205,W205),0)))),J205)))))</f>
        <v/>
      </c>
      <c r="Z205" s="29" t="str">
        <f>IF(COUNTIF(B205:G205,"")=0,IF(X205="neni v PP",CONCATENATE("ID: &lt;",A205,"&gt; se neshoduje s žádným IDem v kartě PP"),IF(COUNTIF($A:$A,A205)&gt;1,CONCATENATE("ID: &lt;",A205,"&gt; se v kartě VP opakuje. Je nutné tyto IDy od sebe odlišit, např. mezerou za příjmením."),IF(COUNTIF([1]PP!A:A,A205)&gt;1,CONCATENATE("ID: &lt;",A205,"&gt; se v kartě PP opakuje. Je nutné tyto IDy od sebe odlišit, např. mezerou za příjmením."),IF(VLOOKUP(A205,[1]PP!$A:$W,5,FALSE)&lt;&gt;E205,CONCATENATE($E$4," &lt;",E205,"&gt; se neshoduje s jednotkou v kartě PP"," &lt;",VLOOKUP(A205,[1]PP!$A:$W,5,FALSE),"&gt;"),IF(AND(COUNTIF(K205:O205,"")&lt;5,J205="",I205=""),CONCATENATE("Doplň: ",$I$4),IF(AND(YEAR(I205)&lt;&gt;$E$2,COUNTIF(I205,"")=0),CONCATENATE("špatně uveden &lt;",$D$2,"&gt; nebo &lt;",$I$4,"&gt;"),IF(OR(AND(OR(COUNTIF(C205,"*a"),COUNTIF(C205,"*ie"),COUNTIF(C205,"*ine"),COUNTIF(D205,"*Á")),F205="muž"),AND(AND(COUNTIF(C205,"&lt;&gt;"&amp;"*a"),COUNTIF(C205,"&lt;&gt;"&amp;"*ie"),COUNTIF(C205,"&lt;&gt;"&amp;"*ine"),COUNTIF(D205,"&lt;&gt;"&amp;"*Á")),F205="žena")),CONCATENATE(C205," ",D205," je ",F205,"?"),""))))))),IF(COUNTIF(B205:O205,"")=14,"",CONCATENATE("Doplň: ",IF(B205="",CONCATENATE($B$4,IF(COUNTIF(C205:G205,"")=0,"",", ")),""),IF(C205="",CONCATENATE($C$4,IF(COUNTIF(D205:G205,"")=0,"",", ")),""),IF(D205="",CONCATENATE($D$4,IF(COUNTIF(E205:G205,"")=0,"",", ")),""),IF(E205="",CONCATENATE($E$4,IF(COUNTIF(F205:G205,"")=0,"",", ")),""),IF(F205="",CONCATENATE($F$4,IF(G205="",", ","")),""),IF(G205="",$G$4,""))))</f>
        <v/>
      </c>
      <c r="AA205" s="30"/>
    </row>
    <row r="206" spans="1:27" ht="16" x14ac:dyDescent="0.35">
      <c r="A206" s="14" t="str">
        <f t="shared" si="12"/>
        <v xml:space="preserve">  </v>
      </c>
      <c r="B206" s="15"/>
      <c r="C206" s="31"/>
      <c r="D206" s="31"/>
      <c r="E206" s="17"/>
      <c r="F206" s="18"/>
      <c r="G206" s="32"/>
      <c r="H206" s="33" t="str">
        <f>IF(G206="","",IF(F206="žena",ROMAN(MATCH(G206+1,'[1]Normy VP'!$Y$27:$Y$33,-1)),ROMAN(MATCH(G206+1,'[1]Normy VP'!$Y$19:$Y$25,-1))))</f>
        <v/>
      </c>
      <c r="I206" s="21"/>
      <c r="J206" s="22"/>
      <c r="K206" s="23"/>
      <c r="L206" s="23"/>
      <c r="M206" s="23"/>
      <c r="N206" s="22"/>
      <c r="O206" s="22"/>
      <c r="P206" s="24" t="str">
        <f>IF(OR($J206="",$J206="odešel"),IF(K206="","",IF($F206="žena",CHOOSE(_xlfn.ARABIC($H206),MATCH(K206+1,'[1]Normy VP'!$C$25:$F$25,-1),MATCH(K206+1,'[1]Normy VP'!$C$26:$F$26,-1),MATCH(K206+1,'[1]Normy VP'!$C$27:$F$27,-1),MATCH(K206+1,'[1]Normy VP'!$C$28:$F$28,-1),MATCH(K206+1,'[1]Normy VP'!$C$29:$F$29,-1),"muž"),CHOOSE(_xlfn.ARABIC($H206),MATCH(K206+1,'[1]Normy VP'!$C$10:$F$10,-1),MATCH(K206+1,'[1]Normy VP'!$C$11:$F$11,-1),MATCH(K206+1,'[1]Normy VP'!$C$12:$F$12,-1),MATCH(K206+1,'[1]Normy VP'!$C$13:$F$13,-1),MATCH(K206+1,'[1]Normy VP'!$C$14:$F$14,-1),""))),"O")</f>
        <v/>
      </c>
      <c r="Q206" s="24" t="str">
        <f>IF(OR($J206="",$J206="odešel"),IF($F206="žena","",IF(L206="","",(CHOOSE(_xlfn.ARABIC($H206),MATCH(L206+1,'[1]Normy VP'!$G$10:$J$10,-1),MATCH(L206+1,'[1]Normy VP'!$G$11:$J$11,-1),MATCH(L206+1,'[1]Normy VP'!$G$12:$J$12,-1),MATCH(L206+1,'[1]Normy VP'!$G$13:$J$13,-1),MATCH(L206+1,'[1]Normy VP'!$G$14:$J$14,-1),"")))),"O")</f>
        <v/>
      </c>
      <c r="R206" s="34" t="str">
        <f t="shared" si="13"/>
        <v>N</v>
      </c>
      <c r="S206" s="24" t="str">
        <f>IF(OR($J206="",$J206="odešel"),IF(M206="","N",IF($F206="žena",CHOOSE(_xlfn.ARABIC($H206),MATCH(M206+1,'[1]Normy VP'!$G$25:$J$25,-1),MATCH(M206+1,'[1]Normy VP'!$G$26:$J$26,-1),MATCH(M206+1,'[1]Normy VP'!$G$27:$J$27,-1),MATCH(M206+1,'[1]Normy VP'!$G$28:$J$28,-1),MATCH(M206+1,'[1]Normy VP'!$G$29:$J$29,-1),"muž"),(CHOOSE(_xlfn.ARABIC($H206),MATCH(M206+1,'[1]Normy VP'!$K$10:$N$10,-1),MATCH(M206+1,'[1]Normy VP'!$K$11:$N$11,-1),MATCH(M206+1,'[1]Normy VP'!$K$12:$N$12,-1),MATCH(M206+1,'[1]Normy VP'!$K$13:$N$13,-1),MATCH(M206+1,'[1]Normy VP'!$K$14:$N$14,-1),"")))),"O")</f>
        <v>N</v>
      </c>
      <c r="T206" s="34" t="str">
        <f t="shared" si="14"/>
        <v>N</v>
      </c>
      <c r="U206" s="24" t="str">
        <f>IF(OR($J206="",$J206="odešel"),IF(N206="","N",IF($F206="žena",CHOOSE(_xlfn.ARABIC($H206),MATCH(N206+1,'[1]Normy VP'!$K$25:$N$25,-1),MATCH(N206+1,'[1]Normy VP'!$K$26:$N$26,-1),MATCH(N206+1,'[1]Normy VP'!$K$27:$N$27,-1),MATCH(N206+1,'[1]Normy VP'!$K$28:$N$28,-1),MATCH(N206+1,'[1]Normy VP'!$K$29:$N$29,-1),MATCH(N206+1,'[1]Normy VP'!$K$30:$N$30,-1)),CHOOSE(_xlfn.ARABIC($H206),MATCH(N206+1,'[1]Normy VP'!$O$10:$R$10,-1),MATCH(N206+1,'[1]Normy VP'!$O$11:$R$11,-1),MATCH(N206+1,'[1]Normy VP'!$O$12:$R$12,-1),MATCH(N206+1,'[1]Normy VP'!$O$13:$R$13,-1),MATCH(N206+1,'[1]Normy VP'!$O$14:$R$14,-1),MATCH(N206+1,'[1]Normy VP'!$O$15:$R$15,-1)))),"O")</f>
        <v>N</v>
      </c>
      <c r="V206" s="26" t="str">
        <f>IF(OR($J206="",$J206="odešel"),IF(O206="","N",IF($F206="žena",CHOOSE(_xlfn.ARABIC($H206),MATCH(O206-1,'[1]Normy VP'!$O$25:$R$25),MATCH(O206-1,'[1]Normy VP'!$O$26:$R$26),MATCH(O206-1,'[1]Normy VP'!$O$27:$R$27),MATCH(O206-1,'[1]Normy VP'!$O$28:$R$28),MATCH(O206-1,'[1]Normy VP'!$O$29:$R$29),MATCH(O206-1,'[1]Normy VP'!$O$30:$R$30)),CHOOSE(_xlfn.ARABIC($H206),MATCH(O206-1,'[1]Normy VP'!$S$10:$V$10),MATCH(O206-1,'[1]Normy VP'!$S$11:$V$11),MATCH(O206-1,'[1]Normy VP'!$S$12:$V$12),MATCH(O206-1,'[1]Normy VP'!$S$13:$V$13),MATCH(O206-1,'[1]Normy VP'!$S$14:$V$14),MATCH(O206-1,'[1]Normy VP'!$S$15:$V$15)))),"O")</f>
        <v>N</v>
      </c>
      <c r="W206" s="34" t="str">
        <f t="shared" si="15"/>
        <v>N</v>
      </c>
      <c r="X206" s="27" t="str">
        <f>IF(COUNTIF(B206:G206,"")&gt;0,"",IF(COUNTIF([1]PP!$A:$A,A206)=0,"neni v PP",IF(OR(Y206="odešel",VLOOKUP(A206,[1]PP!$A:$W,22,FALSE)="odešel"),"odešel",IF(OR(Y206="N",VLOOKUP(A206,[1]PP!$A:$W,22,FALSE)="N"),"N",IF(OR(Y206="C",VLOOKUP(A206,[1]PP!$A:$W,22,FALSE)="C"),"C",IF(OR(Y206="DZO",VLOOKUP(A206,[1]PP!$A:$W,22,FALSE)="DZO"),"DZO",IF(OR(Y206="mise",Y206="disp.",Y206="končí",Y206="DSC",VLOOKUP(A206,[1]PP!$A:$W,22,FALSE)="mise",VLOOKUP(A206,[1]PP!$A:$W,22,FALSE)="disp.",VLOOKUP(A206,[1]PP!$A:$W,22,FALSE)="končí",VLOOKUP(A206,[1]PP!$A:$W,22,FALSE)="DSC"),"jiné",IF(OR(Y206=4,VLOOKUP(A206,[1]PP!$A:$W,22,FALSE)=4),4,IF(OR(Y206=3,VLOOKUP(A206,[1]PP!$A:$W,22,FALSE)=3),3,IF(OR(Y206=2,VLOOKUP(A206,[1]PP!$A:$W,22,FALSE)=2),2,IF(AND(Y206=1,VLOOKUP(A206,[1]PP!$A:$W,22,FALSE)=1),1)))))))))))</f>
        <v/>
      </c>
      <c r="Y206" s="28" t="str">
        <f>IF(COUNTIF(B206:G206,"")&gt;0,"",IF(COUNTIF([1]PP!$A:$A,A206)=0,"neni v PP",IF(VLOOKUP(A206,[1]PP!$A:$W,8,FALSE)="odešel","odešel",IF(F206="","",IF(J206="",IF(OR(T206=4,W206=4),4,IF(AND(T206="N",W206="N"),"N",IF(OR(T206="N",W206="N"),4,ROUND(AVERAGE(T206,W206),0)))),J206)))))</f>
        <v/>
      </c>
      <c r="Z206" s="29" t="str">
        <f>IF(COUNTIF(B206:G206,"")=0,IF(X206="neni v PP",CONCATENATE("ID: &lt;",A206,"&gt; se neshoduje s žádným IDem v kartě PP"),IF(COUNTIF($A:$A,A206)&gt;1,CONCATENATE("ID: &lt;",A206,"&gt; se v kartě VP opakuje. Je nutné tyto IDy od sebe odlišit, např. mezerou za příjmením."),IF(COUNTIF([1]PP!A:A,A206)&gt;1,CONCATENATE("ID: &lt;",A206,"&gt; se v kartě PP opakuje. Je nutné tyto IDy od sebe odlišit, např. mezerou za příjmením."),IF(VLOOKUP(A206,[1]PP!$A:$W,5,FALSE)&lt;&gt;E206,CONCATENATE($E$4," &lt;",E206,"&gt; se neshoduje s jednotkou v kartě PP"," &lt;",VLOOKUP(A206,[1]PP!$A:$W,5,FALSE),"&gt;"),IF(AND(COUNTIF(K206:O206,"")&lt;5,J206="",I206=""),CONCATENATE("Doplň: ",$I$4),IF(AND(YEAR(I206)&lt;&gt;$E$2,COUNTIF(I206,"")=0),CONCATENATE("špatně uveden &lt;",$D$2,"&gt; nebo &lt;",$I$4,"&gt;"),IF(OR(AND(OR(COUNTIF(C206,"*a"),COUNTIF(C206,"*ie"),COUNTIF(C206,"*ine"),COUNTIF(D206,"*Á")),F206="muž"),AND(AND(COUNTIF(C206,"&lt;&gt;"&amp;"*a"),COUNTIF(C206,"&lt;&gt;"&amp;"*ie"),COUNTIF(C206,"&lt;&gt;"&amp;"*ine"),COUNTIF(D206,"&lt;&gt;"&amp;"*Á")),F206="žena")),CONCATENATE(C206," ",D206," je ",F206,"?"),""))))))),IF(COUNTIF(B206:O206,"")=14,"",CONCATENATE("Doplň: ",IF(B206="",CONCATENATE($B$4,IF(COUNTIF(C206:G206,"")=0,"",", ")),""),IF(C206="",CONCATENATE($C$4,IF(COUNTIF(D206:G206,"")=0,"",", ")),""),IF(D206="",CONCATENATE($D$4,IF(COUNTIF(E206:G206,"")=0,"",", ")),""),IF(E206="",CONCATENATE($E$4,IF(COUNTIF(F206:G206,"")=0,"",", ")),""),IF(F206="",CONCATENATE($F$4,IF(G206="",", ","")),""),IF(G206="",$G$4,""))))</f>
        <v/>
      </c>
      <c r="AA206" s="30"/>
    </row>
    <row r="207" spans="1:27" ht="16" x14ac:dyDescent="0.35">
      <c r="A207" s="14" t="str">
        <f t="shared" si="12"/>
        <v xml:space="preserve">  </v>
      </c>
      <c r="B207" s="15"/>
      <c r="C207" s="31"/>
      <c r="D207" s="31"/>
      <c r="E207" s="17"/>
      <c r="F207" s="18"/>
      <c r="G207" s="32"/>
      <c r="H207" s="33" t="str">
        <f>IF(G207="","",IF(F207="žena",ROMAN(MATCH(G207+1,'[1]Normy VP'!$Y$27:$Y$33,-1)),ROMAN(MATCH(G207+1,'[1]Normy VP'!$Y$19:$Y$25,-1))))</f>
        <v/>
      </c>
      <c r="I207" s="21"/>
      <c r="J207" s="22"/>
      <c r="K207" s="23"/>
      <c r="L207" s="23"/>
      <c r="M207" s="23"/>
      <c r="N207" s="22"/>
      <c r="O207" s="22"/>
      <c r="P207" s="24" t="str">
        <f>IF(OR($J207="",$J207="odešel"),IF(K207="","",IF($F207="žena",CHOOSE(_xlfn.ARABIC($H207),MATCH(K207+1,'[1]Normy VP'!$C$25:$F$25,-1),MATCH(K207+1,'[1]Normy VP'!$C$26:$F$26,-1),MATCH(K207+1,'[1]Normy VP'!$C$27:$F$27,-1),MATCH(K207+1,'[1]Normy VP'!$C$28:$F$28,-1),MATCH(K207+1,'[1]Normy VP'!$C$29:$F$29,-1),"muž"),CHOOSE(_xlfn.ARABIC($H207),MATCH(K207+1,'[1]Normy VP'!$C$10:$F$10,-1),MATCH(K207+1,'[1]Normy VP'!$C$11:$F$11,-1),MATCH(K207+1,'[1]Normy VP'!$C$12:$F$12,-1),MATCH(K207+1,'[1]Normy VP'!$C$13:$F$13,-1),MATCH(K207+1,'[1]Normy VP'!$C$14:$F$14,-1),""))),"O")</f>
        <v/>
      </c>
      <c r="Q207" s="24" t="str">
        <f>IF(OR($J207="",$J207="odešel"),IF($F207="žena","",IF(L207="","",(CHOOSE(_xlfn.ARABIC($H207),MATCH(L207+1,'[1]Normy VP'!$G$10:$J$10,-1),MATCH(L207+1,'[1]Normy VP'!$G$11:$J$11,-1),MATCH(L207+1,'[1]Normy VP'!$G$12:$J$12,-1),MATCH(L207+1,'[1]Normy VP'!$G$13:$J$13,-1),MATCH(L207+1,'[1]Normy VP'!$G$14:$J$14,-1),"")))),"O")</f>
        <v/>
      </c>
      <c r="R207" s="34" t="str">
        <f t="shared" si="13"/>
        <v>N</v>
      </c>
      <c r="S207" s="24" t="str">
        <f>IF(OR($J207="",$J207="odešel"),IF(M207="","N",IF($F207="žena",CHOOSE(_xlfn.ARABIC($H207),MATCH(M207+1,'[1]Normy VP'!$G$25:$J$25,-1),MATCH(M207+1,'[1]Normy VP'!$G$26:$J$26,-1),MATCH(M207+1,'[1]Normy VP'!$G$27:$J$27,-1),MATCH(M207+1,'[1]Normy VP'!$G$28:$J$28,-1),MATCH(M207+1,'[1]Normy VP'!$G$29:$J$29,-1),"muž"),(CHOOSE(_xlfn.ARABIC($H207),MATCH(M207+1,'[1]Normy VP'!$K$10:$N$10,-1),MATCH(M207+1,'[1]Normy VP'!$K$11:$N$11,-1),MATCH(M207+1,'[1]Normy VP'!$K$12:$N$12,-1),MATCH(M207+1,'[1]Normy VP'!$K$13:$N$13,-1),MATCH(M207+1,'[1]Normy VP'!$K$14:$N$14,-1),"")))),"O")</f>
        <v>N</v>
      </c>
      <c r="T207" s="34" t="str">
        <f t="shared" si="14"/>
        <v>N</v>
      </c>
      <c r="U207" s="24" t="str">
        <f>IF(OR($J207="",$J207="odešel"),IF(N207="","N",IF($F207="žena",CHOOSE(_xlfn.ARABIC($H207),MATCH(N207+1,'[1]Normy VP'!$K$25:$N$25,-1),MATCH(N207+1,'[1]Normy VP'!$K$26:$N$26,-1),MATCH(N207+1,'[1]Normy VP'!$K$27:$N$27,-1),MATCH(N207+1,'[1]Normy VP'!$K$28:$N$28,-1),MATCH(N207+1,'[1]Normy VP'!$K$29:$N$29,-1),MATCH(N207+1,'[1]Normy VP'!$K$30:$N$30,-1)),CHOOSE(_xlfn.ARABIC($H207),MATCH(N207+1,'[1]Normy VP'!$O$10:$R$10,-1),MATCH(N207+1,'[1]Normy VP'!$O$11:$R$11,-1),MATCH(N207+1,'[1]Normy VP'!$O$12:$R$12,-1),MATCH(N207+1,'[1]Normy VP'!$O$13:$R$13,-1),MATCH(N207+1,'[1]Normy VP'!$O$14:$R$14,-1),MATCH(N207+1,'[1]Normy VP'!$O$15:$R$15,-1)))),"O")</f>
        <v>N</v>
      </c>
      <c r="V207" s="26" t="str">
        <f>IF(OR($J207="",$J207="odešel"),IF(O207="","N",IF($F207="žena",CHOOSE(_xlfn.ARABIC($H207),MATCH(O207-1,'[1]Normy VP'!$O$25:$R$25),MATCH(O207-1,'[1]Normy VP'!$O$26:$R$26),MATCH(O207-1,'[1]Normy VP'!$O$27:$R$27),MATCH(O207-1,'[1]Normy VP'!$O$28:$R$28),MATCH(O207-1,'[1]Normy VP'!$O$29:$R$29),MATCH(O207-1,'[1]Normy VP'!$O$30:$R$30)),CHOOSE(_xlfn.ARABIC($H207),MATCH(O207-1,'[1]Normy VP'!$S$10:$V$10),MATCH(O207-1,'[1]Normy VP'!$S$11:$V$11),MATCH(O207-1,'[1]Normy VP'!$S$12:$V$12),MATCH(O207-1,'[1]Normy VP'!$S$13:$V$13),MATCH(O207-1,'[1]Normy VP'!$S$14:$V$14),MATCH(O207-1,'[1]Normy VP'!$S$15:$V$15)))),"O")</f>
        <v>N</v>
      </c>
      <c r="W207" s="34" t="str">
        <f t="shared" si="15"/>
        <v>N</v>
      </c>
      <c r="X207" s="27" t="str">
        <f>IF(COUNTIF(B207:G207,"")&gt;0,"",IF(COUNTIF([1]PP!$A:$A,A207)=0,"neni v PP",IF(OR(Y207="odešel",VLOOKUP(A207,[1]PP!$A:$W,22,FALSE)="odešel"),"odešel",IF(OR(Y207="N",VLOOKUP(A207,[1]PP!$A:$W,22,FALSE)="N"),"N",IF(OR(Y207="C",VLOOKUP(A207,[1]PP!$A:$W,22,FALSE)="C"),"C",IF(OR(Y207="DZO",VLOOKUP(A207,[1]PP!$A:$W,22,FALSE)="DZO"),"DZO",IF(OR(Y207="mise",Y207="disp.",Y207="končí",Y207="DSC",VLOOKUP(A207,[1]PP!$A:$W,22,FALSE)="mise",VLOOKUP(A207,[1]PP!$A:$W,22,FALSE)="disp.",VLOOKUP(A207,[1]PP!$A:$W,22,FALSE)="končí",VLOOKUP(A207,[1]PP!$A:$W,22,FALSE)="DSC"),"jiné",IF(OR(Y207=4,VLOOKUP(A207,[1]PP!$A:$W,22,FALSE)=4),4,IF(OR(Y207=3,VLOOKUP(A207,[1]PP!$A:$W,22,FALSE)=3),3,IF(OR(Y207=2,VLOOKUP(A207,[1]PP!$A:$W,22,FALSE)=2),2,IF(AND(Y207=1,VLOOKUP(A207,[1]PP!$A:$W,22,FALSE)=1),1)))))))))))</f>
        <v/>
      </c>
      <c r="Y207" s="28" t="str">
        <f>IF(COUNTIF(B207:G207,"")&gt;0,"",IF(COUNTIF([1]PP!$A:$A,A207)=0,"neni v PP",IF(VLOOKUP(A207,[1]PP!$A:$W,8,FALSE)="odešel","odešel",IF(F207="","",IF(J207="",IF(OR(T207=4,W207=4),4,IF(AND(T207="N",W207="N"),"N",IF(OR(T207="N",W207="N"),4,ROUND(AVERAGE(T207,W207),0)))),J207)))))</f>
        <v/>
      </c>
      <c r="Z207" s="29" t="str">
        <f>IF(COUNTIF(B207:G207,"")=0,IF(X207="neni v PP",CONCATENATE("ID: &lt;",A207,"&gt; se neshoduje s žádným IDem v kartě PP"),IF(COUNTIF($A:$A,A207)&gt;1,CONCATENATE("ID: &lt;",A207,"&gt; se v kartě VP opakuje. Je nutné tyto IDy od sebe odlišit, např. mezerou za příjmením."),IF(COUNTIF([1]PP!A:A,A207)&gt;1,CONCATENATE("ID: &lt;",A207,"&gt; se v kartě PP opakuje. Je nutné tyto IDy od sebe odlišit, např. mezerou za příjmením."),IF(VLOOKUP(A207,[1]PP!$A:$W,5,FALSE)&lt;&gt;E207,CONCATENATE($E$4," &lt;",E207,"&gt; se neshoduje s jednotkou v kartě PP"," &lt;",VLOOKUP(A207,[1]PP!$A:$W,5,FALSE),"&gt;"),IF(AND(COUNTIF(K207:O207,"")&lt;5,J207="",I207=""),CONCATENATE("Doplň: ",$I$4),IF(AND(YEAR(I207)&lt;&gt;$E$2,COUNTIF(I207,"")=0),CONCATENATE("špatně uveden &lt;",$D$2,"&gt; nebo &lt;",$I$4,"&gt;"),IF(OR(AND(OR(COUNTIF(C207,"*a"),COUNTIF(C207,"*ie"),COUNTIF(C207,"*ine"),COUNTIF(D207,"*Á")),F207="muž"),AND(AND(COUNTIF(C207,"&lt;&gt;"&amp;"*a"),COUNTIF(C207,"&lt;&gt;"&amp;"*ie"),COUNTIF(C207,"&lt;&gt;"&amp;"*ine"),COUNTIF(D207,"&lt;&gt;"&amp;"*Á")),F207="žena")),CONCATENATE(C207," ",D207," je ",F207,"?"),""))))))),IF(COUNTIF(B207:O207,"")=14,"",CONCATENATE("Doplň: ",IF(B207="",CONCATENATE($B$4,IF(COUNTIF(C207:G207,"")=0,"",", ")),""),IF(C207="",CONCATENATE($C$4,IF(COUNTIF(D207:G207,"")=0,"",", ")),""),IF(D207="",CONCATENATE($D$4,IF(COUNTIF(E207:G207,"")=0,"",", ")),""),IF(E207="",CONCATENATE($E$4,IF(COUNTIF(F207:G207,"")=0,"",", ")),""),IF(F207="",CONCATENATE($F$4,IF(G207="",", ","")),""),IF(G207="",$G$4,""))))</f>
        <v/>
      </c>
      <c r="AA207" s="30"/>
    </row>
    <row r="208" spans="1:27" ht="16" x14ac:dyDescent="0.35">
      <c r="A208" s="14" t="str">
        <f t="shared" si="12"/>
        <v xml:space="preserve">  </v>
      </c>
      <c r="B208" s="15"/>
      <c r="C208" s="31"/>
      <c r="D208" s="31"/>
      <c r="E208" s="17"/>
      <c r="F208" s="18"/>
      <c r="G208" s="32"/>
      <c r="H208" s="33" t="str">
        <f>IF(G208="","",IF(F208="žena",ROMAN(MATCH(G208+1,'[1]Normy VP'!$Y$27:$Y$33,-1)),ROMAN(MATCH(G208+1,'[1]Normy VP'!$Y$19:$Y$25,-1))))</f>
        <v/>
      </c>
      <c r="I208" s="21"/>
      <c r="J208" s="22"/>
      <c r="K208" s="23"/>
      <c r="L208" s="23"/>
      <c r="M208" s="23"/>
      <c r="N208" s="22"/>
      <c r="O208" s="22"/>
      <c r="P208" s="24" t="str">
        <f>IF(OR($J208="",$J208="odešel"),IF(K208="","",IF($F208="žena",CHOOSE(_xlfn.ARABIC($H208),MATCH(K208+1,'[1]Normy VP'!$C$25:$F$25,-1),MATCH(K208+1,'[1]Normy VP'!$C$26:$F$26,-1),MATCH(K208+1,'[1]Normy VP'!$C$27:$F$27,-1),MATCH(K208+1,'[1]Normy VP'!$C$28:$F$28,-1),MATCH(K208+1,'[1]Normy VP'!$C$29:$F$29,-1),"muž"),CHOOSE(_xlfn.ARABIC($H208),MATCH(K208+1,'[1]Normy VP'!$C$10:$F$10,-1),MATCH(K208+1,'[1]Normy VP'!$C$11:$F$11,-1),MATCH(K208+1,'[1]Normy VP'!$C$12:$F$12,-1),MATCH(K208+1,'[1]Normy VP'!$C$13:$F$13,-1),MATCH(K208+1,'[1]Normy VP'!$C$14:$F$14,-1),""))),"O")</f>
        <v/>
      </c>
      <c r="Q208" s="24" t="str">
        <f>IF(OR($J208="",$J208="odešel"),IF($F208="žena","",IF(L208="","",(CHOOSE(_xlfn.ARABIC($H208),MATCH(L208+1,'[1]Normy VP'!$G$10:$J$10,-1),MATCH(L208+1,'[1]Normy VP'!$G$11:$J$11,-1),MATCH(L208+1,'[1]Normy VP'!$G$12:$J$12,-1),MATCH(L208+1,'[1]Normy VP'!$G$13:$J$13,-1),MATCH(L208+1,'[1]Normy VP'!$G$14:$J$14,-1),"")))),"O")</f>
        <v/>
      </c>
      <c r="R208" s="34" t="str">
        <f t="shared" si="13"/>
        <v>N</v>
      </c>
      <c r="S208" s="24" t="str">
        <f>IF(OR($J208="",$J208="odešel"),IF(M208="","N",IF($F208="žena",CHOOSE(_xlfn.ARABIC($H208),MATCH(M208+1,'[1]Normy VP'!$G$25:$J$25,-1),MATCH(M208+1,'[1]Normy VP'!$G$26:$J$26,-1),MATCH(M208+1,'[1]Normy VP'!$G$27:$J$27,-1),MATCH(M208+1,'[1]Normy VP'!$G$28:$J$28,-1),MATCH(M208+1,'[1]Normy VP'!$G$29:$J$29,-1),"muž"),(CHOOSE(_xlfn.ARABIC($H208),MATCH(M208+1,'[1]Normy VP'!$K$10:$N$10,-1),MATCH(M208+1,'[1]Normy VP'!$K$11:$N$11,-1),MATCH(M208+1,'[1]Normy VP'!$K$12:$N$12,-1),MATCH(M208+1,'[1]Normy VP'!$K$13:$N$13,-1),MATCH(M208+1,'[1]Normy VP'!$K$14:$N$14,-1),"")))),"O")</f>
        <v>N</v>
      </c>
      <c r="T208" s="34" t="str">
        <f t="shared" si="14"/>
        <v>N</v>
      </c>
      <c r="U208" s="24" t="str">
        <f>IF(OR($J208="",$J208="odešel"),IF(N208="","N",IF($F208="žena",CHOOSE(_xlfn.ARABIC($H208),MATCH(N208+1,'[1]Normy VP'!$K$25:$N$25,-1),MATCH(N208+1,'[1]Normy VP'!$K$26:$N$26,-1),MATCH(N208+1,'[1]Normy VP'!$K$27:$N$27,-1),MATCH(N208+1,'[1]Normy VP'!$K$28:$N$28,-1),MATCH(N208+1,'[1]Normy VP'!$K$29:$N$29,-1),MATCH(N208+1,'[1]Normy VP'!$K$30:$N$30,-1)),CHOOSE(_xlfn.ARABIC($H208),MATCH(N208+1,'[1]Normy VP'!$O$10:$R$10,-1),MATCH(N208+1,'[1]Normy VP'!$O$11:$R$11,-1),MATCH(N208+1,'[1]Normy VP'!$O$12:$R$12,-1),MATCH(N208+1,'[1]Normy VP'!$O$13:$R$13,-1),MATCH(N208+1,'[1]Normy VP'!$O$14:$R$14,-1),MATCH(N208+1,'[1]Normy VP'!$O$15:$R$15,-1)))),"O")</f>
        <v>N</v>
      </c>
      <c r="V208" s="26" t="str">
        <f>IF(OR($J208="",$J208="odešel"),IF(O208="","N",IF($F208="žena",CHOOSE(_xlfn.ARABIC($H208),MATCH(O208-1,'[1]Normy VP'!$O$25:$R$25),MATCH(O208-1,'[1]Normy VP'!$O$26:$R$26),MATCH(O208-1,'[1]Normy VP'!$O$27:$R$27),MATCH(O208-1,'[1]Normy VP'!$O$28:$R$28),MATCH(O208-1,'[1]Normy VP'!$O$29:$R$29),MATCH(O208-1,'[1]Normy VP'!$O$30:$R$30)),CHOOSE(_xlfn.ARABIC($H208),MATCH(O208-1,'[1]Normy VP'!$S$10:$V$10),MATCH(O208-1,'[1]Normy VP'!$S$11:$V$11),MATCH(O208-1,'[1]Normy VP'!$S$12:$V$12),MATCH(O208-1,'[1]Normy VP'!$S$13:$V$13),MATCH(O208-1,'[1]Normy VP'!$S$14:$V$14),MATCH(O208-1,'[1]Normy VP'!$S$15:$V$15)))),"O")</f>
        <v>N</v>
      </c>
      <c r="W208" s="34" t="str">
        <f t="shared" si="15"/>
        <v>N</v>
      </c>
      <c r="X208" s="27" t="str">
        <f>IF(COUNTIF(B208:G208,"")&gt;0,"",IF(COUNTIF([1]PP!$A:$A,A208)=0,"neni v PP",IF(OR(Y208="odešel",VLOOKUP(A208,[1]PP!$A:$W,22,FALSE)="odešel"),"odešel",IF(OR(Y208="N",VLOOKUP(A208,[1]PP!$A:$W,22,FALSE)="N"),"N",IF(OR(Y208="C",VLOOKUP(A208,[1]PP!$A:$W,22,FALSE)="C"),"C",IF(OR(Y208="DZO",VLOOKUP(A208,[1]PP!$A:$W,22,FALSE)="DZO"),"DZO",IF(OR(Y208="mise",Y208="disp.",Y208="končí",Y208="DSC",VLOOKUP(A208,[1]PP!$A:$W,22,FALSE)="mise",VLOOKUP(A208,[1]PP!$A:$W,22,FALSE)="disp.",VLOOKUP(A208,[1]PP!$A:$W,22,FALSE)="končí",VLOOKUP(A208,[1]PP!$A:$W,22,FALSE)="DSC"),"jiné",IF(OR(Y208=4,VLOOKUP(A208,[1]PP!$A:$W,22,FALSE)=4),4,IF(OR(Y208=3,VLOOKUP(A208,[1]PP!$A:$W,22,FALSE)=3),3,IF(OR(Y208=2,VLOOKUP(A208,[1]PP!$A:$W,22,FALSE)=2),2,IF(AND(Y208=1,VLOOKUP(A208,[1]PP!$A:$W,22,FALSE)=1),1)))))))))))</f>
        <v/>
      </c>
      <c r="Y208" s="28" t="str">
        <f>IF(COUNTIF(B208:G208,"")&gt;0,"",IF(COUNTIF([1]PP!$A:$A,A208)=0,"neni v PP",IF(VLOOKUP(A208,[1]PP!$A:$W,8,FALSE)="odešel","odešel",IF(F208="","",IF(J208="",IF(OR(T208=4,W208=4),4,IF(AND(T208="N",W208="N"),"N",IF(OR(T208="N",W208="N"),4,ROUND(AVERAGE(T208,W208),0)))),J208)))))</f>
        <v/>
      </c>
      <c r="Z208" s="29" t="str">
        <f>IF(COUNTIF(B208:G208,"")=0,IF(X208="neni v PP",CONCATENATE("ID: &lt;",A208,"&gt; se neshoduje s žádným IDem v kartě PP"),IF(COUNTIF($A:$A,A208)&gt;1,CONCATENATE("ID: &lt;",A208,"&gt; se v kartě VP opakuje. Je nutné tyto IDy od sebe odlišit, např. mezerou za příjmením."),IF(COUNTIF([1]PP!A:A,A208)&gt;1,CONCATENATE("ID: &lt;",A208,"&gt; se v kartě PP opakuje. Je nutné tyto IDy od sebe odlišit, např. mezerou za příjmením."),IF(VLOOKUP(A208,[1]PP!$A:$W,5,FALSE)&lt;&gt;E208,CONCATENATE($E$4," &lt;",E208,"&gt; se neshoduje s jednotkou v kartě PP"," &lt;",VLOOKUP(A208,[1]PP!$A:$W,5,FALSE),"&gt;"),IF(AND(COUNTIF(K208:O208,"")&lt;5,J208="",I208=""),CONCATENATE("Doplň: ",$I$4),IF(AND(YEAR(I208)&lt;&gt;$E$2,COUNTIF(I208,"")=0),CONCATENATE("špatně uveden &lt;",$D$2,"&gt; nebo &lt;",$I$4,"&gt;"),IF(OR(AND(OR(COUNTIF(C208,"*a"),COUNTIF(C208,"*ie"),COUNTIF(C208,"*ine"),COUNTIF(D208,"*Á")),F208="muž"),AND(AND(COUNTIF(C208,"&lt;&gt;"&amp;"*a"),COUNTIF(C208,"&lt;&gt;"&amp;"*ie"),COUNTIF(C208,"&lt;&gt;"&amp;"*ine"),COUNTIF(D208,"&lt;&gt;"&amp;"*Á")),F208="žena")),CONCATENATE(C208," ",D208," je ",F208,"?"),""))))))),IF(COUNTIF(B208:O208,"")=14,"",CONCATENATE("Doplň: ",IF(B208="",CONCATENATE($B$4,IF(COUNTIF(C208:G208,"")=0,"",", ")),""),IF(C208="",CONCATENATE($C$4,IF(COUNTIF(D208:G208,"")=0,"",", ")),""),IF(D208="",CONCATENATE($D$4,IF(COUNTIF(E208:G208,"")=0,"",", ")),""),IF(E208="",CONCATENATE($E$4,IF(COUNTIF(F208:G208,"")=0,"",", ")),""),IF(F208="",CONCATENATE($F$4,IF(G208="",", ","")),""),IF(G208="",$G$4,""))))</f>
        <v/>
      </c>
      <c r="AA208" s="30"/>
    </row>
    <row r="209" spans="1:27" ht="16" x14ac:dyDescent="0.35">
      <c r="A209" s="14" t="str">
        <f t="shared" si="12"/>
        <v xml:space="preserve">  </v>
      </c>
      <c r="B209" s="15"/>
      <c r="C209" s="31"/>
      <c r="D209" s="31"/>
      <c r="E209" s="17"/>
      <c r="F209" s="18"/>
      <c r="G209" s="32"/>
      <c r="H209" s="33" t="str">
        <f>IF(G209="","",IF(F209="žena",ROMAN(MATCH(G209+1,'[1]Normy VP'!$Y$27:$Y$33,-1)),ROMAN(MATCH(G209+1,'[1]Normy VP'!$Y$19:$Y$25,-1))))</f>
        <v/>
      </c>
      <c r="I209" s="21"/>
      <c r="J209" s="22"/>
      <c r="K209" s="23"/>
      <c r="L209" s="23"/>
      <c r="M209" s="23"/>
      <c r="N209" s="22"/>
      <c r="O209" s="22"/>
      <c r="P209" s="24" t="str">
        <f>IF(OR($J209="",$J209="odešel"),IF(K209="","",IF($F209="žena",CHOOSE(_xlfn.ARABIC($H209),MATCH(K209+1,'[1]Normy VP'!$C$25:$F$25,-1),MATCH(K209+1,'[1]Normy VP'!$C$26:$F$26,-1),MATCH(K209+1,'[1]Normy VP'!$C$27:$F$27,-1),MATCH(K209+1,'[1]Normy VP'!$C$28:$F$28,-1),MATCH(K209+1,'[1]Normy VP'!$C$29:$F$29,-1),"muž"),CHOOSE(_xlfn.ARABIC($H209),MATCH(K209+1,'[1]Normy VP'!$C$10:$F$10,-1),MATCH(K209+1,'[1]Normy VP'!$C$11:$F$11,-1),MATCH(K209+1,'[1]Normy VP'!$C$12:$F$12,-1),MATCH(K209+1,'[1]Normy VP'!$C$13:$F$13,-1),MATCH(K209+1,'[1]Normy VP'!$C$14:$F$14,-1),""))),"O")</f>
        <v/>
      </c>
      <c r="Q209" s="24" t="str">
        <f>IF(OR($J209="",$J209="odešel"),IF($F209="žena","",IF(L209="","",(CHOOSE(_xlfn.ARABIC($H209),MATCH(L209+1,'[1]Normy VP'!$G$10:$J$10,-1),MATCH(L209+1,'[1]Normy VP'!$G$11:$J$11,-1),MATCH(L209+1,'[1]Normy VP'!$G$12:$J$12,-1),MATCH(L209+1,'[1]Normy VP'!$G$13:$J$13,-1),MATCH(L209+1,'[1]Normy VP'!$G$14:$J$14,-1),"")))),"O")</f>
        <v/>
      </c>
      <c r="R209" s="34" t="str">
        <f t="shared" si="13"/>
        <v>N</v>
      </c>
      <c r="S209" s="24" t="str">
        <f>IF(OR($J209="",$J209="odešel"),IF(M209="","N",IF($F209="žena",CHOOSE(_xlfn.ARABIC($H209),MATCH(M209+1,'[1]Normy VP'!$G$25:$J$25,-1),MATCH(M209+1,'[1]Normy VP'!$G$26:$J$26,-1),MATCH(M209+1,'[1]Normy VP'!$G$27:$J$27,-1),MATCH(M209+1,'[1]Normy VP'!$G$28:$J$28,-1),MATCH(M209+1,'[1]Normy VP'!$G$29:$J$29,-1),"muž"),(CHOOSE(_xlfn.ARABIC($H209),MATCH(M209+1,'[1]Normy VP'!$K$10:$N$10,-1),MATCH(M209+1,'[1]Normy VP'!$K$11:$N$11,-1),MATCH(M209+1,'[1]Normy VP'!$K$12:$N$12,-1),MATCH(M209+1,'[1]Normy VP'!$K$13:$N$13,-1),MATCH(M209+1,'[1]Normy VP'!$K$14:$N$14,-1),"")))),"O")</f>
        <v>N</v>
      </c>
      <c r="T209" s="34" t="str">
        <f t="shared" si="14"/>
        <v>N</v>
      </c>
      <c r="U209" s="24" t="str">
        <f>IF(OR($J209="",$J209="odešel"),IF(N209="","N",IF($F209="žena",CHOOSE(_xlfn.ARABIC($H209),MATCH(N209+1,'[1]Normy VP'!$K$25:$N$25,-1),MATCH(N209+1,'[1]Normy VP'!$K$26:$N$26,-1),MATCH(N209+1,'[1]Normy VP'!$K$27:$N$27,-1),MATCH(N209+1,'[1]Normy VP'!$K$28:$N$28,-1),MATCH(N209+1,'[1]Normy VP'!$K$29:$N$29,-1),MATCH(N209+1,'[1]Normy VP'!$K$30:$N$30,-1)),CHOOSE(_xlfn.ARABIC($H209),MATCH(N209+1,'[1]Normy VP'!$O$10:$R$10,-1),MATCH(N209+1,'[1]Normy VP'!$O$11:$R$11,-1),MATCH(N209+1,'[1]Normy VP'!$O$12:$R$12,-1),MATCH(N209+1,'[1]Normy VP'!$O$13:$R$13,-1),MATCH(N209+1,'[1]Normy VP'!$O$14:$R$14,-1),MATCH(N209+1,'[1]Normy VP'!$O$15:$R$15,-1)))),"O")</f>
        <v>N</v>
      </c>
      <c r="V209" s="26" t="str">
        <f>IF(OR($J209="",$J209="odešel"),IF(O209="","N",IF($F209="žena",CHOOSE(_xlfn.ARABIC($H209),MATCH(O209-1,'[1]Normy VP'!$O$25:$R$25),MATCH(O209-1,'[1]Normy VP'!$O$26:$R$26),MATCH(O209-1,'[1]Normy VP'!$O$27:$R$27),MATCH(O209-1,'[1]Normy VP'!$O$28:$R$28),MATCH(O209-1,'[1]Normy VP'!$O$29:$R$29),MATCH(O209-1,'[1]Normy VP'!$O$30:$R$30)),CHOOSE(_xlfn.ARABIC($H209),MATCH(O209-1,'[1]Normy VP'!$S$10:$V$10),MATCH(O209-1,'[1]Normy VP'!$S$11:$V$11),MATCH(O209-1,'[1]Normy VP'!$S$12:$V$12),MATCH(O209-1,'[1]Normy VP'!$S$13:$V$13),MATCH(O209-1,'[1]Normy VP'!$S$14:$V$14),MATCH(O209-1,'[1]Normy VP'!$S$15:$V$15)))),"O")</f>
        <v>N</v>
      </c>
      <c r="W209" s="34" t="str">
        <f t="shared" si="15"/>
        <v>N</v>
      </c>
      <c r="X209" s="27" t="str">
        <f>IF(COUNTIF(B209:G209,"")&gt;0,"",IF(COUNTIF([1]PP!$A:$A,A209)=0,"neni v PP",IF(OR(Y209="odešel",VLOOKUP(A209,[1]PP!$A:$W,22,FALSE)="odešel"),"odešel",IF(OR(Y209="N",VLOOKUP(A209,[1]PP!$A:$W,22,FALSE)="N"),"N",IF(OR(Y209="C",VLOOKUP(A209,[1]PP!$A:$W,22,FALSE)="C"),"C",IF(OR(Y209="DZO",VLOOKUP(A209,[1]PP!$A:$W,22,FALSE)="DZO"),"DZO",IF(OR(Y209="mise",Y209="disp.",Y209="končí",Y209="DSC",VLOOKUP(A209,[1]PP!$A:$W,22,FALSE)="mise",VLOOKUP(A209,[1]PP!$A:$W,22,FALSE)="disp.",VLOOKUP(A209,[1]PP!$A:$W,22,FALSE)="končí",VLOOKUP(A209,[1]PP!$A:$W,22,FALSE)="DSC"),"jiné",IF(OR(Y209=4,VLOOKUP(A209,[1]PP!$A:$W,22,FALSE)=4),4,IF(OR(Y209=3,VLOOKUP(A209,[1]PP!$A:$W,22,FALSE)=3),3,IF(OR(Y209=2,VLOOKUP(A209,[1]PP!$A:$W,22,FALSE)=2),2,IF(AND(Y209=1,VLOOKUP(A209,[1]PP!$A:$W,22,FALSE)=1),1)))))))))))</f>
        <v/>
      </c>
      <c r="Y209" s="28" t="str">
        <f>IF(COUNTIF(B209:G209,"")&gt;0,"",IF(COUNTIF([1]PP!$A:$A,A209)=0,"neni v PP",IF(VLOOKUP(A209,[1]PP!$A:$W,8,FALSE)="odešel","odešel",IF(F209="","",IF(J209="",IF(OR(T209=4,W209=4),4,IF(AND(T209="N",W209="N"),"N",IF(OR(T209="N",W209="N"),4,ROUND(AVERAGE(T209,W209),0)))),J209)))))</f>
        <v/>
      </c>
      <c r="Z209" s="29" t="str">
        <f>IF(COUNTIF(B209:G209,"")=0,IF(X209="neni v PP",CONCATENATE("ID: &lt;",A209,"&gt; se neshoduje s žádným IDem v kartě PP"),IF(COUNTIF($A:$A,A209)&gt;1,CONCATENATE("ID: &lt;",A209,"&gt; se v kartě VP opakuje. Je nutné tyto IDy od sebe odlišit, např. mezerou za příjmením."),IF(COUNTIF([1]PP!A:A,A209)&gt;1,CONCATENATE("ID: &lt;",A209,"&gt; se v kartě PP opakuje. Je nutné tyto IDy od sebe odlišit, např. mezerou za příjmením."),IF(VLOOKUP(A209,[1]PP!$A:$W,5,FALSE)&lt;&gt;E209,CONCATENATE($E$4," &lt;",E209,"&gt; se neshoduje s jednotkou v kartě PP"," &lt;",VLOOKUP(A209,[1]PP!$A:$W,5,FALSE),"&gt;"),IF(AND(COUNTIF(K209:O209,"")&lt;5,J209="",I209=""),CONCATENATE("Doplň: ",$I$4),IF(AND(YEAR(I209)&lt;&gt;$E$2,COUNTIF(I209,"")=0),CONCATENATE("špatně uveden &lt;",$D$2,"&gt; nebo &lt;",$I$4,"&gt;"),IF(OR(AND(OR(COUNTIF(C209,"*a"),COUNTIF(C209,"*ie"),COUNTIF(C209,"*ine"),COUNTIF(D209,"*Á")),F209="muž"),AND(AND(COUNTIF(C209,"&lt;&gt;"&amp;"*a"),COUNTIF(C209,"&lt;&gt;"&amp;"*ie"),COUNTIF(C209,"&lt;&gt;"&amp;"*ine"),COUNTIF(D209,"&lt;&gt;"&amp;"*Á")),F209="žena")),CONCATENATE(C209," ",D209," je ",F209,"?"),""))))))),IF(COUNTIF(B209:O209,"")=14,"",CONCATENATE("Doplň: ",IF(B209="",CONCATENATE($B$4,IF(COUNTIF(C209:G209,"")=0,"",", ")),""),IF(C209="",CONCATENATE($C$4,IF(COUNTIF(D209:G209,"")=0,"",", ")),""),IF(D209="",CONCATENATE($D$4,IF(COUNTIF(E209:G209,"")=0,"",", ")),""),IF(E209="",CONCATENATE($E$4,IF(COUNTIF(F209:G209,"")=0,"",", ")),""),IF(F209="",CONCATENATE($F$4,IF(G209="",", ","")),""),IF(G209="",$G$4,""))))</f>
        <v/>
      </c>
      <c r="AA209" s="30"/>
    </row>
    <row r="210" spans="1:27" ht="16" x14ac:dyDescent="0.35">
      <c r="A210" s="14" t="str">
        <f t="shared" si="12"/>
        <v xml:space="preserve">  </v>
      </c>
      <c r="B210" s="15"/>
      <c r="C210" s="31"/>
      <c r="D210" s="31"/>
      <c r="E210" s="17"/>
      <c r="F210" s="18"/>
      <c r="G210" s="32"/>
      <c r="H210" s="33" t="str">
        <f>IF(G210="","",IF(F210="žena",ROMAN(MATCH(G210+1,'[1]Normy VP'!$Y$27:$Y$33,-1)),ROMAN(MATCH(G210+1,'[1]Normy VP'!$Y$19:$Y$25,-1))))</f>
        <v/>
      </c>
      <c r="I210" s="21"/>
      <c r="J210" s="22"/>
      <c r="K210" s="23"/>
      <c r="L210" s="23"/>
      <c r="M210" s="23"/>
      <c r="N210" s="22"/>
      <c r="O210" s="22"/>
      <c r="P210" s="24" t="str">
        <f>IF(OR($J210="",$J210="odešel"),IF(K210="","",IF($F210="žena",CHOOSE(_xlfn.ARABIC($H210),MATCH(K210+1,'[1]Normy VP'!$C$25:$F$25,-1),MATCH(K210+1,'[1]Normy VP'!$C$26:$F$26,-1),MATCH(K210+1,'[1]Normy VP'!$C$27:$F$27,-1),MATCH(K210+1,'[1]Normy VP'!$C$28:$F$28,-1),MATCH(K210+1,'[1]Normy VP'!$C$29:$F$29,-1),"muž"),CHOOSE(_xlfn.ARABIC($H210),MATCH(K210+1,'[1]Normy VP'!$C$10:$F$10,-1),MATCH(K210+1,'[1]Normy VP'!$C$11:$F$11,-1),MATCH(K210+1,'[1]Normy VP'!$C$12:$F$12,-1),MATCH(K210+1,'[1]Normy VP'!$C$13:$F$13,-1),MATCH(K210+1,'[1]Normy VP'!$C$14:$F$14,-1),""))),"O")</f>
        <v/>
      </c>
      <c r="Q210" s="24" t="str">
        <f>IF(OR($J210="",$J210="odešel"),IF($F210="žena","",IF(L210="","",(CHOOSE(_xlfn.ARABIC($H210),MATCH(L210+1,'[1]Normy VP'!$G$10:$J$10,-1),MATCH(L210+1,'[1]Normy VP'!$G$11:$J$11,-1),MATCH(L210+1,'[1]Normy VP'!$G$12:$J$12,-1),MATCH(L210+1,'[1]Normy VP'!$G$13:$J$13,-1),MATCH(L210+1,'[1]Normy VP'!$G$14:$J$14,-1),"")))),"O")</f>
        <v/>
      </c>
      <c r="R210" s="34" t="str">
        <f t="shared" si="13"/>
        <v>N</v>
      </c>
      <c r="S210" s="24" t="str">
        <f>IF(OR($J210="",$J210="odešel"),IF(M210="","N",IF($F210="žena",CHOOSE(_xlfn.ARABIC($H210),MATCH(M210+1,'[1]Normy VP'!$G$25:$J$25,-1),MATCH(M210+1,'[1]Normy VP'!$G$26:$J$26,-1),MATCH(M210+1,'[1]Normy VP'!$G$27:$J$27,-1),MATCH(M210+1,'[1]Normy VP'!$G$28:$J$28,-1),MATCH(M210+1,'[1]Normy VP'!$G$29:$J$29,-1),"muž"),(CHOOSE(_xlfn.ARABIC($H210),MATCH(M210+1,'[1]Normy VP'!$K$10:$N$10,-1),MATCH(M210+1,'[1]Normy VP'!$K$11:$N$11,-1),MATCH(M210+1,'[1]Normy VP'!$K$12:$N$12,-1),MATCH(M210+1,'[1]Normy VP'!$K$13:$N$13,-1),MATCH(M210+1,'[1]Normy VP'!$K$14:$N$14,-1),"")))),"O")</f>
        <v>N</v>
      </c>
      <c r="T210" s="34" t="str">
        <f t="shared" si="14"/>
        <v>N</v>
      </c>
      <c r="U210" s="24" t="str">
        <f>IF(OR($J210="",$J210="odešel"),IF(N210="","N",IF($F210="žena",CHOOSE(_xlfn.ARABIC($H210),MATCH(N210+1,'[1]Normy VP'!$K$25:$N$25,-1),MATCH(N210+1,'[1]Normy VP'!$K$26:$N$26,-1),MATCH(N210+1,'[1]Normy VP'!$K$27:$N$27,-1),MATCH(N210+1,'[1]Normy VP'!$K$28:$N$28,-1),MATCH(N210+1,'[1]Normy VP'!$K$29:$N$29,-1),MATCH(N210+1,'[1]Normy VP'!$K$30:$N$30,-1)),CHOOSE(_xlfn.ARABIC($H210),MATCH(N210+1,'[1]Normy VP'!$O$10:$R$10,-1),MATCH(N210+1,'[1]Normy VP'!$O$11:$R$11,-1),MATCH(N210+1,'[1]Normy VP'!$O$12:$R$12,-1),MATCH(N210+1,'[1]Normy VP'!$O$13:$R$13,-1),MATCH(N210+1,'[1]Normy VP'!$O$14:$R$14,-1),MATCH(N210+1,'[1]Normy VP'!$O$15:$R$15,-1)))),"O")</f>
        <v>N</v>
      </c>
      <c r="V210" s="26" t="str">
        <f>IF(OR($J210="",$J210="odešel"),IF(O210="","N",IF($F210="žena",CHOOSE(_xlfn.ARABIC($H210),MATCH(O210-1,'[1]Normy VP'!$O$25:$R$25),MATCH(O210-1,'[1]Normy VP'!$O$26:$R$26),MATCH(O210-1,'[1]Normy VP'!$O$27:$R$27),MATCH(O210-1,'[1]Normy VP'!$O$28:$R$28),MATCH(O210-1,'[1]Normy VP'!$O$29:$R$29),MATCH(O210-1,'[1]Normy VP'!$O$30:$R$30)),CHOOSE(_xlfn.ARABIC($H210),MATCH(O210-1,'[1]Normy VP'!$S$10:$V$10),MATCH(O210-1,'[1]Normy VP'!$S$11:$V$11),MATCH(O210-1,'[1]Normy VP'!$S$12:$V$12),MATCH(O210-1,'[1]Normy VP'!$S$13:$V$13),MATCH(O210-1,'[1]Normy VP'!$S$14:$V$14),MATCH(O210-1,'[1]Normy VP'!$S$15:$V$15)))),"O")</f>
        <v>N</v>
      </c>
      <c r="W210" s="34" t="str">
        <f t="shared" si="15"/>
        <v>N</v>
      </c>
      <c r="X210" s="27" t="str">
        <f>IF(COUNTIF(B210:G210,"")&gt;0,"",IF(COUNTIF([1]PP!$A:$A,A210)=0,"neni v PP",IF(OR(Y210="odešel",VLOOKUP(A210,[1]PP!$A:$W,22,FALSE)="odešel"),"odešel",IF(OR(Y210="N",VLOOKUP(A210,[1]PP!$A:$W,22,FALSE)="N"),"N",IF(OR(Y210="C",VLOOKUP(A210,[1]PP!$A:$W,22,FALSE)="C"),"C",IF(OR(Y210="DZO",VLOOKUP(A210,[1]PP!$A:$W,22,FALSE)="DZO"),"DZO",IF(OR(Y210="mise",Y210="disp.",Y210="končí",Y210="DSC",VLOOKUP(A210,[1]PP!$A:$W,22,FALSE)="mise",VLOOKUP(A210,[1]PP!$A:$W,22,FALSE)="disp.",VLOOKUP(A210,[1]PP!$A:$W,22,FALSE)="končí",VLOOKUP(A210,[1]PP!$A:$W,22,FALSE)="DSC"),"jiné",IF(OR(Y210=4,VLOOKUP(A210,[1]PP!$A:$W,22,FALSE)=4),4,IF(OR(Y210=3,VLOOKUP(A210,[1]PP!$A:$W,22,FALSE)=3),3,IF(OR(Y210=2,VLOOKUP(A210,[1]PP!$A:$W,22,FALSE)=2),2,IF(AND(Y210=1,VLOOKUP(A210,[1]PP!$A:$W,22,FALSE)=1),1)))))))))))</f>
        <v/>
      </c>
      <c r="Y210" s="28" t="str">
        <f>IF(COUNTIF(B210:G210,"")&gt;0,"",IF(COUNTIF([1]PP!$A:$A,A210)=0,"neni v PP",IF(VLOOKUP(A210,[1]PP!$A:$W,8,FALSE)="odešel","odešel",IF(F210="","",IF(J210="",IF(OR(T210=4,W210=4),4,IF(AND(T210="N",W210="N"),"N",IF(OR(T210="N",W210="N"),4,ROUND(AVERAGE(T210,W210),0)))),J210)))))</f>
        <v/>
      </c>
      <c r="Z210" s="29" t="str">
        <f>IF(COUNTIF(B210:G210,"")=0,IF(X210="neni v PP",CONCATENATE("ID: &lt;",A210,"&gt; se neshoduje s žádným IDem v kartě PP"),IF(COUNTIF($A:$A,A210)&gt;1,CONCATENATE("ID: &lt;",A210,"&gt; se v kartě VP opakuje. Je nutné tyto IDy od sebe odlišit, např. mezerou za příjmením."),IF(COUNTIF([1]PP!A:A,A210)&gt;1,CONCATENATE("ID: &lt;",A210,"&gt; se v kartě PP opakuje. Je nutné tyto IDy od sebe odlišit, např. mezerou za příjmením."),IF(VLOOKUP(A210,[1]PP!$A:$W,5,FALSE)&lt;&gt;E210,CONCATENATE($E$4," &lt;",E210,"&gt; se neshoduje s jednotkou v kartě PP"," &lt;",VLOOKUP(A210,[1]PP!$A:$W,5,FALSE),"&gt;"),IF(AND(COUNTIF(K210:O210,"")&lt;5,J210="",I210=""),CONCATENATE("Doplň: ",$I$4),IF(AND(YEAR(I210)&lt;&gt;$E$2,COUNTIF(I210,"")=0),CONCATENATE("špatně uveden &lt;",$D$2,"&gt; nebo &lt;",$I$4,"&gt;"),IF(OR(AND(OR(COUNTIF(C210,"*a"),COUNTIF(C210,"*ie"),COUNTIF(C210,"*ine"),COUNTIF(D210,"*Á")),F210="muž"),AND(AND(COUNTIF(C210,"&lt;&gt;"&amp;"*a"),COUNTIF(C210,"&lt;&gt;"&amp;"*ie"),COUNTIF(C210,"&lt;&gt;"&amp;"*ine"),COUNTIF(D210,"&lt;&gt;"&amp;"*Á")),F210="žena")),CONCATENATE(C210," ",D210," je ",F210,"?"),""))))))),IF(COUNTIF(B210:O210,"")=14,"",CONCATENATE("Doplň: ",IF(B210="",CONCATENATE($B$4,IF(COUNTIF(C210:G210,"")=0,"",", ")),""),IF(C210="",CONCATENATE($C$4,IF(COUNTIF(D210:G210,"")=0,"",", ")),""),IF(D210="",CONCATENATE($D$4,IF(COUNTIF(E210:G210,"")=0,"",", ")),""),IF(E210="",CONCATENATE($E$4,IF(COUNTIF(F210:G210,"")=0,"",", ")),""),IF(F210="",CONCATENATE($F$4,IF(G210="",", ","")),""),IF(G210="",$G$4,""))))</f>
        <v/>
      </c>
      <c r="AA210" s="30"/>
    </row>
    <row r="211" spans="1:27" ht="16" x14ac:dyDescent="0.35">
      <c r="A211" s="14" t="str">
        <f t="shared" si="12"/>
        <v xml:space="preserve">  </v>
      </c>
      <c r="B211" s="15"/>
      <c r="C211" s="31"/>
      <c r="D211" s="40"/>
      <c r="E211" s="17"/>
      <c r="F211" s="18"/>
      <c r="G211" s="32"/>
      <c r="H211" s="33" t="str">
        <f>IF(G211="","",IF(F211="žena",ROMAN(MATCH(G211+1,'[1]Normy VP'!$Y$27:$Y$33,-1)),ROMAN(MATCH(G211+1,'[1]Normy VP'!$Y$19:$Y$25,-1))))</f>
        <v/>
      </c>
      <c r="I211" s="21"/>
      <c r="J211" s="22"/>
      <c r="K211" s="23"/>
      <c r="L211" s="23"/>
      <c r="M211" s="23"/>
      <c r="N211" s="22"/>
      <c r="O211" s="22"/>
      <c r="P211" s="24" t="str">
        <f>IF(OR($J211="",$J211="odešel"),IF(K211="","",IF($F211="žena",CHOOSE(_xlfn.ARABIC($H211),MATCH(K211+1,'[1]Normy VP'!$C$25:$F$25,-1),MATCH(K211+1,'[1]Normy VP'!$C$26:$F$26,-1),MATCH(K211+1,'[1]Normy VP'!$C$27:$F$27,-1),MATCH(K211+1,'[1]Normy VP'!$C$28:$F$28,-1),MATCH(K211+1,'[1]Normy VP'!$C$29:$F$29,-1),"muž"),CHOOSE(_xlfn.ARABIC($H211),MATCH(K211+1,'[1]Normy VP'!$C$10:$F$10,-1),MATCH(K211+1,'[1]Normy VP'!$C$11:$F$11,-1),MATCH(K211+1,'[1]Normy VP'!$C$12:$F$12,-1),MATCH(K211+1,'[1]Normy VP'!$C$13:$F$13,-1),MATCH(K211+1,'[1]Normy VP'!$C$14:$F$14,-1),""))),"O")</f>
        <v/>
      </c>
      <c r="Q211" s="24" t="str">
        <f>IF(OR($J211="",$J211="odešel"),IF($F211="žena","",IF(L211="","",(CHOOSE(_xlfn.ARABIC($H211),MATCH(L211+1,'[1]Normy VP'!$G$10:$J$10,-1),MATCH(L211+1,'[1]Normy VP'!$G$11:$J$11,-1),MATCH(L211+1,'[1]Normy VP'!$G$12:$J$12,-1),MATCH(L211+1,'[1]Normy VP'!$G$13:$J$13,-1),MATCH(L211+1,'[1]Normy VP'!$G$14:$J$14,-1),"")))),"O")</f>
        <v/>
      </c>
      <c r="R211" s="34" t="str">
        <f t="shared" si="13"/>
        <v>N</v>
      </c>
      <c r="S211" s="24" t="str">
        <f>IF(OR($J211="",$J211="odešel"),IF(M211="","N",IF($F211="žena",CHOOSE(_xlfn.ARABIC($H211),MATCH(M211+1,'[1]Normy VP'!$G$25:$J$25,-1),MATCH(M211+1,'[1]Normy VP'!$G$26:$J$26,-1),MATCH(M211+1,'[1]Normy VP'!$G$27:$J$27,-1),MATCH(M211+1,'[1]Normy VP'!$G$28:$J$28,-1),MATCH(M211+1,'[1]Normy VP'!$G$29:$J$29,-1),"muž"),(CHOOSE(_xlfn.ARABIC($H211),MATCH(M211+1,'[1]Normy VP'!$K$10:$N$10,-1),MATCH(M211+1,'[1]Normy VP'!$K$11:$N$11,-1),MATCH(M211+1,'[1]Normy VP'!$K$12:$N$12,-1),MATCH(M211+1,'[1]Normy VP'!$K$13:$N$13,-1),MATCH(M211+1,'[1]Normy VP'!$K$14:$N$14,-1),"")))),"O")</f>
        <v>N</v>
      </c>
      <c r="T211" s="34" t="str">
        <f t="shared" si="14"/>
        <v>N</v>
      </c>
      <c r="U211" s="24" t="str">
        <f>IF(OR($J211="",$J211="odešel"),IF(N211="","N",IF($F211="žena",CHOOSE(_xlfn.ARABIC($H211),MATCH(N211+1,'[1]Normy VP'!$K$25:$N$25,-1),MATCH(N211+1,'[1]Normy VP'!$K$26:$N$26,-1),MATCH(N211+1,'[1]Normy VP'!$K$27:$N$27,-1),MATCH(N211+1,'[1]Normy VP'!$K$28:$N$28,-1),MATCH(N211+1,'[1]Normy VP'!$K$29:$N$29,-1),MATCH(N211+1,'[1]Normy VP'!$K$30:$N$30,-1)),CHOOSE(_xlfn.ARABIC($H211),MATCH(N211+1,'[1]Normy VP'!$O$10:$R$10,-1),MATCH(N211+1,'[1]Normy VP'!$O$11:$R$11,-1),MATCH(N211+1,'[1]Normy VP'!$O$12:$R$12,-1),MATCH(N211+1,'[1]Normy VP'!$O$13:$R$13,-1),MATCH(N211+1,'[1]Normy VP'!$O$14:$R$14,-1),MATCH(N211+1,'[1]Normy VP'!$O$15:$R$15,-1)))),"O")</f>
        <v>N</v>
      </c>
      <c r="V211" s="26" t="str">
        <f>IF(OR($J211="",$J211="odešel"),IF(O211="","N",IF($F211="žena",CHOOSE(_xlfn.ARABIC($H211),MATCH(O211-1,'[1]Normy VP'!$O$25:$R$25),MATCH(O211-1,'[1]Normy VP'!$O$26:$R$26),MATCH(O211-1,'[1]Normy VP'!$O$27:$R$27),MATCH(O211-1,'[1]Normy VP'!$O$28:$R$28),MATCH(O211-1,'[1]Normy VP'!$O$29:$R$29),MATCH(O211-1,'[1]Normy VP'!$O$30:$R$30)),CHOOSE(_xlfn.ARABIC($H211),MATCH(O211-1,'[1]Normy VP'!$S$10:$V$10),MATCH(O211-1,'[1]Normy VP'!$S$11:$V$11),MATCH(O211-1,'[1]Normy VP'!$S$12:$V$12),MATCH(O211-1,'[1]Normy VP'!$S$13:$V$13),MATCH(O211-1,'[1]Normy VP'!$S$14:$V$14),MATCH(O211-1,'[1]Normy VP'!$S$15:$V$15)))),"O")</f>
        <v>N</v>
      </c>
      <c r="W211" s="34" t="str">
        <f t="shared" si="15"/>
        <v>N</v>
      </c>
      <c r="X211" s="27" t="str">
        <f>IF(COUNTIF(B211:G211,"")&gt;0,"",IF(COUNTIF([1]PP!$A:$A,A211)=0,"neni v PP",IF(OR(Y211="odešel",VLOOKUP(A211,[1]PP!$A:$W,22,FALSE)="odešel"),"odešel",IF(OR(Y211="N",VLOOKUP(A211,[1]PP!$A:$W,22,FALSE)="N"),"N",IF(OR(Y211="C",VLOOKUP(A211,[1]PP!$A:$W,22,FALSE)="C"),"C",IF(OR(Y211="DZO",VLOOKUP(A211,[1]PP!$A:$W,22,FALSE)="DZO"),"DZO",IF(OR(Y211="mise",Y211="disp.",Y211="končí",Y211="DSC",VLOOKUP(A211,[1]PP!$A:$W,22,FALSE)="mise",VLOOKUP(A211,[1]PP!$A:$W,22,FALSE)="disp.",VLOOKUP(A211,[1]PP!$A:$W,22,FALSE)="končí",VLOOKUP(A211,[1]PP!$A:$W,22,FALSE)="DSC"),"jiné",IF(OR(Y211=4,VLOOKUP(A211,[1]PP!$A:$W,22,FALSE)=4),4,IF(OR(Y211=3,VLOOKUP(A211,[1]PP!$A:$W,22,FALSE)=3),3,IF(OR(Y211=2,VLOOKUP(A211,[1]PP!$A:$W,22,FALSE)=2),2,IF(AND(Y211=1,VLOOKUP(A211,[1]PP!$A:$W,22,FALSE)=1),1)))))))))))</f>
        <v/>
      </c>
      <c r="Y211" s="28" t="str">
        <f>IF(COUNTIF(B211:G211,"")&gt;0,"",IF(COUNTIF([1]PP!$A:$A,A211)=0,"neni v PP",IF(VLOOKUP(A211,[1]PP!$A:$W,8,FALSE)="odešel","odešel",IF(F211="","",IF(J211="",IF(OR(T211=4,W211=4),4,IF(AND(T211="N",W211="N"),"N",IF(OR(T211="N",W211="N"),4,ROUND(AVERAGE(T211,W211),0)))),J211)))))</f>
        <v/>
      </c>
      <c r="Z211" s="29"/>
      <c r="AA211" s="30"/>
    </row>
    <row r="212" spans="1:27" ht="16" x14ac:dyDescent="0.35">
      <c r="A212" s="14" t="str">
        <f t="shared" si="12"/>
        <v xml:space="preserve">  </v>
      </c>
      <c r="B212" s="15"/>
      <c r="C212" s="31"/>
      <c r="D212" s="31"/>
      <c r="E212" s="17"/>
      <c r="F212" s="18"/>
      <c r="G212" s="32"/>
      <c r="H212" s="33" t="str">
        <f>IF(G212="","",IF(F212="žena",ROMAN(MATCH(G212+1,'[1]Normy VP'!$Y$27:$Y$33,-1)),ROMAN(MATCH(G212+1,'[1]Normy VP'!$Y$19:$Y$25,-1))))</f>
        <v/>
      </c>
      <c r="I212" s="21"/>
      <c r="J212" s="22"/>
      <c r="K212" s="23"/>
      <c r="L212" s="23"/>
      <c r="M212" s="23"/>
      <c r="N212" s="22"/>
      <c r="O212" s="22"/>
      <c r="P212" s="24" t="str">
        <f>IF(OR($J212="",$J212="odešel"),IF(K212="","",IF($F212="žena",CHOOSE(_xlfn.ARABIC($H212),MATCH(K212+1,'[1]Normy VP'!$C$25:$F$25,-1),MATCH(K212+1,'[1]Normy VP'!$C$26:$F$26,-1),MATCH(K212+1,'[1]Normy VP'!$C$27:$F$27,-1),MATCH(K212+1,'[1]Normy VP'!$C$28:$F$28,-1),MATCH(K212+1,'[1]Normy VP'!$C$29:$F$29,-1),"muž"),CHOOSE(_xlfn.ARABIC($H212),MATCH(K212+1,'[1]Normy VP'!$C$10:$F$10,-1),MATCH(K212+1,'[1]Normy VP'!$C$11:$F$11,-1),MATCH(K212+1,'[1]Normy VP'!$C$12:$F$12,-1),MATCH(K212+1,'[1]Normy VP'!$C$13:$F$13,-1),MATCH(K212+1,'[1]Normy VP'!$C$14:$F$14,-1),""))),"O")</f>
        <v/>
      </c>
      <c r="Q212" s="24" t="str">
        <f>IF(OR($J212="",$J212="odešel"),IF($F212="žena","",IF(L212="","",(CHOOSE(_xlfn.ARABIC($H212),MATCH(L212+1,'[1]Normy VP'!$G$10:$J$10,-1),MATCH(L212+1,'[1]Normy VP'!$G$11:$J$11,-1),MATCH(L212+1,'[1]Normy VP'!$G$12:$J$12,-1),MATCH(L212+1,'[1]Normy VP'!$G$13:$J$13,-1),MATCH(L212+1,'[1]Normy VP'!$G$14:$J$14,-1),"")))),"O")</f>
        <v/>
      </c>
      <c r="R212" s="34" t="str">
        <f t="shared" si="13"/>
        <v>N</v>
      </c>
      <c r="S212" s="24" t="str">
        <f>IF(OR($J212="",$J212="odešel"),IF(M212="","N",IF($F212="žena",CHOOSE(_xlfn.ARABIC($H212),MATCH(M212+1,'[1]Normy VP'!$G$25:$J$25,-1),MATCH(M212+1,'[1]Normy VP'!$G$26:$J$26,-1),MATCH(M212+1,'[1]Normy VP'!$G$27:$J$27,-1),MATCH(M212+1,'[1]Normy VP'!$G$28:$J$28,-1),MATCH(M212+1,'[1]Normy VP'!$G$29:$J$29,-1),"muž"),(CHOOSE(_xlfn.ARABIC($H212),MATCH(M212+1,'[1]Normy VP'!$K$10:$N$10,-1),MATCH(M212+1,'[1]Normy VP'!$K$11:$N$11,-1),MATCH(M212+1,'[1]Normy VP'!$K$12:$N$12,-1),MATCH(M212+1,'[1]Normy VP'!$K$13:$N$13,-1),MATCH(M212+1,'[1]Normy VP'!$K$14:$N$14,-1),"")))),"O")</f>
        <v>N</v>
      </c>
      <c r="T212" s="34" t="str">
        <f t="shared" si="14"/>
        <v>N</v>
      </c>
      <c r="U212" s="24" t="str">
        <f>IF(OR($J212="",$J212="odešel"),IF(N212="","N",IF($F212="žena",CHOOSE(_xlfn.ARABIC($H212),MATCH(N212+1,'[1]Normy VP'!$K$25:$N$25,-1),MATCH(N212+1,'[1]Normy VP'!$K$26:$N$26,-1),MATCH(N212+1,'[1]Normy VP'!$K$27:$N$27,-1),MATCH(N212+1,'[1]Normy VP'!$K$28:$N$28,-1),MATCH(N212+1,'[1]Normy VP'!$K$29:$N$29,-1),MATCH(N212+1,'[1]Normy VP'!$K$30:$N$30,-1)),CHOOSE(_xlfn.ARABIC($H212),MATCH(N212+1,'[1]Normy VP'!$O$10:$R$10,-1),MATCH(N212+1,'[1]Normy VP'!$O$11:$R$11,-1),MATCH(N212+1,'[1]Normy VP'!$O$12:$R$12,-1),MATCH(N212+1,'[1]Normy VP'!$O$13:$R$13,-1),MATCH(N212+1,'[1]Normy VP'!$O$14:$R$14,-1),MATCH(N212+1,'[1]Normy VP'!$O$15:$R$15,-1)))),"O")</f>
        <v>N</v>
      </c>
      <c r="V212" s="26" t="str">
        <f>IF(OR($J212="",$J212="odešel"),IF(O212="","N",IF($F212="žena",CHOOSE(_xlfn.ARABIC($H212),MATCH(O212-1,'[1]Normy VP'!$O$25:$R$25),MATCH(O212-1,'[1]Normy VP'!$O$26:$R$26),MATCH(O212-1,'[1]Normy VP'!$O$27:$R$27),MATCH(O212-1,'[1]Normy VP'!$O$28:$R$28),MATCH(O212-1,'[1]Normy VP'!$O$29:$R$29),MATCH(O212-1,'[1]Normy VP'!$O$30:$R$30)),CHOOSE(_xlfn.ARABIC($H212),MATCH(O212-1,'[1]Normy VP'!$S$10:$V$10),MATCH(O212-1,'[1]Normy VP'!$S$11:$V$11),MATCH(O212-1,'[1]Normy VP'!$S$12:$V$12),MATCH(O212-1,'[1]Normy VP'!$S$13:$V$13),MATCH(O212-1,'[1]Normy VP'!$S$14:$V$14),MATCH(O212-1,'[1]Normy VP'!$S$15:$V$15)))),"O")</f>
        <v>N</v>
      </c>
      <c r="W212" s="34" t="str">
        <f t="shared" si="15"/>
        <v>N</v>
      </c>
      <c r="X212" s="27" t="str">
        <f>IF(COUNTIF(B212:G212,"")&gt;0,"",IF(COUNTIF([1]PP!$A:$A,A212)=0,"neni v PP",IF(OR(Y212="odešel",VLOOKUP(A212,[1]PP!$A:$W,22,FALSE)="odešel"),"odešel",IF(OR(Y212="N",VLOOKUP(A212,[1]PP!$A:$W,22,FALSE)="N"),"N",IF(OR(Y212="C",VLOOKUP(A212,[1]PP!$A:$W,22,FALSE)="C"),"C",IF(OR(Y212="DZO",VLOOKUP(A212,[1]PP!$A:$W,22,FALSE)="DZO"),"DZO",IF(OR(Y212="mise",Y212="disp.",Y212="končí",Y212="DSC",VLOOKUP(A212,[1]PP!$A:$W,22,FALSE)="mise",VLOOKUP(A212,[1]PP!$A:$W,22,FALSE)="disp.",VLOOKUP(A212,[1]PP!$A:$W,22,FALSE)="končí",VLOOKUP(A212,[1]PP!$A:$W,22,FALSE)="DSC"),"jiné",IF(OR(Y212=4,VLOOKUP(A212,[1]PP!$A:$W,22,FALSE)=4),4,IF(OR(Y212=3,VLOOKUP(A212,[1]PP!$A:$W,22,FALSE)=3),3,IF(OR(Y212=2,VLOOKUP(A212,[1]PP!$A:$W,22,FALSE)=2),2,IF(AND(Y212=1,VLOOKUP(A212,[1]PP!$A:$W,22,FALSE)=1),1)))))))))))</f>
        <v/>
      </c>
      <c r="Y212" s="28" t="str">
        <f>IF(COUNTIF(B212:G212,"")&gt;0,"",IF(COUNTIF([1]PP!$A:$A,A212)=0,"neni v PP",IF(VLOOKUP(A212,[1]PP!$A:$W,8,FALSE)="odešel","odešel",IF(F212="","",IF(J212="",IF(OR(T212=4,W212=4),4,IF(AND(T212="N",W212="N"),"N",IF(OR(T212="N",W212="N"),4,ROUND(AVERAGE(T212,W212),0)))),J212)))))</f>
        <v/>
      </c>
      <c r="Z212" s="29" t="str">
        <f>IF(COUNTIF(B212:G212,"")=0,IF(X212="neni v PP",CONCATENATE("ID: &lt;",A212,"&gt; se neshoduje s žádným IDem v kartě PP"),IF(COUNTIF($A:$A,A212)&gt;1,CONCATENATE("ID: &lt;",A212,"&gt; se v kartě VP opakuje. Je nutné tyto IDy od sebe odlišit, např. mezerou za příjmením."),IF(COUNTIF([1]PP!A:A,A212)&gt;1,CONCATENATE("ID: &lt;",A212,"&gt; se v kartě PP opakuje. Je nutné tyto IDy od sebe odlišit, např. mezerou za příjmením."),IF(VLOOKUP(A212,[1]PP!$A:$W,5,FALSE)&lt;&gt;E212,CONCATENATE($E$4," &lt;",E212,"&gt; se neshoduje s jednotkou v kartě PP"," &lt;",VLOOKUP(A212,[1]PP!$A:$W,5,FALSE),"&gt;"),IF(AND(COUNTIF(K212:O212,"")&lt;5,J212="",I212=""),CONCATENATE("Doplň: ",$I$4),IF(AND(YEAR(I212)&lt;&gt;$E$2,COUNTIF(I212,"")=0),CONCATENATE("špatně uveden &lt;",$D$2,"&gt; nebo &lt;",$I$4,"&gt;"),IF(OR(AND(OR(COUNTIF(C212,"*a"),COUNTIF(C212,"*ie"),COUNTIF(C212,"*ine"),COUNTIF(D212,"*Á")),F212="muž"),AND(AND(COUNTIF(C212,"&lt;&gt;"&amp;"*a"),COUNTIF(C212,"&lt;&gt;"&amp;"*ie"),COUNTIF(C212,"&lt;&gt;"&amp;"*ine"),COUNTIF(D212,"&lt;&gt;"&amp;"*Á")),F212="žena")),CONCATENATE(C212," ",D212," je ",F212,"?"),""))))))),IF(COUNTIF(B212:O212,"")=14,"",CONCATENATE("Doplň: ",IF(B212="",CONCATENATE($B$4,IF(COUNTIF(C212:G212,"")=0,"",", ")),""),IF(C212="",CONCATENATE($C$4,IF(COUNTIF(D212:G212,"")=0,"",", ")),""),IF(D212="",CONCATENATE($D$4,IF(COUNTIF(E212:G212,"")=0,"",", ")),""),IF(E212="",CONCATENATE($E$4,IF(COUNTIF(F212:G212,"")=0,"",", ")),""),IF(F212="",CONCATENATE($F$4,IF(G212="",", ","")),""),IF(G212="",$G$4,""))))</f>
        <v/>
      </c>
      <c r="AA212" s="30"/>
    </row>
    <row r="213" spans="1:27" ht="16" x14ac:dyDescent="0.35">
      <c r="A213" s="14" t="str">
        <f t="shared" si="12"/>
        <v xml:space="preserve">  </v>
      </c>
      <c r="B213" s="15"/>
      <c r="C213" s="31"/>
      <c r="D213" s="31"/>
      <c r="E213" s="17"/>
      <c r="F213" s="18"/>
      <c r="G213" s="32"/>
      <c r="H213" s="33" t="str">
        <f>IF(G213="","",IF(F213="žena",ROMAN(MATCH(G213+1,'[1]Normy VP'!$Y$27:$Y$33,-1)),ROMAN(MATCH(G213+1,'[1]Normy VP'!$Y$19:$Y$25,-1))))</f>
        <v/>
      </c>
      <c r="I213" s="21"/>
      <c r="J213" s="22"/>
      <c r="K213" s="23"/>
      <c r="L213" s="23"/>
      <c r="M213" s="23"/>
      <c r="N213" s="22"/>
      <c r="O213" s="22"/>
      <c r="P213" s="24" t="str">
        <f>IF(OR($J213="",$J213="odešel"),IF(K213="","",IF($F213="žena",CHOOSE(_xlfn.ARABIC($H213),MATCH(K213+1,'[1]Normy VP'!$C$25:$F$25,-1),MATCH(K213+1,'[1]Normy VP'!$C$26:$F$26,-1),MATCH(K213+1,'[1]Normy VP'!$C$27:$F$27,-1),MATCH(K213+1,'[1]Normy VP'!$C$28:$F$28,-1),MATCH(K213+1,'[1]Normy VP'!$C$29:$F$29,-1),"muž"),CHOOSE(_xlfn.ARABIC($H213),MATCH(K213+1,'[1]Normy VP'!$C$10:$F$10,-1),MATCH(K213+1,'[1]Normy VP'!$C$11:$F$11,-1),MATCH(K213+1,'[1]Normy VP'!$C$12:$F$12,-1),MATCH(K213+1,'[1]Normy VP'!$C$13:$F$13,-1),MATCH(K213+1,'[1]Normy VP'!$C$14:$F$14,-1),""))),"O")</f>
        <v/>
      </c>
      <c r="Q213" s="24" t="str">
        <f>IF(OR($J213="",$J213="odešel"),IF($F213="žena","",IF(L213="","",(CHOOSE(_xlfn.ARABIC($H213),MATCH(L213+1,'[1]Normy VP'!$G$10:$J$10,-1),MATCH(L213+1,'[1]Normy VP'!$G$11:$J$11,-1),MATCH(L213+1,'[1]Normy VP'!$G$12:$J$12,-1),MATCH(L213+1,'[1]Normy VP'!$G$13:$J$13,-1),MATCH(L213+1,'[1]Normy VP'!$G$14:$J$14,-1),"")))),"O")</f>
        <v/>
      </c>
      <c r="R213" s="34" t="str">
        <f t="shared" si="13"/>
        <v>N</v>
      </c>
      <c r="S213" s="24" t="str">
        <f>IF(OR($J213="",$J213="odešel"),IF(M213="","N",IF($F213="žena",CHOOSE(_xlfn.ARABIC($H213),MATCH(M213+1,'[1]Normy VP'!$G$25:$J$25,-1),MATCH(M213+1,'[1]Normy VP'!$G$26:$J$26,-1),MATCH(M213+1,'[1]Normy VP'!$G$27:$J$27,-1),MATCH(M213+1,'[1]Normy VP'!$G$28:$J$28,-1),MATCH(M213+1,'[1]Normy VP'!$G$29:$J$29,-1),"muž"),(CHOOSE(_xlfn.ARABIC($H213),MATCH(M213+1,'[1]Normy VP'!$K$10:$N$10,-1),MATCH(M213+1,'[1]Normy VP'!$K$11:$N$11,-1),MATCH(M213+1,'[1]Normy VP'!$K$12:$N$12,-1),MATCH(M213+1,'[1]Normy VP'!$K$13:$N$13,-1),MATCH(M213+1,'[1]Normy VP'!$K$14:$N$14,-1),"")))),"O")</f>
        <v>N</v>
      </c>
      <c r="T213" s="34" t="str">
        <f t="shared" si="14"/>
        <v>N</v>
      </c>
      <c r="U213" s="24" t="str">
        <f>IF(OR($J213="",$J213="odešel"),IF(N213="","N",IF($F213="žena",CHOOSE(_xlfn.ARABIC($H213),MATCH(N213+1,'[1]Normy VP'!$K$25:$N$25,-1),MATCH(N213+1,'[1]Normy VP'!$K$26:$N$26,-1),MATCH(N213+1,'[1]Normy VP'!$K$27:$N$27,-1),MATCH(N213+1,'[1]Normy VP'!$K$28:$N$28,-1),MATCH(N213+1,'[1]Normy VP'!$K$29:$N$29,-1),MATCH(N213+1,'[1]Normy VP'!$K$30:$N$30,-1)),CHOOSE(_xlfn.ARABIC($H213),MATCH(N213+1,'[1]Normy VP'!$O$10:$R$10,-1),MATCH(N213+1,'[1]Normy VP'!$O$11:$R$11,-1),MATCH(N213+1,'[1]Normy VP'!$O$12:$R$12,-1),MATCH(N213+1,'[1]Normy VP'!$O$13:$R$13,-1),MATCH(N213+1,'[1]Normy VP'!$O$14:$R$14,-1),MATCH(N213+1,'[1]Normy VP'!$O$15:$R$15,-1)))),"O")</f>
        <v>N</v>
      </c>
      <c r="V213" s="26" t="str">
        <f>IF(OR($J213="",$J213="odešel"),IF(O213="","N",IF($F213="žena",CHOOSE(_xlfn.ARABIC($H213),MATCH(O213-1,'[1]Normy VP'!$O$25:$R$25),MATCH(O213-1,'[1]Normy VP'!$O$26:$R$26),MATCH(O213-1,'[1]Normy VP'!$O$27:$R$27),MATCH(O213-1,'[1]Normy VP'!$O$28:$R$28),MATCH(O213-1,'[1]Normy VP'!$O$29:$R$29),MATCH(O213-1,'[1]Normy VP'!$O$30:$R$30)),CHOOSE(_xlfn.ARABIC($H213),MATCH(O213-1,'[1]Normy VP'!$S$10:$V$10),MATCH(O213-1,'[1]Normy VP'!$S$11:$V$11),MATCH(O213-1,'[1]Normy VP'!$S$12:$V$12),MATCH(O213-1,'[1]Normy VP'!$S$13:$V$13),MATCH(O213-1,'[1]Normy VP'!$S$14:$V$14),MATCH(O213-1,'[1]Normy VP'!$S$15:$V$15)))),"O")</f>
        <v>N</v>
      </c>
      <c r="W213" s="34" t="str">
        <f t="shared" si="15"/>
        <v>N</v>
      </c>
      <c r="X213" s="27" t="str">
        <f>IF(COUNTIF(B213:G213,"")&gt;0,"",IF(COUNTIF([1]PP!$A:$A,A213)=0,"neni v PP",IF(OR(Y213="odešel",VLOOKUP(A213,[1]PP!$A:$W,22,FALSE)="odešel"),"odešel",IF(OR(Y213="N",VLOOKUP(A213,[1]PP!$A:$W,22,FALSE)="N"),"N",IF(OR(Y213="C",VLOOKUP(A213,[1]PP!$A:$W,22,FALSE)="C"),"C",IF(OR(Y213="DZO",VLOOKUP(A213,[1]PP!$A:$W,22,FALSE)="DZO"),"DZO",IF(OR(Y213="mise",Y213="disp.",Y213="končí",Y213="DSC",VLOOKUP(A213,[1]PP!$A:$W,22,FALSE)="mise",VLOOKUP(A213,[1]PP!$A:$W,22,FALSE)="disp.",VLOOKUP(A213,[1]PP!$A:$W,22,FALSE)="končí",VLOOKUP(A213,[1]PP!$A:$W,22,FALSE)="DSC"),"jiné",IF(OR(Y213=4,VLOOKUP(A213,[1]PP!$A:$W,22,FALSE)=4),4,IF(OR(Y213=3,VLOOKUP(A213,[1]PP!$A:$W,22,FALSE)=3),3,IF(OR(Y213=2,VLOOKUP(A213,[1]PP!$A:$W,22,FALSE)=2),2,IF(AND(Y213=1,VLOOKUP(A213,[1]PP!$A:$W,22,FALSE)=1),1)))))))))))</f>
        <v/>
      </c>
      <c r="Y213" s="28" t="str">
        <f>IF(COUNTIF(B213:G213,"")&gt;0,"",IF(COUNTIF([1]PP!$A:$A,A213)=0,"neni v PP",IF(VLOOKUP(A213,[1]PP!$A:$W,8,FALSE)="odešel","odešel",IF(F213="","",IF(J213="",IF(OR(T213=4,W213=4),4,IF(AND(T213="N",W213="N"),"N",IF(OR(T213="N",W213="N"),4,ROUND(AVERAGE(T213,W213),0)))),J213)))))</f>
        <v/>
      </c>
      <c r="Z213" s="29" t="str">
        <f>IF(COUNTIF(B213:G213,"")=0,IF(X213="neni v PP",CONCATENATE("ID: &lt;",A213,"&gt; se neshoduje s žádným IDem v kartě PP"),IF(COUNTIF($A:$A,A213)&gt;1,CONCATENATE("ID: &lt;",A213,"&gt; se v kartě VP opakuje. Je nutné tyto IDy od sebe odlišit, např. mezerou za příjmením."),IF(COUNTIF([1]PP!A:A,A213)&gt;1,CONCATENATE("ID: &lt;",A213,"&gt; se v kartě PP opakuje. Je nutné tyto IDy od sebe odlišit, např. mezerou za příjmením."),IF(VLOOKUP(A213,[1]PP!$A:$W,5,FALSE)&lt;&gt;E213,CONCATENATE($E$4," &lt;",E213,"&gt; se neshoduje s jednotkou v kartě PP"," &lt;",VLOOKUP(A213,[1]PP!$A:$W,5,FALSE),"&gt;"),IF(AND(COUNTIF(K213:O213,"")&lt;5,J213="",I213=""),CONCATENATE("Doplň: ",$I$4),IF(AND(YEAR(I213)&lt;&gt;$E$2,COUNTIF(I213,"")=0),CONCATENATE("špatně uveden &lt;",$D$2,"&gt; nebo &lt;",$I$4,"&gt;"),IF(OR(AND(OR(COUNTIF(C213,"*a"),COUNTIF(C213,"*ie"),COUNTIF(C213,"*ine"),COUNTIF(D213,"*Á")),F213="muž"),AND(AND(COUNTIF(C213,"&lt;&gt;"&amp;"*a"),COUNTIF(C213,"&lt;&gt;"&amp;"*ie"),COUNTIF(C213,"&lt;&gt;"&amp;"*ine"),COUNTIF(D213,"&lt;&gt;"&amp;"*Á")),F213="žena")),CONCATENATE(C213," ",D213," je ",F213,"?"),""))))))),IF(COUNTIF(B213:O213,"")=14,"",CONCATENATE("Doplň: ",IF(B213="",CONCATENATE($B$4,IF(COUNTIF(C213:G213,"")=0,"",", ")),""),IF(C213="",CONCATENATE($C$4,IF(COUNTIF(D213:G213,"")=0,"",", ")),""),IF(D213="",CONCATENATE($D$4,IF(COUNTIF(E213:G213,"")=0,"",", ")),""),IF(E213="",CONCATENATE($E$4,IF(COUNTIF(F213:G213,"")=0,"",", ")),""),IF(F213="",CONCATENATE($F$4,IF(G213="",", ","")),""),IF(G213="",$G$4,""))))</f>
        <v/>
      </c>
      <c r="AA213" s="30"/>
    </row>
    <row r="214" spans="1:27" ht="16" x14ac:dyDescent="0.35">
      <c r="A214" s="14" t="str">
        <f t="shared" si="12"/>
        <v xml:space="preserve">  </v>
      </c>
      <c r="B214" s="15"/>
      <c r="C214" s="31"/>
      <c r="D214" s="31"/>
      <c r="E214" s="17"/>
      <c r="F214" s="18"/>
      <c r="G214" s="32"/>
      <c r="H214" s="33" t="str">
        <f>IF(G214="","",IF(F214="žena",ROMAN(MATCH(G214+1,'[1]Normy VP'!$Y$27:$Y$33,-1)),ROMAN(MATCH(G214+1,'[1]Normy VP'!$Y$19:$Y$25,-1))))</f>
        <v/>
      </c>
      <c r="I214" s="21"/>
      <c r="J214" s="22"/>
      <c r="K214" s="23"/>
      <c r="L214" s="23"/>
      <c r="M214" s="23"/>
      <c r="N214" s="22"/>
      <c r="O214" s="22"/>
      <c r="P214" s="24" t="str">
        <f>IF(OR($J214="",$J214="odešel"),IF(K214="","",IF($F214="žena",CHOOSE(_xlfn.ARABIC($H214),MATCH(K214+1,'[1]Normy VP'!$C$25:$F$25,-1),MATCH(K214+1,'[1]Normy VP'!$C$26:$F$26,-1),MATCH(K214+1,'[1]Normy VP'!$C$27:$F$27,-1),MATCH(K214+1,'[1]Normy VP'!$C$28:$F$28,-1),MATCH(K214+1,'[1]Normy VP'!$C$29:$F$29,-1),"muž"),CHOOSE(_xlfn.ARABIC($H214),MATCH(K214+1,'[1]Normy VP'!$C$10:$F$10,-1),MATCH(K214+1,'[1]Normy VP'!$C$11:$F$11,-1),MATCH(K214+1,'[1]Normy VP'!$C$12:$F$12,-1),MATCH(K214+1,'[1]Normy VP'!$C$13:$F$13,-1),MATCH(K214+1,'[1]Normy VP'!$C$14:$F$14,-1),""))),"O")</f>
        <v/>
      </c>
      <c r="Q214" s="24" t="str">
        <f>IF(OR($J214="",$J214="odešel"),IF($F214="žena","",IF(L214="","",(CHOOSE(_xlfn.ARABIC($H214),MATCH(L214+1,'[1]Normy VP'!$G$10:$J$10,-1),MATCH(L214+1,'[1]Normy VP'!$G$11:$J$11,-1),MATCH(L214+1,'[1]Normy VP'!$G$12:$J$12,-1),MATCH(L214+1,'[1]Normy VP'!$G$13:$J$13,-1),MATCH(L214+1,'[1]Normy VP'!$G$14:$J$14,-1),"")))),"O")</f>
        <v/>
      </c>
      <c r="R214" s="34" t="str">
        <f t="shared" si="13"/>
        <v>N</v>
      </c>
      <c r="S214" s="24" t="str">
        <f>IF(OR($J214="",$J214="odešel"),IF(M214="","N",IF($F214="žena",CHOOSE(_xlfn.ARABIC($H214),MATCH(M214+1,'[1]Normy VP'!$G$25:$J$25,-1),MATCH(M214+1,'[1]Normy VP'!$G$26:$J$26,-1),MATCH(M214+1,'[1]Normy VP'!$G$27:$J$27,-1),MATCH(M214+1,'[1]Normy VP'!$G$28:$J$28,-1),MATCH(M214+1,'[1]Normy VP'!$G$29:$J$29,-1),"muž"),(CHOOSE(_xlfn.ARABIC($H214),MATCH(M214+1,'[1]Normy VP'!$K$10:$N$10,-1),MATCH(M214+1,'[1]Normy VP'!$K$11:$N$11,-1),MATCH(M214+1,'[1]Normy VP'!$K$12:$N$12,-1),MATCH(M214+1,'[1]Normy VP'!$K$13:$N$13,-1),MATCH(M214+1,'[1]Normy VP'!$K$14:$N$14,-1),"")))),"O")</f>
        <v>N</v>
      </c>
      <c r="T214" s="34" t="str">
        <f t="shared" si="14"/>
        <v>N</v>
      </c>
      <c r="U214" s="24" t="str">
        <f>IF(OR($J214="",$J214="odešel"),IF(N214="","N",IF($F214="žena",CHOOSE(_xlfn.ARABIC($H214),MATCH(N214+1,'[1]Normy VP'!$K$25:$N$25,-1),MATCH(N214+1,'[1]Normy VP'!$K$26:$N$26,-1),MATCH(N214+1,'[1]Normy VP'!$K$27:$N$27,-1),MATCH(N214+1,'[1]Normy VP'!$K$28:$N$28,-1),MATCH(N214+1,'[1]Normy VP'!$K$29:$N$29,-1),MATCH(N214+1,'[1]Normy VP'!$K$30:$N$30,-1)),CHOOSE(_xlfn.ARABIC($H214),MATCH(N214+1,'[1]Normy VP'!$O$10:$R$10,-1),MATCH(N214+1,'[1]Normy VP'!$O$11:$R$11,-1),MATCH(N214+1,'[1]Normy VP'!$O$12:$R$12,-1),MATCH(N214+1,'[1]Normy VP'!$O$13:$R$13,-1),MATCH(N214+1,'[1]Normy VP'!$O$14:$R$14,-1),MATCH(N214+1,'[1]Normy VP'!$O$15:$R$15,-1)))),"O")</f>
        <v>N</v>
      </c>
      <c r="V214" s="26" t="str">
        <f>IF(OR($J214="",$J214="odešel"),IF(O214="","N",IF($F214="žena",CHOOSE(_xlfn.ARABIC($H214),MATCH(O214-1,'[1]Normy VP'!$O$25:$R$25),MATCH(O214-1,'[1]Normy VP'!$O$26:$R$26),MATCH(O214-1,'[1]Normy VP'!$O$27:$R$27),MATCH(O214-1,'[1]Normy VP'!$O$28:$R$28),MATCH(O214-1,'[1]Normy VP'!$O$29:$R$29),MATCH(O214-1,'[1]Normy VP'!$O$30:$R$30)),CHOOSE(_xlfn.ARABIC($H214),MATCH(O214-1,'[1]Normy VP'!$S$10:$V$10),MATCH(O214-1,'[1]Normy VP'!$S$11:$V$11),MATCH(O214-1,'[1]Normy VP'!$S$12:$V$12),MATCH(O214-1,'[1]Normy VP'!$S$13:$V$13),MATCH(O214-1,'[1]Normy VP'!$S$14:$V$14),MATCH(O214-1,'[1]Normy VP'!$S$15:$V$15)))),"O")</f>
        <v>N</v>
      </c>
      <c r="W214" s="34" t="str">
        <f t="shared" si="15"/>
        <v>N</v>
      </c>
      <c r="X214" s="27" t="str">
        <f>IF(COUNTIF(B214:G214,"")&gt;0,"",IF(COUNTIF([1]PP!$A:$A,A214)=0,"neni v PP",IF(OR(Y214="odešel",VLOOKUP(A214,[1]PP!$A:$W,22,FALSE)="odešel"),"odešel",IF(OR(Y214="N",VLOOKUP(A214,[1]PP!$A:$W,22,FALSE)="N"),"N",IF(OR(Y214="C",VLOOKUP(A214,[1]PP!$A:$W,22,FALSE)="C"),"C",IF(OR(Y214="DZO",VLOOKUP(A214,[1]PP!$A:$W,22,FALSE)="DZO"),"DZO",IF(OR(Y214="mise",Y214="disp.",Y214="končí",Y214="DSC",VLOOKUP(A214,[1]PP!$A:$W,22,FALSE)="mise",VLOOKUP(A214,[1]PP!$A:$W,22,FALSE)="disp.",VLOOKUP(A214,[1]PP!$A:$W,22,FALSE)="končí",VLOOKUP(A214,[1]PP!$A:$W,22,FALSE)="DSC"),"jiné",IF(OR(Y214=4,VLOOKUP(A214,[1]PP!$A:$W,22,FALSE)=4),4,IF(OR(Y214=3,VLOOKUP(A214,[1]PP!$A:$W,22,FALSE)=3),3,IF(OR(Y214=2,VLOOKUP(A214,[1]PP!$A:$W,22,FALSE)=2),2,IF(AND(Y214=1,VLOOKUP(A214,[1]PP!$A:$W,22,FALSE)=1),1)))))))))))</f>
        <v/>
      </c>
      <c r="Y214" s="28" t="str">
        <f>IF(COUNTIF(B214:G214,"")&gt;0,"",IF(COUNTIF([1]PP!$A:$A,A214)=0,"neni v PP",IF(VLOOKUP(A214,[1]PP!$A:$W,8,FALSE)="odešel","odešel",IF(F214="","",IF(J214="",IF(OR(T214=4,W214=4),4,IF(AND(T214="N",W214="N"),"N",IF(OR(T214="N",W214="N"),4,ROUND(AVERAGE(T214,W214),0)))),J214)))))</f>
        <v/>
      </c>
      <c r="Z214" s="29" t="str">
        <f>IF(COUNTIF(B214:G214,"")=0,IF(X214="neni v PP",CONCATENATE("ID: &lt;",A214,"&gt; se neshoduje s žádným IDem v kartě PP"),IF(COUNTIF($A:$A,A214)&gt;1,CONCATENATE("ID: &lt;",A214,"&gt; se v kartě VP opakuje. Je nutné tyto IDy od sebe odlišit, např. mezerou za příjmením."),IF(COUNTIF([1]PP!A:A,A214)&gt;1,CONCATENATE("ID: &lt;",A214,"&gt; se v kartě PP opakuje. Je nutné tyto IDy od sebe odlišit, např. mezerou za příjmením."),IF(VLOOKUP(A214,[1]PP!$A:$W,5,FALSE)&lt;&gt;E214,CONCATENATE($E$4," &lt;",E214,"&gt; se neshoduje s jednotkou v kartě PP"," &lt;",VLOOKUP(A214,[1]PP!$A:$W,5,FALSE),"&gt;"),IF(AND(COUNTIF(K214:O214,"")&lt;5,J214="",I214=""),CONCATENATE("Doplň: ",$I$4),IF(AND(YEAR(I214)&lt;&gt;$E$2,COUNTIF(I214,"")=0),CONCATENATE("špatně uveden &lt;",$D$2,"&gt; nebo &lt;",$I$4,"&gt;"),IF(OR(AND(OR(COUNTIF(C214,"*a"),COUNTIF(C214,"*ie"),COUNTIF(C214,"*ine"),COUNTIF(D214,"*Á")),F214="muž"),AND(AND(COUNTIF(C214,"&lt;&gt;"&amp;"*a"),COUNTIF(C214,"&lt;&gt;"&amp;"*ie"),COUNTIF(C214,"&lt;&gt;"&amp;"*ine"),COUNTIF(D214,"&lt;&gt;"&amp;"*Á")),F214="žena")),CONCATENATE(C214," ",D214," je ",F214,"?"),""))))))),IF(COUNTIF(B214:O214,"")=14,"",CONCATENATE("Doplň: ",IF(B214="",CONCATENATE($B$4,IF(COUNTIF(C214:G214,"")=0,"",", ")),""),IF(C214="",CONCATENATE($C$4,IF(COUNTIF(D214:G214,"")=0,"",", ")),""),IF(D214="",CONCATENATE($D$4,IF(COUNTIF(E214:G214,"")=0,"",", ")),""),IF(E214="",CONCATENATE($E$4,IF(COUNTIF(F214:G214,"")=0,"",", ")),""),IF(F214="",CONCATENATE($F$4,IF(G214="",", ","")),""),IF(G214="",$G$4,""))))</f>
        <v/>
      </c>
      <c r="AA214" s="30"/>
    </row>
    <row r="215" spans="1:27" ht="16" x14ac:dyDescent="0.35">
      <c r="A215" s="14" t="str">
        <f t="shared" si="12"/>
        <v xml:space="preserve">  </v>
      </c>
      <c r="B215" s="15"/>
      <c r="C215" s="31"/>
      <c r="D215" s="31"/>
      <c r="E215" s="17"/>
      <c r="F215" s="18"/>
      <c r="G215" s="32"/>
      <c r="H215" s="33" t="str">
        <f>IF(G215="","",IF(F215="žena",ROMAN(MATCH(G215+1,'[1]Normy VP'!$Y$27:$Y$33,-1)),ROMAN(MATCH(G215+1,'[1]Normy VP'!$Y$19:$Y$25,-1))))</f>
        <v/>
      </c>
      <c r="I215" s="21"/>
      <c r="J215" s="22"/>
      <c r="K215" s="23"/>
      <c r="L215" s="23"/>
      <c r="M215" s="23"/>
      <c r="N215" s="22"/>
      <c r="O215" s="22"/>
      <c r="P215" s="24" t="str">
        <f>IF(OR($J215="",$J215="odešel"),IF(K215="","",IF($F215="žena",CHOOSE(_xlfn.ARABIC($H215),MATCH(K215+1,'[1]Normy VP'!$C$25:$F$25,-1),MATCH(K215+1,'[1]Normy VP'!$C$26:$F$26,-1),MATCH(K215+1,'[1]Normy VP'!$C$27:$F$27,-1),MATCH(K215+1,'[1]Normy VP'!$C$28:$F$28,-1),MATCH(K215+1,'[1]Normy VP'!$C$29:$F$29,-1),"muž"),CHOOSE(_xlfn.ARABIC($H215),MATCH(K215+1,'[1]Normy VP'!$C$10:$F$10,-1),MATCH(K215+1,'[1]Normy VP'!$C$11:$F$11,-1),MATCH(K215+1,'[1]Normy VP'!$C$12:$F$12,-1),MATCH(K215+1,'[1]Normy VP'!$C$13:$F$13,-1),MATCH(K215+1,'[1]Normy VP'!$C$14:$F$14,-1),""))),"O")</f>
        <v/>
      </c>
      <c r="Q215" s="24" t="str">
        <f>IF(OR($J215="",$J215="odešel"),IF($F215="žena","",IF(L215="","",(CHOOSE(_xlfn.ARABIC($H215),MATCH(L215+1,'[1]Normy VP'!$G$10:$J$10,-1),MATCH(L215+1,'[1]Normy VP'!$G$11:$J$11,-1),MATCH(L215+1,'[1]Normy VP'!$G$12:$J$12,-1),MATCH(L215+1,'[1]Normy VP'!$G$13:$J$13,-1),MATCH(L215+1,'[1]Normy VP'!$G$14:$J$14,-1),"")))),"O")</f>
        <v/>
      </c>
      <c r="R215" s="34" t="str">
        <f t="shared" si="13"/>
        <v>N</v>
      </c>
      <c r="S215" s="24" t="str">
        <f>IF(OR($J215="",$J215="odešel"),IF(M215="","N",IF($F215="žena",CHOOSE(_xlfn.ARABIC($H215),MATCH(M215+1,'[1]Normy VP'!$G$25:$J$25,-1),MATCH(M215+1,'[1]Normy VP'!$G$26:$J$26,-1),MATCH(M215+1,'[1]Normy VP'!$G$27:$J$27,-1),MATCH(M215+1,'[1]Normy VP'!$G$28:$J$28,-1),MATCH(M215+1,'[1]Normy VP'!$G$29:$J$29,-1),"muž"),(CHOOSE(_xlfn.ARABIC($H215),MATCH(M215+1,'[1]Normy VP'!$K$10:$N$10,-1),MATCH(M215+1,'[1]Normy VP'!$K$11:$N$11,-1),MATCH(M215+1,'[1]Normy VP'!$K$12:$N$12,-1),MATCH(M215+1,'[1]Normy VP'!$K$13:$N$13,-1),MATCH(M215+1,'[1]Normy VP'!$K$14:$N$14,-1),"")))),"O")</f>
        <v>N</v>
      </c>
      <c r="T215" s="34" t="str">
        <f t="shared" si="14"/>
        <v>N</v>
      </c>
      <c r="U215" s="24" t="str">
        <f>IF(OR($J215="",$J215="odešel"),IF(N215="","N",IF($F215="žena",CHOOSE(_xlfn.ARABIC($H215),MATCH(N215+1,'[1]Normy VP'!$K$25:$N$25,-1),MATCH(N215+1,'[1]Normy VP'!$K$26:$N$26,-1),MATCH(N215+1,'[1]Normy VP'!$K$27:$N$27,-1),MATCH(N215+1,'[1]Normy VP'!$K$28:$N$28,-1),MATCH(N215+1,'[1]Normy VP'!$K$29:$N$29,-1),MATCH(N215+1,'[1]Normy VP'!$K$30:$N$30,-1)),CHOOSE(_xlfn.ARABIC($H215),MATCH(N215+1,'[1]Normy VP'!$O$10:$R$10,-1),MATCH(N215+1,'[1]Normy VP'!$O$11:$R$11,-1),MATCH(N215+1,'[1]Normy VP'!$O$12:$R$12,-1),MATCH(N215+1,'[1]Normy VP'!$O$13:$R$13,-1),MATCH(N215+1,'[1]Normy VP'!$O$14:$R$14,-1),MATCH(N215+1,'[1]Normy VP'!$O$15:$R$15,-1)))),"O")</f>
        <v>N</v>
      </c>
      <c r="V215" s="26" t="str">
        <f>IF(OR($J215="",$J215="odešel"),IF(O215="","N",IF($F215="žena",CHOOSE(_xlfn.ARABIC($H215),MATCH(O215-1,'[1]Normy VP'!$O$25:$R$25),MATCH(O215-1,'[1]Normy VP'!$O$26:$R$26),MATCH(O215-1,'[1]Normy VP'!$O$27:$R$27),MATCH(O215-1,'[1]Normy VP'!$O$28:$R$28),MATCH(O215-1,'[1]Normy VP'!$O$29:$R$29),MATCH(O215-1,'[1]Normy VP'!$O$30:$R$30)),CHOOSE(_xlfn.ARABIC($H215),MATCH(O215-1,'[1]Normy VP'!$S$10:$V$10),MATCH(O215-1,'[1]Normy VP'!$S$11:$V$11),MATCH(O215-1,'[1]Normy VP'!$S$12:$V$12),MATCH(O215-1,'[1]Normy VP'!$S$13:$V$13),MATCH(O215-1,'[1]Normy VP'!$S$14:$V$14),MATCH(O215-1,'[1]Normy VP'!$S$15:$V$15)))),"O")</f>
        <v>N</v>
      </c>
      <c r="W215" s="34" t="str">
        <f t="shared" si="15"/>
        <v>N</v>
      </c>
      <c r="X215" s="27" t="str">
        <f>IF(COUNTIF(B215:G215,"")&gt;0,"",IF(COUNTIF([1]PP!$A:$A,A215)=0,"neni v PP",IF(OR(Y215="odešel",VLOOKUP(A215,[1]PP!$A:$W,22,FALSE)="odešel"),"odešel",IF(OR(Y215="N",VLOOKUP(A215,[1]PP!$A:$W,22,FALSE)="N"),"N",IF(OR(Y215="C",VLOOKUP(A215,[1]PP!$A:$W,22,FALSE)="C"),"C",IF(OR(Y215="DZO",VLOOKUP(A215,[1]PP!$A:$W,22,FALSE)="DZO"),"DZO",IF(OR(Y215="mise",Y215="disp.",Y215="končí",Y215="DSC",VLOOKUP(A215,[1]PP!$A:$W,22,FALSE)="mise",VLOOKUP(A215,[1]PP!$A:$W,22,FALSE)="disp.",VLOOKUP(A215,[1]PP!$A:$W,22,FALSE)="končí",VLOOKUP(A215,[1]PP!$A:$W,22,FALSE)="DSC"),"jiné",IF(OR(Y215=4,VLOOKUP(A215,[1]PP!$A:$W,22,FALSE)=4),4,IF(OR(Y215=3,VLOOKUP(A215,[1]PP!$A:$W,22,FALSE)=3),3,IF(OR(Y215=2,VLOOKUP(A215,[1]PP!$A:$W,22,FALSE)=2),2,IF(AND(Y215=1,VLOOKUP(A215,[1]PP!$A:$W,22,FALSE)=1),1)))))))))))</f>
        <v/>
      </c>
      <c r="Y215" s="28" t="str">
        <f>IF(COUNTIF(B215:G215,"")&gt;0,"",IF(COUNTIF([1]PP!$A:$A,A215)=0,"neni v PP",IF(VLOOKUP(A215,[1]PP!$A:$W,8,FALSE)="odešel","odešel",IF(F215="","",IF(J215="",IF(OR(T215=4,W215=4),4,IF(AND(T215="N",W215="N"),"N",IF(OR(T215="N",W215="N"),4,ROUND(AVERAGE(T215,W215),0)))),J215)))))</f>
        <v/>
      </c>
      <c r="Z215" s="29" t="str">
        <f>IF(COUNTIF(B215:G215,"")=0,IF(X215="neni v PP",CONCATENATE("ID: &lt;",A215,"&gt; se neshoduje s žádným IDem v kartě PP"),IF(COUNTIF($A:$A,A215)&gt;1,CONCATENATE("ID: &lt;",A215,"&gt; se v kartě VP opakuje. Je nutné tyto IDy od sebe odlišit, např. mezerou za příjmením."),IF(COUNTIF([1]PP!A:A,A215)&gt;1,CONCATENATE("ID: &lt;",A215,"&gt; se v kartě PP opakuje. Je nutné tyto IDy od sebe odlišit, např. mezerou za příjmením."),IF(VLOOKUP(A215,[1]PP!$A:$W,5,FALSE)&lt;&gt;E215,CONCATENATE($E$4," &lt;",E215,"&gt; se neshoduje s jednotkou v kartě PP"," &lt;",VLOOKUP(A215,[1]PP!$A:$W,5,FALSE),"&gt;"),IF(AND(COUNTIF(K215:O215,"")&lt;5,J215="",I215=""),CONCATENATE("Doplň: ",$I$4),IF(AND(YEAR(I215)&lt;&gt;$E$2,COUNTIF(I215,"")=0),CONCATENATE("špatně uveden &lt;",$D$2,"&gt; nebo &lt;",$I$4,"&gt;"),IF(OR(AND(OR(COUNTIF(C215,"*a"),COUNTIF(C215,"*ie"),COUNTIF(C215,"*ine"),COUNTIF(D215,"*Á")),F215="muž"),AND(AND(COUNTIF(C215,"&lt;&gt;"&amp;"*a"),COUNTIF(C215,"&lt;&gt;"&amp;"*ie"),COUNTIF(C215,"&lt;&gt;"&amp;"*ine"),COUNTIF(D215,"&lt;&gt;"&amp;"*Á")),F215="žena")),CONCATENATE(C215," ",D215," je ",F215,"?"),""))))))),IF(COUNTIF(B215:O215,"")=14,"",CONCATENATE("Doplň: ",IF(B215="",CONCATENATE($B$4,IF(COUNTIF(C215:G215,"")=0,"",", ")),""),IF(C215="",CONCATENATE($C$4,IF(COUNTIF(D215:G215,"")=0,"",", ")),""),IF(D215="",CONCATENATE($D$4,IF(COUNTIF(E215:G215,"")=0,"",", ")),""),IF(E215="",CONCATENATE($E$4,IF(COUNTIF(F215:G215,"")=0,"",", ")),""),IF(F215="",CONCATENATE($F$4,IF(G215="",", ","")),""),IF(G215="",$G$4,""))))</f>
        <v/>
      </c>
      <c r="AA215" s="30"/>
    </row>
    <row r="216" spans="1:27" ht="16" x14ac:dyDescent="0.35">
      <c r="A216" s="14" t="str">
        <f t="shared" si="12"/>
        <v xml:space="preserve">  </v>
      </c>
      <c r="B216" s="15"/>
      <c r="C216" s="31"/>
      <c r="D216" s="31"/>
      <c r="E216" s="17"/>
      <c r="F216" s="18"/>
      <c r="G216" s="32"/>
      <c r="H216" s="33" t="str">
        <f>IF(G216="","",IF(F216="žena",ROMAN(MATCH(G216+1,'[1]Normy VP'!$Y$27:$Y$33,-1)),ROMAN(MATCH(G216+1,'[1]Normy VP'!$Y$19:$Y$25,-1))))</f>
        <v/>
      </c>
      <c r="I216" s="21"/>
      <c r="J216" s="22"/>
      <c r="K216" s="23"/>
      <c r="L216" s="23"/>
      <c r="M216" s="23"/>
      <c r="N216" s="22"/>
      <c r="O216" s="22"/>
      <c r="P216" s="24" t="str">
        <f>IF(OR($J216="",$J216="odešel"),IF(K216="","",IF($F216="žena",CHOOSE(_xlfn.ARABIC($H216),MATCH(K216+1,'[1]Normy VP'!$C$25:$F$25,-1),MATCH(K216+1,'[1]Normy VP'!$C$26:$F$26,-1),MATCH(K216+1,'[1]Normy VP'!$C$27:$F$27,-1),MATCH(K216+1,'[1]Normy VP'!$C$28:$F$28,-1),MATCH(K216+1,'[1]Normy VP'!$C$29:$F$29,-1),"muž"),CHOOSE(_xlfn.ARABIC($H216),MATCH(K216+1,'[1]Normy VP'!$C$10:$F$10,-1),MATCH(K216+1,'[1]Normy VP'!$C$11:$F$11,-1),MATCH(K216+1,'[1]Normy VP'!$C$12:$F$12,-1),MATCH(K216+1,'[1]Normy VP'!$C$13:$F$13,-1),MATCH(K216+1,'[1]Normy VP'!$C$14:$F$14,-1),""))),"O")</f>
        <v/>
      </c>
      <c r="Q216" s="24" t="str">
        <f>IF(OR($J216="",$J216="odešel"),IF($F216="žena","",IF(L216="","",(CHOOSE(_xlfn.ARABIC($H216),MATCH(L216+1,'[1]Normy VP'!$G$10:$J$10,-1),MATCH(L216+1,'[1]Normy VP'!$G$11:$J$11,-1),MATCH(L216+1,'[1]Normy VP'!$G$12:$J$12,-1),MATCH(L216+1,'[1]Normy VP'!$G$13:$J$13,-1),MATCH(L216+1,'[1]Normy VP'!$G$14:$J$14,-1),"")))),"O")</f>
        <v/>
      </c>
      <c r="R216" s="34" t="str">
        <f t="shared" si="13"/>
        <v>N</v>
      </c>
      <c r="S216" s="24" t="str">
        <f>IF(OR($J216="",$J216="odešel"),IF(M216="","N",IF($F216="žena",CHOOSE(_xlfn.ARABIC($H216),MATCH(M216+1,'[1]Normy VP'!$G$25:$J$25,-1),MATCH(M216+1,'[1]Normy VP'!$G$26:$J$26,-1),MATCH(M216+1,'[1]Normy VP'!$G$27:$J$27,-1),MATCH(M216+1,'[1]Normy VP'!$G$28:$J$28,-1),MATCH(M216+1,'[1]Normy VP'!$G$29:$J$29,-1),"muž"),(CHOOSE(_xlfn.ARABIC($H216),MATCH(M216+1,'[1]Normy VP'!$K$10:$N$10,-1),MATCH(M216+1,'[1]Normy VP'!$K$11:$N$11,-1),MATCH(M216+1,'[1]Normy VP'!$K$12:$N$12,-1),MATCH(M216+1,'[1]Normy VP'!$K$13:$N$13,-1),MATCH(M216+1,'[1]Normy VP'!$K$14:$N$14,-1),"")))),"O")</f>
        <v>N</v>
      </c>
      <c r="T216" s="34" t="str">
        <f t="shared" si="14"/>
        <v>N</v>
      </c>
      <c r="U216" s="24" t="str">
        <f>IF(OR($J216="",$J216="odešel"),IF(N216="","N",IF($F216="žena",CHOOSE(_xlfn.ARABIC($H216),MATCH(N216+1,'[1]Normy VP'!$K$25:$N$25,-1),MATCH(N216+1,'[1]Normy VP'!$K$26:$N$26,-1),MATCH(N216+1,'[1]Normy VP'!$K$27:$N$27,-1),MATCH(N216+1,'[1]Normy VP'!$K$28:$N$28,-1),MATCH(N216+1,'[1]Normy VP'!$K$29:$N$29,-1),MATCH(N216+1,'[1]Normy VP'!$K$30:$N$30,-1)),CHOOSE(_xlfn.ARABIC($H216),MATCH(N216+1,'[1]Normy VP'!$O$10:$R$10,-1),MATCH(N216+1,'[1]Normy VP'!$O$11:$R$11,-1),MATCH(N216+1,'[1]Normy VP'!$O$12:$R$12,-1),MATCH(N216+1,'[1]Normy VP'!$O$13:$R$13,-1),MATCH(N216+1,'[1]Normy VP'!$O$14:$R$14,-1),MATCH(N216+1,'[1]Normy VP'!$O$15:$R$15,-1)))),"O")</f>
        <v>N</v>
      </c>
      <c r="V216" s="26" t="str">
        <f>IF(OR($J216="",$J216="odešel"),IF(O216="","N",IF($F216="žena",CHOOSE(_xlfn.ARABIC($H216),MATCH(O216-1,'[1]Normy VP'!$O$25:$R$25),MATCH(O216-1,'[1]Normy VP'!$O$26:$R$26),MATCH(O216-1,'[1]Normy VP'!$O$27:$R$27),MATCH(O216-1,'[1]Normy VP'!$O$28:$R$28),MATCH(O216-1,'[1]Normy VP'!$O$29:$R$29),MATCH(O216-1,'[1]Normy VP'!$O$30:$R$30)),CHOOSE(_xlfn.ARABIC($H216),MATCH(O216-1,'[1]Normy VP'!$S$10:$V$10),MATCH(O216-1,'[1]Normy VP'!$S$11:$V$11),MATCH(O216-1,'[1]Normy VP'!$S$12:$V$12),MATCH(O216-1,'[1]Normy VP'!$S$13:$V$13),MATCH(O216-1,'[1]Normy VP'!$S$14:$V$14),MATCH(O216-1,'[1]Normy VP'!$S$15:$V$15)))),"O")</f>
        <v>N</v>
      </c>
      <c r="W216" s="34" t="str">
        <f t="shared" si="15"/>
        <v>N</v>
      </c>
      <c r="X216" s="27" t="str">
        <f>IF(COUNTIF(B216:G216,"")&gt;0,"",IF(COUNTIF([1]PP!$A:$A,A216)=0,"neni v PP",IF(OR(Y216="odešel",VLOOKUP(A216,[1]PP!$A:$W,22,FALSE)="odešel"),"odešel",IF(OR(Y216="N",VLOOKUP(A216,[1]PP!$A:$W,22,FALSE)="N"),"N",IF(OR(Y216="C",VLOOKUP(A216,[1]PP!$A:$W,22,FALSE)="C"),"C",IF(OR(Y216="DZO",VLOOKUP(A216,[1]PP!$A:$W,22,FALSE)="DZO"),"DZO",IF(OR(Y216="mise",Y216="disp.",Y216="končí",Y216="DSC",VLOOKUP(A216,[1]PP!$A:$W,22,FALSE)="mise",VLOOKUP(A216,[1]PP!$A:$W,22,FALSE)="disp.",VLOOKUP(A216,[1]PP!$A:$W,22,FALSE)="končí",VLOOKUP(A216,[1]PP!$A:$W,22,FALSE)="DSC"),"jiné",IF(OR(Y216=4,VLOOKUP(A216,[1]PP!$A:$W,22,FALSE)=4),4,IF(OR(Y216=3,VLOOKUP(A216,[1]PP!$A:$W,22,FALSE)=3),3,IF(OR(Y216=2,VLOOKUP(A216,[1]PP!$A:$W,22,FALSE)=2),2,IF(AND(Y216=1,VLOOKUP(A216,[1]PP!$A:$W,22,FALSE)=1),1)))))))))))</f>
        <v/>
      </c>
      <c r="Y216" s="28" t="str">
        <f>IF(COUNTIF(B216:G216,"")&gt;0,"",IF(COUNTIF([1]PP!$A:$A,A216)=0,"neni v PP",IF(VLOOKUP(A216,[1]PP!$A:$W,8,FALSE)="odešel","odešel",IF(F216="","",IF(J216="",IF(OR(T216=4,W216=4),4,IF(AND(T216="N",W216="N"),"N",IF(OR(T216="N",W216="N"),4,ROUND(AVERAGE(T216,W216),0)))),J216)))))</f>
        <v/>
      </c>
      <c r="Z216" s="29"/>
      <c r="AA216" s="30"/>
    </row>
    <row r="217" spans="1:27" ht="16" x14ac:dyDescent="0.35">
      <c r="A217" s="14" t="str">
        <f t="shared" si="12"/>
        <v xml:space="preserve">  </v>
      </c>
      <c r="B217" s="15"/>
      <c r="C217" s="31"/>
      <c r="D217" s="31"/>
      <c r="E217" s="17"/>
      <c r="F217" s="18"/>
      <c r="G217" s="32"/>
      <c r="H217" s="33" t="str">
        <f>IF(G217="","",IF(F217="žena",ROMAN(MATCH(G217+1,'[1]Normy VP'!$Y$27:$Y$33,-1)),ROMAN(MATCH(G217+1,'[1]Normy VP'!$Y$19:$Y$25,-1))))</f>
        <v/>
      </c>
      <c r="I217" s="21"/>
      <c r="J217" s="22"/>
      <c r="K217" s="23"/>
      <c r="L217" s="23"/>
      <c r="M217" s="23"/>
      <c r="N217" s="22"/>
      <c r="O217" s="22"/>
      <c r="P217" s="24" t="str">
        <f>IF(OR($J217="",$J217="odešel"),IF(K217="","",IF($F217="žena",CHOOSE(_xlfn.ARABIC($H217),MATCH(K217+1,'[1]Normy VP'!$C$25:$F$25,-1),MATCH(K217+1,'[1]Normy VP'!$C$26:$F$26,-1),MATCH(K217+1,'[1]Normy VP'!$C$27:$F$27,-1),MATCH(K217+1,'[1]Normy VP'!$C$28:$F$28,-1),MATCH(K217+1,'[1]Normy VP'!$C$29:$F$29,-1),"muž"),CHOOSE(_xlfn.ARABIC($H217),MATCH(K217+1,'[1]Normy VP'!$C$10:$F$10,-1),MATCH(K217+1,'[1]Normy VP'!$C$11:$F$11,-1),MATCH(K217+1,'[1]Normy VP'!$C$12:$F$12,-1),MATCH(K217+1,'[1]Normy VP'!$C$13:$F$13,-1),MATCH(K217+1,'[1]Normy VP'!$C$14:$F$14,-1),""))),"O")</f>
        <v/>
      </c>
      <c r="Q217" s="24" t="str">
        <f>IF(OR($J217="",$J217="odešel"),IF($F217="žena","",IF(L217="","",(CHOOSE(_xlfn.ARABIC($H217),MATCH(L217+1,'[1]Normy VP'!$G$10:$J$10,-1),MATCH(L217+1,'[1]Normy VP'!$G$11:$J$11,-1),MATCH(L217+1,'[1]Normy VP'!$G$12:$J$12,-1),MATCH(L217+1,'[1]Normy VP'!$G$13:$J$13,-1),MATCH(L217+1,'[1]Normy VP'!$G$14:$J$14,-1),"")))),"O")</f>
        <v/>
      </c>
      <c r="R217" s="34" t="str">
        <f t="shared" si="13"/>
        <v>N</v>
      </c>
      <c r="S217" s="24" t="str">
        <f>IF(OR($J217="",$J217="odešel"),IF(M217="","N",IF($F217="žena",CHOOSE(_xlfn.ARABIC($H217),MATCH(M217+1,'[1]Normy VP'!$G$25:$J$25,-1),MATCH(M217+1,'[1]Normy VP'!$G$26:$J$26,-1),MATCH(M217+1,'[1]Normy VP'!$G$27:$J$27,-1),MATCH(M217+1,'[1]Normy VP'!$G$28:$J$28,-1),MATCH(M217+1,'[1]Normy VP'!$G$29:$J$29,-1),"muž"),(CHOOSE(_xlfn.ARABIC($H217),MATCH(M217+1,'[1]Normy VP'!$K$10:$N$10,-1),MATCH(M217+1,'[1]Normy VP'!$K$11:$N$11,-1),MATCH(M217+1,'[1]Normy VP'!$K$12:$N$12,-1),MATCH(M217+1,'[1]Normy VP'!$K$13:$N$13,-1),MATCH(M217+1,'[1]Normy VP'!$K$14:$N$14,-1),"")))),"O")</f>
        <v>N</v>
      </c>
      <c r="T217" s="34" t="str">
        <f t="shared" si="14"/>
        <v>N</v>
      </c>
      <c r="U217" s="24" t="str">
        <f>IF(OR($J217="",$J217="odešel"),IF(N217="","N",IF($F217="žena",CHOOSE(_xlfn.ARABIC($H217),MATCH(N217+1,'[1]Normy VP'!$K$25:$N$25,-1),MATCH(N217+1,'[1]Normy VP'!$K$26:$N$26,-1),MATCH(N217+1,'[1]Normy VP'!$K$27:$N$27,-1),MATCH(N217+1,'[1]Normy VP'!$K$28:$N$28,-1),MATCH(N217+1,'[1]Normy VP'!$K$29:$N$29,-1),MATCH(N217+1,'[1]Normy VP'!$K$30:$N$30,-1)),CHOOSE(_xlfn.ARABIC($H217),MATCH(N217+1,'[1]Normy VP'!$O$10:$R$10,-1),MATCH(N217+1,'[1]Normy VP'!$O$11:$R$11,-1),MATCH(N217+1,'[1]Normy VP'!$O$12:$R$12,-1),MATCH(N217+1,'[1]Normy VP'!$O$13:$R$13,-1),MATCH(N217+1,'[1]Normy VP'!$O$14:$R$14,-1),MATCH(N217+1,'[1]Normy VP'!$O$15:$R$15,-1)))),"O")</f>
        <v>N</v>
      </c>
      <c r="V217" s="26" t="str">
        <f>IF(OR($J217="",$J217="odešel"),IF(O217="","N",IF($F217="žena",CHOOSE(_xlfn.ARABIC($H217),MATCH(O217-1,'[1]Normy VP'!$O$25:$R$25),MATCH(O217-1,'[1]Normy VP'!$O$26:$R$26),MATCH(O217-1,'[1]Normy VP'!$O$27:$R$27),MATCH(O217-1,'[1]Normy VP'!$O$28:$R$28),MATCH(O217-1,'[1]Normy VP'!$O$29:$R$29),MATCH(O217-1,'[1]Normy VP'!$O$30:$R$30)),CHOOSE(_xlfn.ARABIC($H217),MATCH(O217-1,'[1]Normy VP'!$S$10:$V$10),MATCH(O217-1,'[1]Normy VP'!$S$11:$V$11),MATCH(O217-1,'[1]Normy VP'!$S$12:$V$12),MATCH(O217-1,'[1]Normy VP'!$S$13:$V$13),MATCH(O217-1,'[1]Normy VP'!$S$14:$V$14),MATCH(O217-1,'[1]Normy VP'!$S$15:$V$15)))),"O")</f>
        <v>N</v>
      </c>
      <c r="W217" s="34" t="str">
        <f t="shared" si="15"/>
        <v>N</v>
      </c>
      <c r="X217" s="27" t="str">
        <f>IF(COUNTIF(B217:G217,"")&gt;0,"",IF(COUNTIF([1]PP!$A:$A,A217)=0,"neni v PP",IF(OR(Y217="odešel",VLOOKUP(A217,[1]PP!$A:$W,22,FALSE)="odešel"),"odešel",IF(OR(Y217="N",VLOOKUP(A217,[1]PP!$A:$W,22,FALSE)="N"),"N",IF(OR(Y217="C",VLOOKUP(A217,[1]PP!$A:$W,22,FALSE)="C"),"C",IF(OR(Y217="DZO",VLOOKUP(A217,[1]PP!$A:$W,22,FALSE)="DZO"),"DZO",IF(OR(Y217="mise",Y217="disp.",Y217="končí",Y217="DSC",VLOOKUP(A217,[1]PP!$A:$W,22,FALSE)="mise",VLOOKUP(A217,[1]PP!$A:$W,22,FALSE)="disp.",VLOOKUP(A217,[1]PP!$A:$W,22,FALSE)="končí",VLOOKUP(A217,[1]PP!$A:$W,22,FALSE)="DSC"),"jiné",IF(OR(Y217=4,VLOOKUP(A217,[1]PP!$A:$W,22,FALSE)=4),4,IF(OR(Y217=3,VLOOKUP(A217,[1]PP!$A:$W,22,FALSE)=3),3,IF(OR(Y217=2,VLOOKUP(A217,[1]PP!$A:$W,22,FALSE)=2),2,IF(AND(Y217=1,VLOOKUP(A217,[1]PP!$A:$W,22,FALSE)=1),1)))))))))))</f>
        <v/>
      </c>
      <c r="Y217" s="28" t="str">
        <f>IF(COUNTIF(B217:G217,"")&gt;0,"",IF(COUNTIF([1]PP!$A:$A,A217)=0,"neni v PP",IF(VLOOKUP(A217,[1]PP!$A:$W,8,FALSE)="odešel","odešel",IF(F217="","",IF(J217="",IF(OR(T217=4,W217=4),4,IF(AND(T217="N",W217="N"),"N",IF(OR(T217="N",W217="N"),4,ROUND(AVERAGE(T217,W217),0)))),J217)))))</f>
        <v/>
      </c>
      <c r="Z217" s="29" t="str">
        <f>IF(COUNTIF(B217:G217,"")=0,IF(X217="neni v PP",CONCATENATE("ID: &lt;",A217,"&gt; se neshoduje s žádným IDem v kartě PP"),IF(COUNTIF($A:$A,A217)&gt;1,CONCATENATE("ID: &lt;",A217,"&gt; se v kartě VP opakuje. Je nutné tyto IDy od sebe odlišit, např. mezerou za příjmením."),IF(COUNTIF([1]PP!A:A,A217)&gt;1,CONCATENATE("ID: &lt;",A217,"&gt; se v kartě PP opakuje. Je nutné tyto IDy od sebe odlišit, např. mezerou za příjmením."),IF(VLOOKUP(A217,[1]PP!$A:$W,5,FALSE)&lt;&gt;E217,CONCATENATE($E$4," &lt;",E217,"&gt; se neshoduje s jednotkou v kartě PP"," &lt;",VLOOKUP(A217,[1]PP!$A:$W,5,FALSE),"&gt;"),IF(AND(COUNTIF(K217:O217,"")&lt;5,J217="",I217=""),CONCATENATE("Doplň: ",$I$4),IF(AND(YEAR(I217)&lt;&gt;$E$2,COUNTIF(I217,"")=0),CONCATENATE("špatně uveden &lt;",$D$2,"&gt; nebo &lt;",$I$4,"&gt;"),IF(OR(AND(OR(COUNTIF(C217,"*a"),COUNTIF(C217,"*ie"),COUNTIF(C217,"*ine"),COUNTIF(D217,"*Á")),F217="muž"),AND(AND(COUNTIF(C217,"&lt;&gt;"&amp;"*a"),COUNTIF(C217,"&lt;&gt;"&amp;"*ie"),COUNTIF(C217,"&lt;&gt;"&amp;"*ine"),COUNTIF(D217,"&lt;&gt;"&amp;"*Á")),F217="žena")),CONCATENATE(C217," ",D217," je ",F217,"?"),""))))))),IF(COUNTIF(B217:O217,"")=14,"",CONCATENATE("Doplň: ",IF(B217="",CONCATENATE($B$4,IF(COUNTIF(C217:G217,"")=0,"",", ")),""),IF(C217="",CONCATENATE($C$4,IF(COUNTIF(D217:G217,"")=0,"",", ")),""),IF(D217="",CONCATENATE($D$4,IF(COUNTIF(E217:G217,"")=0,"",", ")),""),IF(E217="",CONCATENATE($E$4,IF(COUNTIF(F217:G217,"")=0,"",", ")),""),IF(F217="",CONCATENATE($F$4,IF(G217="",", ","")),""),IF(G217="",$G$4,""))))</f>
        <v/>
      </c>
      <c r="AA217" s="30"/>
    </row>
    <row r="218" spans="1:27" ht="16" x14ac:dyDescent="0.35">
      <c r="A218" s="14" t="str">
        <f t="shared" si="12"/>
        <v xml:space="preserve">  </v>
      </c>
      <c r="B218" s="15"/>
      <c r="C218" s="31"/>
      <c r="D218" s="31"/>
      <c r="E218" s="17"/>
      <c r="F218" s="18"/>
      <c r="G218" s="32"/>
      <c r="H218" s="33" t="str">
        <f>IF(G218="","",IF(F218="žena",ROMAN(MATCH(G218+1,'[1]Normy VP'!$Y$27:$Y$33,-1)),ROMAN(MATCH(G218+1,'[1]Normy VP'!$Y$19:$Y$25,-1))))</f>
        <v/>
      </c>
      <c r="I218" s="21"/>
      <c r="J218" s="22"/>
      <c r="K218" s="23"/>
      <c r="L218" s="23"/>
      <c r="M218" s="23"/>
      <c r="N218" s="22"/>
      <c r="O218" s="22"/>
      <c r="P218" s="24" t="str">
        <f>IF(OR($J218="",$J218="odešel"),IF(K218="","",IF($F218="žena",CHOOSE(_xlfn.ARABIC($H218),MATCH(K218+1,'[1]Normy VP'!$C$25:$F$25,-1),MATCH(K218+1,'[1]Normy VP'!$C$26:$F$26,-1),MATCH(K218+1,'[1]Normy VP'!$C$27:$F$27,-1),MATCH(K218+1,'[1]Normy VP'!$C$28:$F$28,-1),MATCH(K218+1,'[1]Normy VP'!$C$29:$F$29,-1),"muž"),CHOOSE(_xlfn.ARABIC($H218),MATCH(K218+1,'[1]Normy VP'!$C$10:$F$10,-1),MATCH(K218+1,'[1]Normy VP'!$C$11:$F$11,-1),MATCH(K218+1,'[1]Normy VP'!$C$12:$F$12,-1),MATCH(K218+1,'[1]Normy VP'!$C$13:$F$13,-1),MATCH(K218+1,'[1]Normy VP'!$C$14:$F$14,-1),""))),"O")</f>
        <v/>
      </c>
      <c r="Q218" s="24" t="str">
        <f>IF(OR($J218="",$J218="odešel"),IF($F218="žena","",IF(L218="","",(CHOOSE(_xlfn.ARABIC($H218),MATCH(L218+1,'[1]Normy VP'!$G$10:$J$10,-1),MATCH(L218+1,'[1]Normy VP'!$G$11:$J$11,-1),MATCH(L218+1,'[1]Normy VP'!$G$12:$J$12,-1),MATCH(L218+1,'[1]Normy VP'!$G$13:$J$13,-1),MATCH(L218+1,'[1]Normy VP'!$G$14:$J$14,-1),"")))),"O")</f>
        <v/>
      </c>
      <c r="R218" s="34" t="str">
        <f t="shared" si="13"/>
        <v>N</v>
      </c>
      <c r="S218" s="24" t="str">
        <f>IF(OR($J218="",$J218="odešel"),IF(M218="","N",IF($F218="žena",CHOOSE(_xlfn.ARABIC($H218),MATCH(M218+1,'[1]Normy VP'!$G$25:$J$25,-1),MATCH(M218+1,'[1]Normy VP'!$G$26:$J$26,-1),MATCH(M218+1,'[1]Normy VP'!$G$27:$J$27,-1),MATCH(M218+1,'[1]Normy VP'!$G$28:$J$28,-1),MATCH(M218+1,'[1]Normy VP'!$G$29:$J$29,-1),"muž"),(CHOOSE(_xlfn.ARABIC($H218),MATCH(M218+1,'[1]Normy VP'!$K$10:$N$10,-1),MATCH(M218+1,'[1]Normy VP'!$K$11:$N$11,-1),MATCH(M218+1,'[1]Normy VP'!$K$12:$N$12,-1),MATCH(M218+1,'[1]Normy VP'!$K$13:$N$13,-1),MATCH(M218+1,'[1]Normy VP'!$K$14:$N$14,-1),"")))),"O")</f>
        <v>N</v>
      </c>
      <c r="T218" s="34" t="str">
        <f t="shared" si="14"/>
        <v>N</v>
      </c>
      <c r="U218" s="24" t="str">
        <f>IF(OR($J218="",$J218="odešel"),IF(N218="","N",IF($F218="žena",CHOOSE(_xlfn.ARABIC($H218),MATCH(N218+1,'[1]Normy VP'!$K$25:$N$25,-1),MATCH(N218+1,'[1]Normy VP'!$K$26:$N$26,-1),MATCH(N218+1,'[1]Normy VP'!$K$27:$N$27,-1),MATCH(N218+1,'[1]Normy VP'!$K$28:$N$28,-1),MATCH(N218+1,'[1]Normy VP'!$K$29:$N$29,-1),MATCH(N218+1,'[1]Normy VP'!$K$30:$N$30,-1)),CHOOSE(_xlfn.ARABIC($H218),MATCH(N218+1,'[1]Normy VP'!$O$10:$R$10,-1),MATCH(N218+1,'[1]Normy VP'!$O$11:$R$11,-1),MATCH(N218+1,'[1]Normy VP'!$O$12:$R$12,-1),MATCH(N218+1,'[1]Normy VP'!$O$13:$R$13,-1),MATCH(N218+1,'[1]Normy VP'!$O$14:$R$14,-1),MATCH(N218+1,'[1]Normy VP'!$O$15:$R$15,-1)))),"O")</f>
        <v>N</v>
      </c>
      <c r="V218" s="26" t="str">
        <f>IF(OR($J218="",$J218="odešel"),IF(O218="","N",IF($F218="žena",CHOOSE(_xlfn.ARABIC($H218),MATCH(O218-1,'[1]Normy VP'!$O$25:$R$25),MATCH(O218-1,'[1]Normy VP'!$O$26:$R$26),MATCH(O218-1,'[1]Normy VP'!$O$27:$R$27),MATCH(O218-1,'[1]Normy VP'!$O$28:$R$28),MATCH(O218-1,'[1]Normy VP'!$O$29:$R$29),MATCH(O218-1,'[1]Normy VP'!$O$30:$R$30)),CHOOSE(_xlfn.ARABIC($H218),MATCH(O218-1,'[1]Normy VP'!$S$10:$V$10),MATCH(O218-1,'[1]Normy VP'!$S$11:$V$11),MATCH(O218-1,'[1]Normy VP'!$S$12:$V$12),MATCH(O218-1,'[1]Normy VP'!$S$13:$V$13),MATCH(O218-1,'[1]Normy VP'!$S$14:$V$14),MATCH(O218-1,'[1]Normy VP'!$S$15:$V$15)))),"O")</f>
        <v>N</v>
      </c>
      <c r="W218" s="34" t="str">
        <f t="shared" si="15"/>
        <v>N</v>
      </c>
      <c r="X218" s="27" t="str">
        <f>IF(COUNTIF(B218:G218,"")&gt;0,"",IF(COUNTIF([1]PP!$A:$A,A218)=0,"neni v PP",IF(OR(Y218="odešel",VLOOKUP(A218,[1]PP!$A:$W,22,FALSE)="odešel"),"odešel",IF(OR(Y218="N",VLOOKUP(A218,[1]PP!$A:$W,22,FALSE)="N"),"N",IF(OR(Y218="C",VLOOKUP(A218,[1]PP!$A:$W,22,FALSE)="C"),"C",IF(OR(Y218="DZO",VLOOKUP(A218,[1]PP!$A:$W,22,FALSE)="DZO"),"DZO",IF(OR(Y218="mise",Y218="disp.",Y218="končí",Y218="DSC",VLOOKUP(A218,[1]PP!$A:$W,22,FALSE)="mise",VLOOKUP(A218,[1]PP!$A:$W,22,FALSE)="disp.",VLOOKUP(A218,[1]PP!$A:$W,22,FALSE)="končí",VLOOKUP(A218,[1]PP!$A:$W,22,FALSE)="DSC"),"jiné",IF(OR(Y218=4,VLOOKUP(A218,[1]PP!$A:$W,22,FALSE)=4),4,IF(OR(Y218=3,VLOOKUP(A218,[1]PP!$A:$W,22,FALSE)=3),3,IF(OR(Y218=2,VLOOKUP(A218,[1]PP!$A:$W,22,FALSE)=2),2,IF(AND(Y218=1,VLOOKUP(A218,[1]PP!$A:$W,22,FALSE)=1),1)))))))))))</f>
        <v/>
      </c>
      <c r="Y218" s="28" t="str">
        <f>IF(COUNTIF(B218:G218,"")&gt;0,"",IF(COUNTIF([1]PP!$A:$A,A218)=0,"neni v PP",IF(VLOOKUP(A218,[1]PP!$A:$W,8,FALSE)="odešel","odešel",IF(F218="","",IF(J218="",IF(OR(T218=4,W218=4),4,IF(AND(T218="N",W218="N"),"N",IF(OR(T218="N",W218="N"),4,ROUND(AVERAGE(T218,W218),0)))),J218)))))</f>
        <v/>
      </c>
      <c r="Z218" s="29" t="str">
        <f>IF(COUNTIF(B218:G218,"")=0,IF(X218="neni v PP",CONCATENATE("ID: &lt;",A218,"&gt; se neshoduje s žádným IDem v kartě PP"),IF(COUNTIF($A:$A,A218)&gt;1,CONCATENATE("ID: &lt;",A218,"&gt; se v kartě VP opakuje. Je nutné tyto IDy od sebe odlišit, např. mezerou za příjmením."),IF(COUNTIF([1]PP!A:A,A218)&gt;1,CONCATENATE("ID: &lt;",A218,"&gt; se v kartě PP opakuje. Je nutné tyto IDy od sebe odlišit, např. mezerou za příjmením."),IF(VLOOKUP(A218,[1]PP!$A:$W,5,FALSE)&lt;&gt;E218,CONCATENATE($E$4," &lt;",E218,"&gt; se neshoduje s jednotkou v kartě PP"," &lt;",VLOOKUP(A218,[1]PP!$A:$W,5,FALSE),"&gt;"),IF(AND(COUNTIF(K218:O218,"")&lt;5,J218="",I218=""),CONCATENATE("Doplň: ",$I$4),IF(AND(YEAR(I218)&lt;&gt;$E$2,COUNTIF(I218,"")=0),CONCATENATE("špatně uveden &lt;",$D$2,"&gt; nebo &lt;",$I$4,"&gt;"),IF(OR(AND(OR(COUNTIF(C218,"*a"),COUNTIF(C218,"*ie"),COUNTIF(C218,"*ine"),COUNTIF(D218,"*Á")),F218="muž"),AND(AND(COUNTIF(C218,"&lt;&gt;"&amp;"*a"),COUNTIF(C218,"&lt;&gt;"&amp;"*ie"),COUNTIF(C218,"&lt;&gt;"&amp;"*ine"),COUNTIF(D218,"&lt;&gt;"&amp;"*Á")),F218="žena")),CONCATENATE(C218," ",D218," je ",F218,"?"),""))))))),IF(COUNTIF(B218:O218,"")=14,"",CONCATENATE("Doplň: ",IF(B218="",CONCATENATE($B$4,IF(COUNTIF(C218:G218,"")=0,"",", ")),""),IF(C218="",CONCATENATE($C$4,IF(COUNTIF(D218:G218,"")=0,"",", ")),""),IF(D218="",CONCATENATE($D$4,IF(COUNTIF(E218:G218,"")=0,"",", ")),""),IF(E218="",CONCATENATE($E$4,IF(COUNTIF(F218:G218,"")=0,"",", ")),""),IF(F218="",CONCATENATE($F$4,IF(G218="",", ","")),""),IF(G218="",$G$4,""))))</f>
        <v/>
      </c>
      <c r="AA218" s="30"/>
    </row>
    <row r="219" spans="1:27" ht="16" x14ac:dyDescent="0.35">
      <c r="A219" s="14" t="str">
        <f t="shared" si="12"/>
        <v xml:space="preserve">  </v>
      </c>
      <c r="B219" s="15"/>
      <c r="C219" s="31"/>
      <c r="D219" s="31"/>
      <c r="E219" s="17"/>
      <c r="F219" s="18"/>
      <c r="G219" s="32"/>
      <c r="H219" s="33" t="str">
        <f>IF(G219="","",IF(F219="žena",ROMAN(MATCH(G219+1,'[1]Normy VP'!$Y$27:$Y$33,-1)),ROMAN(MATCH(G219+1,'[1]Normy VP'!$Y$19:$Y$25,-1))))</f>
        <v/>
      </c>
      <c r="I219" s="21"/>
      <c r="J219" s="22"/>
      <c r="K219" s="23"/>
      <c r="L219" s="23"/>
      <c r="M219" s="23"/>
      <c r="N219" s="22"/>
      <c r="O219" s="22"/>
      <c r="P219" s="24" t="str">
        <f>IF(OR($J219="",$J219="odešel"),IF(K219="","",IF($F219="žena",CHOOSE(_xlfn.ARABIC($H219),MATCH(K219+1,'[1]Normy VP'!$C$25:$F$25,-1),MATCH(K219+1,'[1]Normy VP'!$C$26:$F$26,-1),MATCH(K219+1,'[1]Normy VP'!$C$27:$F$27,-1),MATCH(K219+1,'[1]Normy VP'!$C$28:$F$28,-1),MATCH(K219+1,'[1]Normy VP'!$C$29:$F$29,-1),"muž"),CHOOSE(_xlfn.ARABIC($H219),MATCH(K219+1,'[1]Normy VP'!$C$10:$F$10,-1),MATCH(K219+1,'[1]Normy VP'!$C$11:$F$11,-1),MATCH(K219+1,'[1]Normy VP'!$C$12:$F$12,-1),MATCH(K219+1,'[1]Normy VP'!$C$13:$F$13,-1),MATCH(K219+1,'[1]Normy VP'!$C$14:$F$14,-1),""))),"O")</f>
        <v/>
      </c>
      <c r="Q219" s="24" t="str">
        <f>IF(OR($J219="",$J219="odešel"),IF($F219="žena","",IF(L219="","",(CHOOSE(_xlfn.ARABIC($H219),MATCH(L219+1,'[1]Normy VP'!$G$10:$J$10,-1),MATCH(L219+1,'[1]Normy VP'!$G$11:$J$11,-1),MATCH(L219+1,'[1]Normy VP'!$G$12:$J$12,-1),MATCH(L219+1,'[1]Normy VP'!$G$13:$J$13,-1),MATCH(L219+1,'[1]Normy VP'!$G$14:$J$14,-1),"")))),"O")</f>
        <v/>
      </c>
      <c r="R219" s="34" t="str">
        <f t="shared" si="13"/>
        <v>N</v>
      </c>
      <c r="S219" s="24" t="str">
        <f>IF(OR($J219="",$J219="odešel"),IF(M219="","N",IF($F219="žena",CHOOSE(_xlfn.ARABIC($H219),MATCH(M219+1,'[1]Normy VP'!$G$25:$J$25,-1),MATCH(M219+1,'[1]Normy VP'!$G$26:$J$26,-1),MATCH(M219+1,'[1]Normy VP'!$G$27:$J$27,-1),MATCH(M219+1,'[1]Normy VP'!$G$28:$J$28,-1),MATCH(M219+1,'[1]Normy VP'!$G$29:$J$29,-1),"muž"),(CHOOSE(_xlfn.ARABIC($H219),MATCH(M219+1,'[1]Normy VP'!$K$10:$N$10,-1),MATCH(M219+1,'[1]Normy VP'!$K$11:$N$11,-1),MATCH(M219+1,'[1]Normy VP'!$K$12:$N$12,-1),MATCH(M219+1,'[1]Normy VP'!$K$13:$N$13,-1),MATCH(M219+1,'[1]Normy VP'!$K$14:$N$14,-1),"")))),"O")</f>
        <v>N</v>
      </c>
      <c r="T219" s="34" t="str">
        <f t="shared" si="14"/>
        <v>N</v>
      </c>
      <c r="U219" s="24" t="str">
        <f>IF(OR($J219="",$J219="odešel"),IF(N219="","N",IF($F219="žena",CHOOSE(_xlfn.ARABIC($H219),MATCH(N219+1,'[1]Normy VP'!$K$25:$N$25,-1),MATCH(N219+1,'[1]Normy VP'!$K$26:$N$26,-1),MATCH(N219+1,'[1]Normy VP'!$K$27:$N$27,-1),MATCH(N219+1,'[1]Normy VP'!$K$28:$N$28,-1),MATCH(N219+1,'[1]Normy VP'!$K$29:$N$29,-1),MATCH(N219+1,'[1]Normy VP'!$K$30:$N$30,-1)),CHOOSE(_xlfn.ARABIC($H219),MATCH(N219+1,'[1]Normy VP'!$O$10:$R$10,-1),MATCH(N219+1,'[1]Normy VP'!$O$11:$R$11,-1),MATCH(N219+1,'[1]Normy VP'!$O$12:$R$12,-1),MATCH(N219+1,'[1]Normy VP'!$O$13:$R$13,-1),MATCH(N219+1,'[1]Normy VP'!$O$14:$R$14,-1),MATCH(N219+1,'[1]Normy VP'!$O$15:$R$15,-1)))),"O")</f>
        <v>N</v>
      </c>
      <c r="V219" s="26" t="str">
        <f>IF(OR($J219="",$J219="odešel"),IF(O219="","N",IF($F219="žena",CHOOSE(_xlfn.ARABIC($H219),MATCH(O219-1,'[1]Normy VP'!$O$25:$R$25),MATCH(O219-1,'[1]Normy VP'!$O$26:$R$26),MATCH(O219-1,'[1]Normy VP'!$O$27:$R$27),MATCH(O219-1,'[1]Normy VP'!$O$28:$R$28),MATCH(O219-1,'[1]Normy VP'!$O$29:$R$29),MATCH(O219-1,'[1]Normy VP'!$O$30:$R$30)),CHOOSE(_xlfn.ARABIC($H219),MATCH(O219-1,'[1]Normy VP'!$S$10:$V$10),MATCH(O219-1,'[1]Normy VP'!$S$11:$V$11),MATCH(O219-1,'[1]Normy VP'!$S$12:$V$12),MATCH(O219-1,'[1]Normy VP'!$S$13:$V$13),MATCH(O219-1,'[1]Normy VP'!$S$14:$V$14),MATCH(O219-1,'[1]Normy VP'!$S$15:$V$15)))),"O")</f>
        <v>N</v>
      </c>
      <c r="W219" s="34" t="str">
        <f t="shared" si="15"/>
        <v>N</v>
      </c>
      <c r="X219" s="27" t="str">
        <f>IF(COUNTIF(B219:G219,"")&gt;0,"",IF(COUNTIF([1]PP!$A:$A,A219)=0,"neni v PP",IF(OR(Y219="odešel",VLOOKUP(A219,[1]PP!$A:$W,22,FALSE)="odešel"),"odešel",IF(OR(Y219="N",VLOOKUP(A219,[1]PP!$A:$W,22,FALSE)="N"),"N",IF(OR(Y219="C",VLOOKUP(A219,[1]PP!$A:$W,22,FALSE)="C"),"C",IF(OR(Y219="DZO",VLOOKUP(A219,[1]PP!$A:$W,22,FALSE)="DZO"),"DZO",IF(OR(Y219="mise",Y219="disp.",Y219="končí",Y219="DSC",VLOOKUP(A219,[1]PP!$A:$W,22,FALSE)="mise",VLOOKUP(A219,[1]PP!$A:$W,22,FALSE)="disp.",VLOOKUP(A219,[1]PP!$A:$W,22,FALSE)="končí",VLOOKUP(A219,[1]PP!$A:$W,22,FALSE)="DSC"),"jiné",IF(OR(Y219=4,VLOOKUP(A219,[1]PP!$A:$W,22,FALSE)=4),4,IF(OR(Y219=3,VLOOKUP(A219,[1]PP!$A:$W,22,FALSE)=3),3,IF(OR(Y219=2,VLOOKUP(A219,[1]PP!$A:$W,22,FALSE)=2),2,IF(AND(Y219=1,VLOOKUP(A219,[1]PP!$A:$W,22,FALSE)=1),1)))))))))))</f>
        <v/>
      </c>
      <c r="Y219" s="28" t="str">
        <f>IF(COUNTIF(B219:G219,"")&gt;0,"",IF(COUNTIF([1]PP!$A:$A,A219)=0,"neni v PP",IF(VLOOKUP(A219,[1]PP!$A:$W,8,FALSE)="odešel","odešel",IF(F219="","",IF(J219="",IF(OR(T219=4,W219=4),4,IF(AND(T219="N",W219="N"),"N",IF(OR(T219="N",W219="N"),4,ROUND(AVERAGE(T219,W219),0)))),J219)))))</f>
        <v/>
      </c>
      <c r="Z219" s="29" t="str">
        <f>IF(COUNTIF(B219:G219,"")=0,IF(X219="neni v PP",CONCATENATE("ID: &lt;",A219,"&gt; se neshoduje s žádným IDem v kartě PP"),IF(COUNTIF($A:$A,A219)&gt;1,CONCATENATE("ID: &lt;",A219,"&gt; se v kartě VP opakuje. Je nutné tyto IDy od sebe odlišit, např. mezerou za příjmením."),IF(COUNTIF([1]PP!A:A,A219)&gt;1,CONCATENATE("ID: &lt;",A219,"&gt; se v kartě PP opakuje. Je nutné tyto IDy od sebe odlišit, např. mezerou za příjmením."),IF(VLOOKUP(A219,[1]PP!$A:$W,5,FALSE)&lt;&gt;E219,CONCATENATE($E$4," &lt;",E219,"&gt; se neshoduje s jednotkou v kartě PP"," &lt;",VLOOKUP(A219,[1]PP!$A:$W,5,FALSE),"&gt;"),IF(AND(COUNTIF(K219:O219,"")&lt;5,J219="",I219=""),CONCATENATE("Doplň: ",$I$4),IF(AND(YEAR(I219)&lt;&gt;$E$2,COUNTIF(I219,"")=0),CONCATENATE("špatně uveden &lt;",$D$2,"&gt; nebo &lt;",$I$4,"&gt;"),IF(OR(AND(OR(COUNTIF(C219,"*a"),COUNTIF(C219,"*ie"),COUNTIF(C219,"*ine"),COUNTIF(D219,"*Á")),F219="muž"),AND(AND(COUNTIF(C219,"&lt;&gt;"&amp;"*a"),COUNTIF(C219,"&lt;&gt;"&amp;"*ie"),COUNTIF(C219,"&lt;&gt;"&amp;"*ine"),COUNTIF(D219,"&lt;&gt;"&amp;"*Á")),F219="žena")),CONCATENATE(C219," ",D219," je ",F219,"?"),""))))))),IF(COUNTIF(B219:O219,"")=14,"",CONCATENATE("Doplň: ",IF(B219="",CONCATENATE($B$4,IF(COUNTIF(C219:G219,"")=0,"",", ")),""),IF(C219="",CONCATENATE($C$4,IF(COUNTIF(D219:G219,"")=0,"",", ")),""),IF(D219="",CONCATENATE($D$4,IF(COUNTIF(E219:G219,"")=0,"",", ")),""),IF(E219="",CONCATENATE($E$4,IF(COUNTIF(F219:G219,"")=0,"",", ")),""),IF(F219="",CONCATENATE($F$4,IF(G219="",", ","")),""),IF(G219="",$G$4,""))))</f>
        <v/>
      </c>
      <c r="AA219" s="30"/>
    </row>
    <row r="220" spans="1:27" ht="16" x14ac:dyDescent="0.35">
      <c r="A220" s="14" t="str">
        <f t="shared" si="12"/>
        <v xml:space="preserve">  </v>
      </c>
      <c r="B220" s="15"/>
      <c r="C220" s="31"/>
      <c r="D220" s="31"/>
      <c r="E220" s="17"/>
      <c r="F220" s="18"/>
      <c r="G220" s="32"/>
      <c r="H220" s="33" t="str">
        <f>IF(G220="","",IF(F220="žena",ROMAN(MATCH(G220+1,'[1]Normy VP'!$Y$27:$Y$33,-1)),ROMAN(MATCH(G220+1,'[1]Normy VP'!$Y$19:$Y$25,-1))))</f>
        <v/>
      </c>
      <c r="I220" s="21"/>
      <c r="J220" s="22"/>
      <c r="K220" s="23"/>
      <c r="L220" s="23"/>
      <c r="M220" s="23"/>
      <c r="N220" s="22"/>
      <c r="O220" s="22"/>
      <c r="P220" s="24" t="str">
        <f>IF(OR($J220="",$J220="odešel"),IF(K220="","",IF($F220="žena",CHOOSE(_xlfn.ARABIC($H220),MATCH(K220+1,'[1]Normy VP'!$C$25:$F$25,-1),MATCH(K220+1,'[1]Normy VP'!$C$26:$F$26,-1),MATCH(K220+1,'[1]Normy VP'!$C$27:$F$27,-1),MATCH(K220+1,'[1]Normy VP'!$C$28:$F$28,-1),MATCH(K220+1,'[1]Normy VP'!$C$29:$F$29,-1),"muž"),CHOOSE(_xlfn.ARABIC($H220),MATCH(K220+1,'[1]Normy VP'!$C$10:$F$10,-1),MATCH(K220+1,'[1]Normy VP'!$C$11:$F$11,-1),MATCH(K220+1,'[1]Normy VP'!$C$12:$F$12,-1),MATCH(K220+1,'[1]Normy VP'!$C$13:$F$13,-1),MATCH(K220+1,'[1]Normy VP'!$C$14:$F$14,-1),""))),"O")</f>
        <v/>
      </c>
      <c r="Q220" s="24" t="str">
        <f>IF(OR($J220="",$J220="odešel"),IF($F220="žena","",IF(L220="","",(CHOOSE(_xlfn.ARABIC($H220),MATCH(L220+1,'[1]Normy VP'!$G$10:$J$10,-1),MATCH(L220+1,'[1]Normy VP'!$G$11:$J$11,-1),MATCH(L220+1,'[1]Normy VP'!$G$12:$J$12,-1),MATCH(L220+1,'[1]Normy VP'!$G$13:$J$13,-1),MATCH(L220+1,'[1]Normy VP'!$G$14:$J$14,-1),"")))),"O")</f>
        <v/>
      </c>
      <c r="R220" s="34" t="str">
        <f t="shared" si="13"/>
        <v>N</v>
      </c>
      <c r="S220" s="24" t="str">
        <f>IF(OR($J220="",$J220="odešel"),IF(M220="","N",IF($F220="žena",CHOOSE(_xlfn.ARABIC($H220),MATCH(M220+1,'[1]Normy VP'!$G$25:$J$25,-1),MATCH(M220+1,'[1]Normy VP'!$G$26:$J$26,-1),MATCH(M220+1,'[1]Normy VP'!$G$27:$J$27,-1),MATCH(M220+1,'[1]Normy VP'!$G$28:$J$28,-1),MATCH(M220+1,'[1]Normy VP'!$G$29:$J$29,-1),"muž"),(CHOOSE(_xlfn.ARABIC($H220),MATCH(M220+1,'[1]Normy VP'!$K$10:$N$10,-1),MATCH(M220+1,'[1]Normy VP'!$K$11:$N$11,-1),MATCH(M220+1,'[1]Normy VP'!$K$12:$N$12,-1),MATCH(M220+1,'[1]Normy VP'!$K$13:$N$13,-1),MATCH(M220+1,'[1]Normy VP'!$K$14:$N$14,-1),"")))),"O")</f>
        <v>N</v>
      </c>
      <c r="T220" s="34" t="str">
        <f t="shared" si="14"/>
        <v>N</v>
      </c>
      <c r="U220" s="24" t="str">
        <f>IF(OR($J220="",$J220="odešel"),IF(N220="","N",IF($F220="žena",CHOOSE(_xlfn.ARABIC($H220),MATCH(N220+1,'[1]Normy VP'!$K$25:$N$25,-1),MATCH(N220+1,'[1]Normy VP'!$K$26:$N$26,-1),MATCH(N220+1,'[1]Normy VP'!$K$27:$N$27,-1),MATCH(N220+1,'[1]Normy VP'!$K$28:$N$28,-1),MATCH(N220+1,'[1]Normy VP'!$K$29:$N$29,-1),MATCH(N220+1,'[1]Normy VP'!$K$30:$N$30,-1)),CHOOSE(_xlfn.ARABIC($H220),MATCH(N220+1,'[1]Normy VP'!$O$10:$R$10,-1),MATCH(N220+1,'[1]Normy VP'!$O$11:$R$11,-1),MATCH(N220+1,'[1]Normy VP'!$O$12:$R$12,-1),MATCH(N220+1,'[1]Normy VP'!$O$13:$R$13,-1),MATCH(N220+1,'[1]Normy VP'!$O$14:$R$14,-1),MATCH(N220+1,'[1]Normy VP'!$O$15:$R$15,-1)))),"O")</f>
        <v>N</v>
      </c>
      <c r="V220" s="26" t="str">
        <f>IF(OR($J220="",$J220="odešel"),IF(O220="","N",IF($F220="žena",CHOOSE(_xlfn.ARABIC($H220),MATCH(O220-1,'[1]Normy VP'!$O$25:$R$25),MATCH(O220-1,'[1]Normy VP'!$O$26:$R$26),MATCH(O220-1,'[1]Normy VP'!$O$27:$R$27),MATCH(O220-1,'[1]Normy VP'!$O$28:$R$28),MATCH(O220-1,'[1]Normy VP'!$O$29:$R$29),MATCH(O220-1,'[1]Normy VP'!$O$30:$R$30)),CHOOSE(_xlfn.ARABIC($H220),MATCH(O220-1,'[1]Normy VP'!$S$10:$V$10),MATCH(O220-1,'[1]Normy VP'!$S$11:$V$11),MATCH(O220-1,'[1]Normy VP'!$S$12:$V$12),MATCH(O220-1,'[1]Normy VP'!$S$13:$V$13),MATCH(O220-1,'[1]Normy VP'!$S$14:$V$14),MATCH(O220-1,'[1]Normy VP'!$S$15:$V$15)))),"O")</f>
        <v>N</v>
      </c>
      <c r="W220" s="34" t="str">
        <f t="shared" si="15"/>
        <v>N</v>
      </c>
      <c r="X220" s="27" t="str">
        <f>IF(COUNTIF(B220:G220,"")&gt;0,"",IF(COUNTIF([1]PP!$A:$A,A220)=0,"neni v PP",IF(OR(Y220="odešel",VLOOKUP(A220,[1]PP!$A:$W,22,FALSE)="odešel"),"odešel",IF(OR(Y220="N",VLOOKUP(A220,[1]PP!$A:$W,22,FALSE)="N"),"N",IF(OR(Y220="C",VLOOKUP(A220,[1]PP!$A:$W,22,FALSE)="C"),"C",IF(OR(Y220="DZO",VLOOKUP(A220,[1]PP!$A:$W,22,FALSE)="DZO"),"DZO",IF(OR(Y220="mise",Y220="disp.",Y220="končí",Y220="DSC",VLOOKUP(A220,[1]PP!$A:$W,22,FALSE)="mise",VLOOKUP(A220,[1]PP!$A:$W,22,FALSE)="disp.",VLOOKUP(A220,[1]PP!$A:$W,22,FALSE)="končí",VLOOKUP(A220,[1]PP!$A:$W,22,FALSE)="DSC"),"jiné",IF(OR(Y220=4,VLOOKUP(A220,[1]PP!$A:$W,22,FALSE)=4),4,IF(OR(Y220=3,VLOOKUP(A220,[1]PP!$A:$W,22,FALSE)=3),3,IF(OR(Y220=2,VLOOKUP(A220,[1]PP!$A:$W,22,FALSE)=2),2,IF(AND(Y220=1,VLOOKUP(A220,[1]PP!$A:$W,22,FALSE)=1),1)))))))))))</f>
        <v/>
      </c>
      <c r="Y220" s="28" t="str">
        <f>IF(COUNTIF(B220:G220,"")&gt;0,"",IF(COUNTIF([1]PP!$A:$A,A220)=0,"neni v PP",IF(VLOOKUP(A220,[1]PP!$A:$W,8,FALSE)="odešel","odešel",IF(F220="","",IF(J220="",IF(OR(T220=4,W220=4),4,IF(AND(T220="N",W220="N"),"N",IF(OR(T220="N",W220="N"),4,ROUND(AVERAGE(T220,W220),0)))),J220)))))</f>
        <v/>
      </c>
      <c r="Z220" s="29" t="str">
        <f>IF(COUNTIF(B220:G220,"")=0,IF(X220="neni v PP",CONCATENATE("ID: &lt;",A220,"&gt; se neshoduje s žádným IDem v kartě PP"),IF(COUNTIF($A:$A,A220)&gt;1,CONCATENATE("ID: &lt;",A220,"&gt; se v kartě VP opakuje. Je nutné tyto IDy od sebe odlišit, např. mezerou za příjmením."),IF(COUNTIF([1]PP!A:A,A220)&gt;1,CONCATENATE("ID: &lt;",A220,"&gt; se v kartě PP opakuje. Je nutné tyto IDy od sebe odlišit, např. mezerou za příjmením."),IF(VLOOKUP(A220,[1]PP!$A:$W,5,FALSE)&lt;&gt;E220,CONCATENATE($E$4," &lt;",E220,"&gt; se neshoduje s jednotkou v kartě PP"," &lt;",VLOOKUP(A220,[1]PP!$A:$W,5,FALSE),"&gt;"),IF(AND(COUNTIF(K220:O220,"")&lt;5,J220="",I220=""),CONCATENATE("Doplň: ",$I$4),IF(AND(YEAR(I220)&lt;&gt;$E$2,COUNTIF(I220,"")=0),CONCATENATE("špatně uveden &lt;",$D$2,"&gt; nebo &lt;",$I$4,"&gt;"),IF(OR(AND(OR(COUNTIF(C220,"*a"),COUNTIF(C220,"*ie"),COUNTIF(C220,"*ine"),COUNTIF(D220,"*Á")),F220="muž"),AND(AND(COUNTIF(C220,"&lt;&gt;"&amp;"*a"),COUNTIF(C220,"&lt;&gt;"&amp;"*ie"),COUNTIF(C220,"&lt;&gt;"&amp;"*ine"),COUNTIF(D220,"&lt;&gt;"&amp;"*Á")),F220="žena")),CONCATENATE(C220," ",D220," je ",F220,"?"),""))))))),IF(COUNTIF(B220:O220,"")=14,"",CONCATENATE("Doplň: ",IF(B220="",CONCATENATE($B$4,IF(COUNTIF(C220:G220,"")=0,"",", ")),""),IF(C220="",CONCATENATE($C$4,IF(COUNTIF(D220:G220,"")=0,"",", ")),""),IF(D220="",CONCATENATE($D$4,IF(COUNTIF(E220:G220,"")=0,"",", ")),""),IF(E220="",CONCATENATE($E$4,IF(COUNTIF(F220:G220,"")=0,"",", ")),""),IF(F220="",CONCATENATE($F$4,IF(G220="",", ","")),""),IF(G220="",$G$4,""))))</f>
        <v/>
      </c>
      <c r="AA220" s="30"/>
    </row>
    <row r="221" spans="1:27" ht="16" x14ac:dyDescent="0.35">
      <c r="A221" s="14" t="str">
        <f t="shared" si="12"/>
        <v xml:space="preserve">  </v>
      </c>
      <c r="B221" s="15"/>
      <c r="C221" s="31"/>
      <c r="D221" s="31"/>
      <c r="E221" s="17"/>
      <c r="F221" s="18"/>
      <c r="G221" s="32"/>
      <c r="H221" s="33" t="str">
        <f>IF(G221="","",IF(F221="žena",ROMAN(MATCH(G221+1,'[1]Normy VP'!$Y$27:$Y$33,-1)),ROMAN(MATCH(G221+1,'[1]Normy VP'!$Y$19:$Y$25,-1))))</f>
        <v/>
      </c>
      <c r="I221" s="21"/>
      <c r="J221" s="22"/>
      <c r="K221" s="23"/>
      <c r="L221" s="23"/>
      <c r="M221" s="23"/>
      <c r="N221" s="22"/>
      <c r="O221" s="22"/>
      <c r="P221" s="24" t="str">
        <f>IF(OR($J221="",$J221="odešel"),IF(K221="","",IF($F221="žena",CHOOSE(_xlfn.ARABIC($H221),MATCH(K221+1,'[1]Normy VP'!$C$25:$F$25,-1),MATCH(K221+1,'[1]Normy VP'!$C$26:$F$26,-1),MATCH(K221+1,'[1]Normy VP'!$C$27:$F$27,-1),MATCH(K221+1,'[1]Normy VP'!$C$28:$F$28,-1),MATCH(K221+1,'[1]Normy VP'!$C$29:$F$29,-1),"muž"),CHOOSE(_xlfn.ARABIC($H221),MATCH(K221+1,'[1]Normy VP'!$C$10:$F$10,-1),MATCH(K221+1,'[1]Normy VP'!$C$11:$F$11,-1),MATCH(K221+1,'[1]Normy VP'!$C$12:$F$12,-1),MATCH(K221+1,'[1]Normy VP'!$C$13:$F$13,-1),MATCH(K221+1,'[1]Normy VP'!$C$14:$F$14,-1),""))),"O")</f>
        <v/>
      </c>
      <c r="Q221" s="24" t="str">
        <f>IF(OR($J221="",$J221="odešel"),IF($F221="žena","",IF(L221="","",(CHOOSE(_xlfn.ARABIC($H221),MATCH(L221+1,'[1]Normy VP'!$G$10:$J$10,-1),MATCH(L221+1,'[1]Normy VP'!$G$11:$J$11,-1),MATCH(L221+1,'[1]Normy VP'!$G$12:$J$12,-1),MATCH(L221+1,'[1]Normy VP'!$G$13:$J$13,-1),MATCH(L221+1,'[1]Normy VP'!$G$14:$J$14,-1),"")))),"O")</f>
        <v/>
      </c>
      <c r="R221" s="34" t="str">
        <f t="shared" si="13"/>
        <v>N</v>
      </c>
      <c r="S221" s="24" t="str">
        <f>IF(OR($J221="",$J221="odešel"),IF(M221="","N",IF($F221="žena",CHOOSE(_xlfn.ARABIC($H221),MATCH(M221+1,'[1]Normy VP'!$G$25:$J$25,-1),MATCH(M221+1,'[1]Normy VP'!$G$26:$J$26,-1),MATCH(M221+1,'[1]Normy VP'!$G$27:$J$27,-1),MATCH(M221+1,'[1]Normy VP'!$G$28:$J$28,-1),MATCH(M221+1,'[1]Normy VP'!$G$29:$J$29,-1),"muž"),(CHOOSE(_xlfn.ARABIC($H221),MATCH(M221+1,'[1]Normy VP'!$K$10:$N$10,-1),MATCH(M221+1,'[1]Normy VP'!$K$11:$N$11,-1),MATCH(M221+1,'[1]Normy VP'!$K$12:$N$12,-1),MATCH(M221+1,'[1]Normy VP'!$K$13:$N$13,-1),MATCH(M221+1,'[1]Normy VP'!$K$14:$N$14,-1),"")))),"O")</f>
        <v>N</v>
      </c>
      <c r="T221" s="34" t="str">
        <f t="shared" si="14"/>
        <v>N</v>
      </c>
      <c r="U221" s="24" t="str">
        <f>IF(OR($J221="",$J221="odešel"),IF(N221="","N",IF($F221="žena",CHOOSE(_xlfn.ARABIC($H221),MATCH(N221+1,'[1]Normy VP'!$K$25:$N$25,-1),MATCH(N221+1,'[1]Normy VP'!$K$26:$N$26,-1),MATCH(N221+1,'[1]Normy VP'!$K$27:$N$27,-1),MATCH(N221+1,'[1]Normy VP'!$K$28:$N$28,-1),MATCH(N221+1,'[1]Normy VP'!$K$29:$N$29,-1),MATCH(N221+1,'[1]Normy VP'!$K$30:$N$30,-1)),CHOOSE(_xlfn.ARABIC($H221),MATCH(N221+1,'[1]Normy VP'!$O$10:$R$10,-1),MATCH(N221+1,'[1]Normy VP'!$O$11:$R$11,-1),MATCH(N221+1,'[1]Normy VP'!$O$12:$R$12,-1),MATCH(N221+1,'[1]Normy VP'!$O$13:$R$13,-1),MATCH(N221+1,'[1]Normy VP'!$O$14:$R$14,-1),MATCH(N221+1,'[1]Normy VP'!$O$15:$R$15,-1)))),"O")</f>
        <v>N</v>
      </c>
      <c r="V221" s="26" t="str">
        <f>IF(OR($J221="",$J221="odešel"),IF(O221="","N",IF($F221="žena",CHOOSE(_xlfn.ARABIC($H221),MATCH(O221-1,'[1]Normy VP'!$O$25:$R$25),MATCH(O221-1,'[1]Normy VP'!$O$26:$R$26),MATCH(O221-1,'[1]Normy VP'!$O$27:$R$27),MATCH(O221-1,'[1]Normy VP'!$O$28:$R$28),MATCH(O221-1,'[1]Normy VP'!$O$29:$R$29),MATCH(O221-1,'[1]Normy VP'!$O$30:$R$30)),CHOOSE(_xlfn.ARABIC($H221),MATCH(O221-1,'[1]Normy VP'!$S$10:$V$10),MATCH(O221-1,'[1]Normy VP'!$S$11:$V$11),MATCH(O221-1,'[1]Normy VP'!$S$12:$V$12),MATCH(O221-1,'[1]Normy VP'!$S$13:$V$13),MATCH(O221-1,'[1]Normy VP'!$S$14:$V$14),MATCH(O221-1,'[1]Normy VP'!$S$15:$V$15)))),"O")</f>
        <v>N</v>
      </c>
      <c r="W221" s="34" t="str">
        <f t="shared" si="15"/>
        <v>N</v>
      </c>
      <c r="X221" s="27" t="str">
        <f>IF(COUNTIF(B221:G221,"")&gt;0,"",IF(COUNTIF([1]PP!$A:$A,A221)=0,"neni v PP",IF(OR(Y221="odešel",VLOOKUP(A221,[1]PP!$A:$W,22,FALSE)="odešel"),"odešel",IF(OR(Y221="N",VLOOKUP(A221,[1]PP!$A:$W,22,FALSE)="N"),"N",IF(OR(Y221="C",VLOOKUP(A221,[1]PP!$A:$W,22,FALSE)="C"),"C",IF(OR(Y221="DZO",VLOOKUP(A221,[1]PP!$A:$W,22,FALSE)="DZO"),"DZO",IF(OR(Y221="mise",Y221="disp.",Y221="končí",Y221="DSC",VLOOKUP(A221,[1]PP!$A:$W,22,FALSE)="mise",VLOOKUP(A221,[1]PP!$A:$W,22,FALSE)="disp.",VLOOKUP(A221,[1]PP!$A:$W,22,FALSE)="končí",VLOOKUP(A221,[1]PP!$A:$W,22,FALSE)="DSC"),"jiné",IF(OR(Y221=4,VLOOKUP(A221,[1]PP!$A:$W,22,FALSE)=4),4,IF(OR(Y221=3,VLOOKUP(A221,[1]PP!$A:$W,22,FALSE)=3),3,IF(OR(Y221=2,VLOOKUP(A221,[1]PP!$A:$W,22,FALSE)=2),2,IF(AND(Y221=1,VLOOKUP(A221,[1]PP!$A:$W,22,FALSE)=1),1)))))))))))</f>
        <v/>
      </c>
      <c r="Y221" s="28" t="str">
        <f>IF(COUNTIF(B221:G221,"")&gt;0,"",IF(COUNTIF([1]PP!$A:$A,A221)=0,"neni v PP",IF(VLOOKUP(A221,[1]PP!$A:$W,8,FALSE)="odešel","odešel",IF(F221="","",IF(J221="",IF(OR(T221=4,W221=4),4,IF(AND(T221="N",W221="N"),"N",IF(OR(T221="N",W221="N"),4,ROUND(AVERAGE(T221,W221),0)))),J221)))))</f>
        <v/>
      </c>
      <c r="Z221" s="29" t="str">
        <f>IF(COUNTIF(B221:G221,"")=0,IF(X221="neni v PP",CONCATENATE("ID: &lt;",A221,"&gt; se neshoduje s žádným IDem v kartě PP"),IF(COUNTIF($A:$A,A221)&gt;1,CONCATENATE("ID: &lt;",A221,"&gt; se v kartě VP opakuje. Je nutné tyto IDy od sebe odlišit, např. mezerou za příjmením."),IF(COUNTIF([1]PP!A:A,A221)&gt;1,CONCATENATE("ID: &lt;",A221,"&gt; se v kartě PP opakuje. Je nutné tyto IDy od sebe odlišit, např. mezerou za příjmením."),IF(VLOOKUP(A221,[1]PP!$A:$W,5,FALSE)&lt;&gt;E221,CONCATENATE($E$4," &lt;",E221,"&gt; se neshoduje s jednotkou v kartě PP"," &lt;",VLOOKUP(A221,[1]PP!$A:$W,5,FALSE),"&gt;"),IF(AND(COUNTIF(K221:O221,"")&lt;5,J221="",I221=""),CONCATENATE("Doplň: ",$I$4),IF(AND(YEAR(I221)&lt;&gt;$E$2,COUNTIF(I221,"")=0),CONCATENATE("špatně uveden &lt;",$D$2,"&gt; nebo &lt;",$I$4,"&gt;"),IF(OR(AND(OR(COUNTIF(C221,"*a"),COUNTIF(C221,"*ie"),COUNTIF(C221,"*ine"),COUNTIF(D221,"*Á")),F221="muž"),AND(AND(COUNTIF(C221,"&lt;&gt;"&amp;"*a"),COUNTIF(C221,"&lt;&gt;"&amp;"*ie"),COUNTIF(C221,"&lt;&gt;"&amp;"*ine"),COUNTIF(D221,"&lt;&gt;"&amp;"*Á")),F221="žena")),CONCATENATE(C221," ",D221," je ",F221,"?"),""))))))),IF(COUNTIF(B221:O221,"")=14,"",CONCATENATE("Doplň: ",IF(B221="",CONCATENATE($B$4,IF(COUNTIF(C221:G221,"")=0,"",", ")),""),IF(C221="",CONCATENATE($C$4,IF(COUNTIF(D221:G221,"")=0,"",", ")),""),IF(D221="",CONCATENATE($D$4,IF(COUNTIF(E221:G221,"")=0,"",", ")),""),IF(E221="",CONCATENATE($E$4,IF(COUNTIF(F221:G221,"")=0,"",", ")),""),IF(F221="",CONCATENATE($F$4,IF(G221="",", ","")),""),IF(G221="",$G$4,""))))</f>
        <v/>
      </c>
      <c r="AA221" s="30"/>
    </row>
    <row r="222" spans="1:27" ht="16" x14ac:dyDescent="0.35">
      <c r="A222" s="14" t="str">
        <f t="shared" si="12"/>
        <v xml:space="preserve">  </v>
      </c>
      <c r="B222" s="15"/>
      <c r="C222" s="31"/>
      <c r="D222" s="31"/>
      <c r="E222" s="17"/>
      <c r="F222" s="18"/>
      <c r="G222" s="32"/>
      <c r="H222" s="33" t="str">
        <f>IF(G222="","",IF(F222="žena",ROMAN(MATCH(G222+1,'[1]Normy VP'!$Y$27:$Y$33,-1)),ROMAN(MATCH(G222+1,'[1]Normy VP'!$Y$19:$Y$25,-1))))</f>
        <v/>
      </c>
      <c r="I222" s="21"/>
      <c r="J222" s="22"/>
      <c r="K222" s="23"/>
      <c r="L222" s="23"/>
      <c r="M222" s="23"/>
      <c r="N222" s="22"/>
      <c r="O222" s="22"/>
      <c r="P222" s="24" t="str">
        <f>IF(OR($J222="",$J222="odešel"),IF(K222="","",IF($F222="žena",CHOOSE(_xlfn.ARABIC($H222),MATCH(K222+1,'[1]Normy VP'!$C$25:$F$25,-1),MATCH(K222+1,'[1]Normy VP'!$C$26:$F$26,-1),MATCH(K222+1,'[1]Normy VP'!$C$27:$F$27,-1),MATCH(K222+1,'[1]Normy VP'!$C$28:$F$28,-1),MATCH(K222+1,'[1]Normy VP'!$C$29:$F$29,-1),"muž"),CHOOSE(_xlfn.ARABIC($H222),MATCH(K222+1,'[1]Normy VP'!$C$10:$F$10,-1),MATCH(K222+1,'[1]Normy VP'!$C$11:$F$11,-1),MATCH(K222+1,'[1]Normy VP'!$C$12:$F$12,-1),MATCH(K222+1,'[1]Normy VP'!$C$13:$F$13,-1),MATCH(K222+1,'[1]Normy VP'!$C$14:$F$14,-1),""))),"O")</f>
        <v/>
      </c>
      <c r="Q222" s="24" t="str">
        <f>IF(OR($J222="",$J222="odešel"),IF($F222="žena","",IF(L222="","",(CHOOSE(_xlfn.ARABIC($H222),MATCH(L222+1,'[1]Normy VP'!$G$10:$J$10,-1),MATCH(L222+1,'[1]Normy VP'!$G$11:$J$11,-1),MATCH(L222+1,'[1]Normy VP'!$G$12:$J$12,-1),MATCH(L222+1,'[1]Normy VP'!$G$13:$J$13,-1),MATCH(L222+1,'[1]Normy VP'!$G$14:$J$14,-1),"")))),"O")</f>
        <v/>
      </c>
      <c r="R222" s="34" t="str">
        <f t="shared" si="13"/>
        <v>N</v>
      </c>
      <c r="S222" s="24" t="str">
        <f>IF(OR($J222="",$J222="odešel"),IF(M222="","N",IF($F222="žena",CHOOSE(_xlfn.ARABIC($H222),MATCH(M222+1,'[1]Normy VP'!$G$25:$J$25,-1),MATCH(M222+1,'[1]Normy VP'!$G$26:$J$26,-1),MATCH(M222+1,'[1]Normy VP'!$G$27:$J$27,-1),MATCH(M222+1,'[1]Normy VP'!$G$28:$J$28,-1),MATCH(M222+1,'[1]Normy VP'!$G$29:$J$29,-1),"muž"),(CHOOSE(_xlfn.ARABIC($H222),MATCH(M222+1,'[1]Normy VP'!$K$10:$N$10,-1),MATCH(M222+1,'[1]Normy VP'!$K$11:$N$11,-1),MATCH(M222+1,'[1]Normy VP'!$K$12:$N$12,-1),MATCH(M222+1,'[1]Normy VP'!$K$13:$N$13,-1),MATCH(M222+1,'[1]Normy VP'!$K$14:$N$14,-1),"")))),"O")</f>
        <v>N</v>
      </c>
      <c r="T222" s="34" t="str">
        <f t="shared" si="14"/>
        <v>N</v>
      </c>
      <c r="U222" s="24" t="str">
        <f>IF(OR($J222="",$J222="odešel"),IF(N222="","N",IF($F222="žena",CHOOSE(_xlfn.ARABIC($H222),MATCH(N222+1,'[1]Normy VP'!$K$25:$N$25,-1),MATCH(N222+1,'[1]Normy VP'!$K$26:$N$26,-1),MATCH(N222+1,'[1]Normy VP'!$K$27:$N$27,-1),MATCH(N222+1,'[1]Normy VP'!$K$28:$N$28,-1),MATCH(N222+1,'[1]Normy VP'!$K$29:$N$29,-1),MATCH(N222+1,'[1]Normy VP'!$K$30:$N$30,-1)),CHOOSE(_xlfn.ARABIC($H222),MATCH(N222+1,'[1]Normy VP'!$O$10:$R$10,-1),MATCH(N222+1,'[1]Normy VP'!$O$11:$R$11,-1),MATCH(N222+1,'[1]Normy VP'!$O$12:$R$12,-1),MATCH(N222+1,'[1]Normy VP'!$O$13:$R$13,-1),MATCH(N222+1,'[1]Normy VP'!$O$14:$R$14,-1),MATCH(N222+1,'[1]Normy VP'!$O$15:$R$15,-1)))),"O")</f>
        <v>N</v>
      </c>
      <c r="V222" s="26" t="str">
        <f>IF(OR($J222="",$J222="odešel"),IF(O222="","N",IF($F222="žena",CHOOSE(_xlfn.ARABIC($H222),MATCH(O222-1,'[1]Normy VP'!$O$25:$R$25),MATCH(O222-1,'[1]Normy VP'!$O$26:$R$26),MATCH(O222-1,'[1]Normy VP'!$O$27:$R$27),MATCH(O222-1,'[1]Normy VP'!$O$28:$R$28),MATCH(O222-1,'[1]Normy VP'!$O$29:$R$29),MATCH(O222-1,'[1]Normy VP'!$O$30:$R$30)),CHOOSE(_xlfn.ARABIC($H222),MATCH(O222-1,'[1]Normy VP'!$S$10:$V$10),MATCH(O222-1,'[1]Normy VP'!$S$11:$V$11),MATCH(O222-1,'[1]Normy VP'!$S$12:$V$12),MATCH(O222-1,'[1]Normy VP'!$S$13:$V$13),MATCH(O222-1,'[1]Normy VP'!$S$14:$V$14),MATCH(O222-1,'[1]Normy VP'!$S$15:$V$15)))),"O")</f>
        <v>N</v>
      </c>
      <c r="W222" s="34" t="str">
        <f t="shared" si="15"/>
        <v>N</v>
      </c>
      <c r="X222" s="27" t="str">
        <f>IF(COUNTIF(B222:G222,"")&gt;0,"",IF(COUNTIF([1]PP!$A:$A,A222)=0,"neni v PP",IF(OR(Y222="odešel",VLOOKUP(A222,[1]PP!$A:$W,22,FALSE)="odešel"),"odešel",IF(OR(Y222="N",VLOOKUP(A222,[1]PP!$A:$W,22,FALSE)="N"),"N",IF(OR(Y222="C",VLOOKUP(A222,[1]PP!$A:$W,22,FALSE)="C"),"C",IF(OR(Y222="DZO",VLOOKUP(A222,[1]PP!$A:$W,22,FALSE)="DZO"),"DZO",IF(OR(Y222="mise",Y222="disp.",Y222="končí",Y222="DSC",VLOOKUP(A222,[1]PP!$A:$W,22,FALSE)="mise",VLOOKUP(A222,[1]PP!$A:$W,22,FALSE)="disp.",VLOOKUP(A222,[1]PP!$A:$W,22,FALSE)="končí",VLOOKUP(A222,[1]PP!$A:$W,22,FALSE)="DSC"),"jiné",IF(OR(Y222=4,VLOOKUP(A222,[1]PP!$A:$W,22,FALSE)=4),4,IF(OR(Y222=3,VLOOKUP(A222,[1]PP!$A:$W,22,FALSE)=3),3,IF(OR(Y222=2,VLOOKUP(A222,[1]PP!$A:$W,22,FALSE)=2),2,IF(AND(Y222=1,VLOOKUP(A222,[1]PP!$A:$W,22,FALSE)=1),1)))))))))))</f>
        <v/>
      </c>
      <c r="Y222" s="28" t="str">
        <f>IF(COUNTIF(B222:G222,"")&gt;0,"",IF(COUNTIF([1]PP!$A:$A,A222)=0,"neni v PP",IF(VLOOKUP(A222,[1]PP!$A:$W,8,FALSE)="odešel","odešel",IF(F222="","",IF(J222="",IF(OR(T222=4,W222=4),4,IF(AND(T222="N",W222="N"),"N",IF(OR(T222="N",W222="N"),4,ROUND(AVERAGE(T222,W222),0)))),J222)))))</f>
        <v/>
      </c>
      <c r="Z222" s="29" t="str">
        <f>IF(COUNTIF(B222:G222,"")=0,IF(X222="neni v PP",CONCATENATE("ID: &lt;",A222,"&gt; se neshoduje s žádným IDem v kartě PP"),IF(COUNTIF($A:$A,A222)&gt;1,CONCATENATE("ID: &lt;",A222,"&gt; se v kartě VP opakuje. Je nutné tyto IDy od sebe odlišit, např. mezerou za příjmením."),IF(COUNTIF([1]PP!A:A,A222)&gt;1,CONCATENATE("ID: &lt;",A222,"&gt; se v kartě PP opakuje. Je nutné tyto IDy od sebe odlišit, např. mezerou za příjmením."),IF(VLOOKUP(A222,[1]PP!$A:$W,5,FALSE)&lt;&gt;E222,CONCATENATE($E$4," &lt;",E222,"&gt; se neshoduje s jednotkou v kartě PP"," &lt;",VLOOKUP(A222,[1]PP!$A:$W,5,FALSE),"&gt;"),IF(AND(COUNTIF(K222:O222,"")&lt;5,J222="",I222=""),CONCATENATE("Doplň: ",$I$4),IF(AND(YEAR(I222)&lt;&gt;$E$2,COUNTIF(I222,"")=0),CONCATENATE("špatně uveden &lt;",$D$2,"&gt; nebo &lt;",$I$4,"&gt;"),IF(OR(AND(OR(COUNTIF(C222,"*a"),COUNTIF(C222,"*ie"),COUNTIF(C222,"*ine"),COUNTIF(D222,"*Á")),F222="muž"),AND(AND(COUNTIF(C222,"&lt;&gt;"&amp;"*a"),COUNTIF(C222,"&lt;&gt;"&amp;"*ie"),COUNTIF(C222,"&lt;&gt;"&amp;"*ine"),COUNTIF(D222,"&lt;&gt;"&amp;"*Á")),F222="žena")),CONCATENATE(C222," ",D222," je ",F222,"?"),""))))))),IF(COUNTIF(B222:O222,"")=14,"",CONCATENATE("Doplň: ",IF(B222="",CONCATENATE($B$4,IF(COUNTIF(C222:G222,"")=0,"",", ")),""),IF(C222="",CONCATENATE($C$4,IF(COUNTIF(D222:G222,"")=0,"",", ")),""),IF(D222="",CONCATENATE($D$4,IF(COUNTIF(E222:G222,"")=0,"",", ")),""),IF(E222="",CONCATENATE($E$4,IF(COUNTIF(F222:G222,"")=0,"",", ")),""),IF(F222="",CONCATENATE($F$4,IF(G222="",", ","")),""),IF(G222="",$G$4,""))))</f>
        <v/>
      </c>
      <c r="AA222" s="30"/>
    </row>
    <row r="223" spans="1:27" ht="16" x14ac:dyDescent="0.35">
      <c r="A223" s="14" t="str">
        <f t="shared" si="12"/>
        <v xml:space="preserve">  </v>
      </c>
      <c r="B223" s="15"/>
      <c r="C223" s="31"/>
      <c r="D223" s="31"/>
      <c r="E223" s="17"/>
      <c r="F223" s="18"/>
      <c r="G223" s="32"/>
      <c r="H223" s="33" t="str">
        <f>IF(G223="","",IF(F223="žena",ROMAN(MATCH(G223+1,'[1]Normy VP'!$Y$27:$Y$33,-1)),ROMAN(MATCH(G223+1,'[1]Normy VP'!$Y$19:$Y$25,-1))))</f>
        <v/>
      </c>
      <c r="I223" s="21"/>
      <c r="J223" s="22"/>
      <c r="K223" s="23"/>
      <c r="L223" s="23"/>
      <c r="M223" s="23"/>
      <c r="N223" s="22"/>
      <c r="O223" s="22"/>
      <c r="P223" s="24" t="str">
        <f>IF(OR($J223="",$J223="odešel"),IF(K223="","",IF($F223="žena",CHOOSE(_xlfn.ARABIC($H223),MATCH(K223+1,'[1]Normy VP'!$C$25:$F$25,-1),MATCH(K223+1,'[1]Normy VP'!$C$26:$F$26,-1),MATCH(K223+1,'[1]Normy VP'!$C$27:$F$27,-1),MATCH(K223+1,'[1]Normy VP'!$C$28:$F$28,-1),MATCH(K223+1,'[1]Normy VP'!$C$29:$F$29,-1),"muž"),CHOOSE(_xlfn.ARABIC($H223),MATCH(K223+1,'[1]Normy VP'!$C$10:$F$10,-1),MATCH(K223+1,'[1]Normy VP'!$C$11:$F$11,-1),MATCH(K223+1,'[1]Normy VP'!$C$12:$F$12,-1),MATCH(K223+1,'[1]Normy VP'!$C$13:$F$13,-1),MATCH(K223+1,'[1]Normy VP'!$C$14:$F$14,-1),""))),"O")</f>
        <v/>
      </c>
      <c r="Q223" s="24" t="str">
        <f>IF(OR($J223="",$J223="odešel"),IF($F223="žena","",IF(L223="","",(CHOOSE(_xlfn.ARABIC($H223),MATCH(L223+1,'[1]Normy VP'!$G$10:$J$10,-1),MATCH(L223+1,'[1]Normy VP'!$G$11:$J$11,-1),MATCH(L223+1,'[1]Normy VP'!$G$12:$J$12,-1),MATCH(L223+1,'[1]Normy VP'!$G$13:$J$13,-1),MATCH(L223+1,'[1]Normy VP'!$G$14:$J$14,-1),"")))),"O")</f>
        <v/>
      </c>
      <c r="R223" s="34" t="str">
        <f t="shared" si="13"/>
        <v>N</v>
      </c>
      <c r="S223" s="24" t="str">
        <f>IF(OR($J223="",$J223="odešel"),IF(M223="","N",IF($F223="žena",CHOOSE(_xlfn.ARABIC($H223),MATCH(M223+1,'[1]Normy VP'!$G$25:$J$25,-1),MATCH(M223+1,'[1]Normy VP'!$G$26:$J$26,-1),MATCH(M223+1,'[1]Normy VP'!$G$27:$J$27,-1),MATCH(M223+1,'[1]Normy VP'!$G$28:$J$28,-1),MATCH(M223+1,'[1]Normy VP'!$G$29:$J$29,-1),"muž"),(CHOOSE(_xlfn.ARABIC($H223),MATCH(M223+1,'[1]Normy VP'!$K$10:$N$10,-1),MATCH(M223+1,'[1]Normy VP'!$K$11:$N$11,-1),MATCH(M223+1,'[1]Normy VP'!$K$12:$N$12,-1),MATCH(M223+1,'[1]Normy VP'!$K$13:$N$13,-1),MATCH(M223+1,'[1]Normy VP'!$K$14:$N$14,-1),"")))),"O")</f>
        <v>N</v>
      </c>
      <c r="T223" s="34" t="str">
        <f t="shared" si="14"/>
        <v>N</v>
      </c>
      <c r="U223" s="24" t="str">
        <f>IF(OR($J223="",$J223="odešel"),IF(N223="","N",IF($F223="žena",CHOOSE(_xlfn.ARABIC($H223),MATCH(N223+1,'[1]Normy VP'!$K$25:$N$25,-1),MATCH(N223+1,'[1]Normy VP'!$K$26:$N$26,-1),MATCH(N223+1,'[1]Normy VP'!$K$27:$N$27,-1),MATCH(N223+1,'[1]Normy VP'!$K$28:$N$28,-1),MATCH(N223+1,'[1]Normy VP'!$K$29:$N$29,-1),MATCH(N223+1,'[1]Normy VP'!$K$30:$N$30,-1)),CHOOSE(_xlfn.ARABIC($H223),MATCH(N223+1,'[1]Normy VP'!$O$10:$R$10,-1),MATCH(N223+1,'[1]Normy VP'!$O$11:$R$11,-1),MATCH(N223+1,'[1]Normy VP'!$O$12:$R$12,-1),MATCH(N223+1,'[1]Normy VP'!$O$13:$R$13,-1),MATCH(N223+1,'[1]Normy VP'!$O$14:$R$14,-1),MATCH(N223+1,'[1]Normy VP'!$O$15:$R$15,-1)))),"O")</f>
        <v>N</v>
      </c>
      <c r="V223" s="26" t="str">
        <f>IF(OR($J223="",$J223="odešel"),IF(O223="","N",IF($F223="žena",CHOOSE(_xlfn.ARABIC($H223),MATCH(O223-1,'[1]Normy VP'!$O$25:$R$25),MATCH(O223-1,'[1]Normy VP'!$O$26:$R$26),MATCH(O223-1,'[1]Normy VP'!$O$27:$R$27),MATCH(O223-1,'[1]Normy VP'!$O$28:$R$28),MATCH(O223-1,'[1]Normy VP'!$O$29:$R$29),MATCH(O223-1,'[1]Normy VP'!$O$30:$R$30)),CHOOSE(_xlfn.ARABIC($H223),MATCH(O223-1,'[1]Normy VP'!$S$10:$V$10),MATCH(O223-1,'[1]Normy VP'!$S$11:$V$11),MATCH(O223-1,'[1]Normy VP'!$S$12:$V$12),MATCH(O223-1,'[1]Normy VP'!$S$13:$V$13),MATCH(O223-1,'[1]Normy VP'!$S$14:$V$14),MATCH(O223-1,'[1]Normy VP'!$S$15:$V$15)))),"O")</f>
        <v>N</v>
      </c>
      <c r="W223" s="34" t="str">
        <f t="shared" si="15"/>
        <v>N</v>
      </c>
      <c r="X223" s="27" t="str">
        <f>IF(COUNTIF(B223:G223,"")&gt;0,"",IF(COUNTIF([1]PP!$A:$A,A223)=0,"neni v PP",IF(OR(Y223="odešel",VLOOKUP(A223,[1]PP!$A:$W,22,FALSE)="odešel"),"odešel",IF(OR(Y223="N",VLOOKUP(A223,[1]PP!$A:$W,22,FALSE)="N"),"N",IF(OR(Y223="C",VLOOKUP(A223,[1]PP!$A:$W,22,FALSE)="C"),"C",IF(OR(Y223="DZO",VLOOKUP(A223,[1]PP!$A:$W,22,FALSE)="DZO"),"DZO",IF(OR(Y223="mise",Y223="disp.",Y223="končí",Y223="DSC",VLOOKUP(A223,[1]PP!$A:$W,22,FALSE)="mise",VLOOKUP(A223,[1]PP!$A:$W,22,FALSE)="disp.",VLOOKUP(A223,[1]PP!$A:$W,22,FALSE)="končí",VLOOKUP(A223,[1]PP!$A:$W,22,FALSE)="DSC"),"jiné",IF(OR(Y223=4,VLOOKUP(A223,[1]PP!$A:$W,22,FALSE)=4),4,IF(OR(Y223=3,VLOOKUP(A223,[1]PP!$A:$W,22,FALSE)=3),3,IF(OR(Y223=2,VLOOKUP(A223,[1]PP!$A:$W,22,FALSE)=2),2,IF(AND(Y223=1,VLOOKUP(A223,[1]PP!$A:$W,22,FALSE)=1),1)))))))))))</f>
        <v/>
      </c>
      <c r="Y223" s="28" t="str">
        <f>IF(COUNTIF(B223:G223,"")&gt;0,"",IF(COUNTIF([1]PP!$A:$A,A223)=0,"neni v PP",IF(VLOOKUP(A223,[1]PP!$A:$W,8,FALSE)="odešel","odešel",IF(F223="","",IF(J223="",IF(OR(T223=4,W223=4),4,IF(AND(T223="N",W223="N"),"N",IF(OR(T223="N",W223="N"),4,ROUND(AVERAGE(T223,W223),0)))),J223)))))</f>
        <v/>
      </c>
      <c r="Z223" s="29" t="str">
        <f>IF(COUNTIF(B223:G223,"")=0,IF(X223="neni v PP",CONCATENATE("ID: &lt;",A223,"&gt; se neshoduje s žádným IDem v kartě PP"),IF(COUNTIF($A:$A,A223)&gt;1,CONCATENATE("ID: &lt;",A223,"&gt; se v kartě VP opakuje. Je nutné tyto IDy od sebe odlišit, např. mezerou za příjmením."),IF(COUNTIF([1]PP!A:A,A223)&gt;1,CONCATENATE("ID: &lt;",A223,"&gt; se v kartě PP opakuje. Je nutné tyto IDy od sebe odlišit, např. mezerou za příjmením."),IF(VLOOKUP(A223,[1]PP!$A:$W,5,FALSE)&lt;&gt;E223,CONCATENATE($E$4," &lt;",E223,"&gt; se neshoduje s jednotkou v kartě PP"," &lt;",VLOOKUP(A223,[1]PP!$A:$W,5,FALSE),"&gt;"),IF(AND(COUNTIF(K223:O223,"")&lt;5,J223="",I223=""),CONCATENATE("Doplň: ",$I$4),IF(AND(YEAR(I223)&lt;&gt;$E$2,COUNTIF(I223,"")=0),CONCATENATE("špatně uveden &lt;",$D$2,"&gt; nebo &lt;",$I$4,"&gt;"),IF(OR(AND(OR(COUNTIF(C223,"*a"),COUNTIF(C223,"*ie"),COUNTIF(C223,"*ine"),COUNTIF(D223,"*Á")),F223="muž"),AND(AND(COUNTIF(C223,"&lt;&gt;"&amp;"*a"),COUNTIF(C223,"&lt;&gt;"&amp;"*ie"),COUNTIF(C223,"&lt;&gt;"&amp;"*ine"),COUNTIF(D223,"&lt;&gt;"&amp;"*Á")),F223="žena")),CONCATENATE(C223," ",D223," je ",F223,"?"),""))))))),IF(COUNTIF(B223:O223,"")=14,"",CONCATENATE("Doplň: ",IF(B223="",CONCATENATE($B$4,IF(COUNTIF(C223:G223,"")=0,"",", ")),""),IF(C223="",CONCATENATE($C$4,IF(COUNTIF(D223:G223,"")=0,"",", ")),""),IF(D223="",CONCATENATE($D$4,IF(COUNTIF(E223:G223,"")=0,"",", ")),""),IF(E223="",CONCATENATE($E$4,IF(COUNTIF(F223:G223,"")=0,"",", ")),""),IF(F223="",CONCATENATE($F$4,IF(G223="",", ","")),""),IF(G223="",$G$4,""))))</f>
        <v/>
      </c>
      <c r="AA223" s="30"/>
    </row>
    <row r="224" spans="1:27" ht="16" x14ac:dyDescent="0.35">
      <c r="A224" s="14" t="str">
        <f t="shared" si="12"/>
        <v xml:space="preserve">  </v>
      </c>
      <c r="B224" s="15"/>
      <c r="C224" s="31"/>
      <c r="D224" s="31"/>
      <c r="E224" s="17"/>
      <c r="F224" s="18"/>
      <c r="G224" s="32"/>
      <c r="H224" s="33" t="str">
        <f>IF(G224="","",IF(F224="žena",ROMAN(MATCH(G224+1,'[1]Normy VP'!$Y$27:$Y$33,-1)),ROMAN(MATCH(G224+1,'[1]Normy VP'!$Y$19:$Y$25,-1))))</f>
        <v/>
      </c>
      <c r="I224" s="21"/>
      <c r="J224" s="22"/>
      <c r="K224" s="23"/>
      <c r="L224" s="23"/>
      <c r="M224" s="23"/>
      <c r="N224" s="22"/>
      <c r="O224" s="22"/>
      <c r="P224" s="24" t="str">
        <f>IF(OR($J224="",$J224="odešel"),IF(K224="","",IF($F224="žena",CHOOSE(_xlfn.ARABIC($H224),MATCH(K224+1,'[1]Normy VP'!$C$25:$F$25,-1),MATCH(K224+1,'[1]Normy VP'!$C$26:$F$26,-1),MATCH(K224+1,'[1]Normy VP'!$C$27:$F$27,-1),MATCH(K224+1,'[1]Normy VP'!$C$28:$F$28,-1),MATCH(K224+1,'[1]Normy VP'!$C$29:$F$29,-1),"muž"),CHOOSE(_xlfn.ARABIC($H224),MATCH(K224+1,'[1]Normy VP'!$C$10:$F$10,-1),MATCH(K224+1,'[1]Normy VP'!$C$11:$F$11,-1),MATCH(K224+1,'[1]Normy VP'!$C$12:$F$12,-1),MATCH(K224+1,'[1]Normy VP'!$C$13:$F$13,-1),MATCH(K224+1,'[1]Normy VP'!$C$14:$F$14,-1),""))),"O")</f>
        <v/>
      </c>
      <c r="Q224" s="24" t="str">
        <f>IF(OR($J224="",$J224="odešel"),IF($F224="žena","",IF(L224="","",(CHOOSE(_xlfn.ARABIC($H224),MATCH(L224+1,'[1]Normy VP'!$G$10:$J$10,-1),MATCH(L224+1,'[1]Normy VP'!$G$11:$J$11,-1),MATCH(L224+1,'[1]Normy VP'!$G$12:$J$12,-1),MATCH(L224+1,'[1]Normy VP'!$G$13:$J$13,-1),MATCH(L224+1,'[1]Normy VP'!$G$14:$J$14,-1),"")))),"O")</f>
        <v/>
      </c>
      <c r="R224" s="34" t="str">
        <f t="shared" si="13"/>
        <v>N</v>
      </c>
      <c r="S224" s="24" t="str">
        <f>IF(OR($J224="",$J224="odešel"),IF(M224="","N",IF($F224="žena",CHOOSE(_xlfn.ARABIC($H224),MATCH(M224+1,'[1]Normy VP'!$G$25:$J$25,-1),MATCH(M224+1,'[1]Normy VP'!$G$26:$J$26,-1),MATCH(M224+1,'[1]Normy VP'!$G$27:$J$27,-1),MATCH(M224+1,'[1]Normy VP'!$G$28:$J$28,-1),MATCH(M224+1,'[1]Normy VP'!$G$29:$J$29,-1),"muž"),(CHOOSE(_xlfn.ARABIC($H224),MATCH(M224+1,'[1]Normy VP'!$K$10:$N$10,-1),MATCH(M224+1,'[1]Normy VP'!$K$11:$N$11,-1),MATCH(M224+1,'[1]Normy VP'!$K$12:$N$12,-1),MATCH(M224+1,'[1]Normy VP'!$K$13:$N$13,-1),MATCH(M224+1,'[1]Normy VP'!$K$14:$N$14,-1),"")))),"O")</f>
        <v>N</v>
      </c>
      <c r="T224" s="34" t="str">
        <f t="shared" si="14"/>
        <v>N</v>
      </c>
      <c r="U224" s="24" t="str">
        <f>IF(OR($J224="",$J224="odešel"),IF(N224="","N",IF($F224="žena",CHOOSE(_xlfn.ARABIC($H224),MATCH(N224+1,'[1]Normy VP'!$K$25:$N$25,-1),MATCH(N224+1,'[1]Normy VP'!$K$26:$N$26,-1),MATCH(N224+1,'[1]Normy VP'!$K$27:$N$27,-1),MATCH(N224+1,'[1]Normy VP'!$K$28:$N$28,-1),MATCH(N224+1,'[1]Normy VP'!$K$29:$N$29,-1),MATCH(N224+1,'[1]Normy VP'!$K$30:$N$30,-1)),CHOOSE(_xlfn.ARABIC($H224),MATCH(N224+1,'[1]Normy VP'!$O$10:$R$10,-1),MATCH(N224+1,'[1]Normy VP'!$O$11:$R$11,-1),MATCH(N224+1,'[1]Normy VP'!$O$12:$R$12,-1),MATCH(N224+1,'[1]Normy VP'!$O$13:$R$13,-1),MATCH(N224+1,'[1]Normy VP'!$O$14:$R$14,-1),MATCH(N224+1,'[1]Normy VP'!$O$15:$R$15,-1)))),"O")</f>
        <v>N</v>
      </c>
      <c r="V224" s="26" t="str">
        <f>IF(OR($J224="",$J224="odešel"),IF(O224="","N",IF($F224="žena",CHOOSE(_xlfn.ARABIC($H224),MATCH(O224-1,'[1]Normy VP'!$O$25:$R$25),MATCH(O224-1,'[1]Normy VP'!$O$26:$R$26),MATCH(O224-1,'[1]Normy VP'!$O$27:$R$27),MATCH(O224-1,'[1]Normy VP'!$O$28:$R$28),MATCH(O224-1,'[1]Normy VP'!$O$29:$R$29),MATCH(O224-1,'[1]Normy VP'!$O$30:$R$30)),CHOOSE(_xlfn.ARABIC($H224),MATCH(O224-1,'[1]Normy VP'!$S$10:$V$10),MATCH(O224-1,'[1]Normy VP'!$S$11:$V$11),MATCH(O224-1,'[1]Normy VP'!$S$12:$V$12),MATCH(O224-1,'[1]Normy VP'!$S$13:$V$13),MATCH(O224-1,'[1]Normy VP'!$S$14:$V$14),MATCH(O224-1,'[1]Normy VP'!$S$15:$V$15)))),"O")</f>
        <v>N</v>
      </c>
      <c r="W224" s="34" t="str">
        <f t="shared" si="15"/>
        <v>N</v>
      </c>
      <c r="X224" s="27" t="str">
        <f>IF(COUNTIF(B224:G224,"")&gt;0,"",IF(COUNTIF([1]PP!$A:$A,A224)=0,"neni v PP",IF(OR(Y224="odešel",VLOOKUP(A224,[1]PP!$A:$W,22,FALSE)="odešel"),"odešel",IF(OR(Y224="N",VLOOKUP(A224,[1]PP!$A:$W,22,FALSE)="N"),"N",IF(OR(Y224="C",VLOOKUP(A224,[1]PP!$A:$W,22,FALSE)="C"),"C",IF(OR(Y224="DZO",VLOOKUP(A224,[1]PP!$A:$W,22,FALSE)="DZO"),"DZO",IF(OR(Y224="mise",Y224="disp.",Y224="končí",Y224="DSC",VLOOKUP(A224,[1]PP!$A:$W,22,FALSE)="mise",VLOOKUP(A224,[1]PP!$A:$W,22,FALSE)="disp.",VLOOKUP(A224,[1]PP!$A:$W,22,FALSE)="končí",VLOOKUP(A224,[1]PP!$A:$W,22,FALSE)="DSC"),"jiné",IF(OR(Y224=4,VLOOKUP(A224,[1]PP!$A:$W,22,FALSE)=4),4,IF(OR(Y224=3,VLOOKUP(A224,[1]PP!$A:$W,22,FALSE)=3),3,IF(OR(Y224=2,VLOOKUP(A224,[1]PP!$A:$W,22,FALSE)=2),2,IF(AND(Y224=1,VLOOKUP(A224,[1]PP!$A:$W,22,FALSE)=1),1)))))))))))</f>
        <v/>
      </c>
      <c r="Y224" s="28" t="str">
        <f>IF(COUNTIF(B224:G224,"")&gt;0,"",IF(COUNTIF([1]PP!$A:$A,A224)=0,"neni v PP",IF(VLOOKUP(A224,[1]PP!$A:$W,8,FALSE)="odešel","odešel",IF(F224="","",IF(J224="",IF(OR(T224=4,W224=4),4,IF(AND(T224="N",W224="N"),"N",IF(OR(T224="N",W224="N"),4,ROUND(AVERAGE(T224,W224),0)))),J224)))))</f>
        <v/>
      </c>
      <c r="Z224" s="29" t="str">
        <f>IF(COUNTIF(B224:G224,"")=0,IF(X224="neni v PP",CONCATENATE("ID: &lt;",A224,"&gt; se neshoduje s žádným IDem v kartě PP"),IF(COUNTIF($A:$A,A224)&gt;1,CONCATENATE("ID: &lt;",A224,"&gt; se v kartě VP opakuje. Je nutné tyto IDy od sebe odlišit, např. mezerou za příjmením."),IF(COUNTIF([1]PP!A:A,A224)&gt;1,CONCATENATE("ID: &lt;",A224,"&gt; se v kartě PP opakuje. Je nutné tyto IDy od sebe odlišit, např. mezerou za příjmením."),IF(VLOOKUP(A224,[1]PP!$A:$W,5,FALSE)&lt;&gt;E224,CONCATENATE($E$4," &lt;",E224,"&gt; se neshoduje s jednotkou v kartě PP"," &lt;",VLOOKUP(A224,[1]PP!$A:$W,5,FALSE),"&gt;"),IF(AND(COUNTIF(K224:O224,"")&lt;5,J224="",I224=""),CONCATENATE("Doplň: ",$I$4),IF(AND(YEAR(I224)&lt;&gt;$E$2,COUNTIF(I224,"")=0),CONCATENATE("špatně uveden &lt;",$D$2,"&gt; nebo &lt;",$I$4,"&gt;"),IF(OR(AND(OR(COUNTIF(C224,"*a"),COUNTIF(C224,"*ie"),COUNTIF(C224,"*ine"),COUNTIF(D224,"*Á")),F224="muž"),AND(AND(COUNTIF(C224,"&lt;&gt;"&amp;"*a"),COUNTIF(C224,"&lt;&gt;"&amp;"*ie"),COUNTIF(C224,"&lt;&gt;"&amp;"*ine"),COUNTIF(D224,"&lt;&gt;"&amp;"*Á")),F224="žena")),CONCATENATE(C224," ",D224," je ",F224,"?"),""))))))),IF(COUNTIF(B224:O224,"")=14,"",CONCATENATE("Doplň: ",IF(B224="",CONCATENATE($B$4,IF(COUNTIF(C224:G224,"")=0,"",", ")),""),IF(C224="",CONCATENATE($C$4,IF(COUNTIF(D224:G224,"")=0,"",", ")),""),IF(D224="",CONCATENATE($D$4,IF(COUNTIF(E224:G224,"")=0,"",", ")),""),IF(E224="",CONCATENATE($E$4,IF(COUNTIF(F224:G224,"")=0,"",", ")),""),IF(F224="",CONCATENATE($F$4,IF(G224="",", ","")),""),IF(G224="",$G$4,""))))</f>
        <v/>
      </c>
      <c r="AA224" s="30"/>
    </row>
    <row r="225" spans="1:27" ht="16" x14ac:dyDescent="0.35">
      <c r="A225" s="14" t="str">
        <f t="shared" si="12"/>
        <v xml:space="preserve">  </v>
      </c>
      <c r="B225" s="15"/>
      <c r="C225" s="31"/>
      <c r="D225" s="31"/>
      <c r="E225" s="17"/>
      <c r="F225" s="18"/>
      <c r="G225" s="32"/>
      <c r="H225" s="33" t="str">
        <f>IF(G225="","",IF(F225="žena",ROMAN(MATCH(G225+1,'[1]Normy VP'!$Y$27:$Y$33,-1)),ROMAN(MATCH(G225+1,'[1]Normy VP'!$Y$19:$Y$25,-1))))</f>
        <v/>
      </c>
      <c r="I225" s="21"/>
      <c r="J225" s="22"/>
      <c r="K225" s="23"/>
      <c r="L225" s="23"/>
      <c r="M225" s="23"/>
      <c r="N225" s="22"/>
      <c r="O225" s="22"/>
      <c r="P225" s="24" t="str">
        <f>IF(OR($J225="",$J225="odešel"),IF(K225="","",IF($F225="žena",CHOOSE(_xlfn.ARABIC($H225),MATCH(K225+1,'[1]Normy VP'!$C$25:$F$25,-1),MATCH(K225+1,'[1]Normy VP'!$C$26:$F$26,-1),MATCH(K225+1,'[1]Normy VP'!$C$27:$F$27,-1),MATCH(K225+1,'[1]Normy VP'!$C$28:$F$28,-1),MATCH(K225+1,'[1]Normy VP'!$C$29:$F$29,-1),"muž"),CHOOSE(_xlfn.ARABIC($H225),MATCH(K225+1,'[1]Normy VP'!$C$10:$F$10,-1),MATCH(K225+1,'[1]Normy VP'!$C$11:$F$11,-1),MATCH(K225+1,'[1]Normy VP'!$C$12:$F$12,-1),MATCH(K225+1,'[1]Normy VP'!$C$13:$F$13,-1),MATCH(K225+1,'[1]Normy VP'!$C$14:$F$14,-1),""))),"O")</f>
        <v/>
      </c>
      <c r="Q225" s="24" t="str">
        <f>IF(OR($J225="",$J225="odešel"),IF($F225="žena","",IF(L225="","",(CHOOSE(_xlfn.ARABIC($H225),MATCH(L225+1,'[1]Normy VP'!$G$10:$J$10,-1),MATCH(L225+1,'[1]Normy VP'!$G$11:$J$11,-1),MATCH(L225+1,'[1]Normy VP'!$G$12:$J$12,-1),MATCH(L225+1,'[1]Normy VP'!$G$13:$J$13,-1),MATCH(L225+1,'[1]Normy VP'!$G$14:$J$14,-1),"")))),"O")</f>
        <v/>
      </c>
      <c r="R225" s="34" t="str">
        <f t="shared" si="13"/>
        <v>N</v>
      </c>
      <c r="S225" s="24" t="str">
        <f>IF(OR($J225="",$J225="odešel"),IF(M225="","N",IF($F225="žena",CHOOSE(_xlfn.ARABIC($H225),MATCH(M225+1,'[1]Normy VP'!$G$25:$J$25,-1),MATCH(M225+1,'[1]Normy VP'!$G$26:$J$26,-1),MATCH(M225+1,'[1]Normy VP'!$G$27:$J$27,-1),MATCH(M225+1,'[1]Normy VP'!$G$28:$J$28,-1),MATCH(M225+1,'[1]Normy VP'!$G$29:$J$29,-1),"muž"),(CHOOSE(_xlfn.ARABIC($H225),MATCH(M225+1,'[1]Normy VP'!$K$10:$N$10,-1),MATCH(M225+1,'[1]Normy VP'!$K$11:$N$11,-1),MATCH(M225+1,'[1]Normy VP'!$K$12:$N$12,-1),MATCH(M225+1,'[1]Normy VP'!$K$13:$N$13,-1),MATCH(M225+1,'[1]Normy VP'!$K$14:$N$14,-1),"")))),"O")</f>
        <v>N</v>
      </c>
      <c r="T225" s="34" t="str">
        <f t="shared" si="14"/>
        <v>N</v>
      </c>
      <c r="U225" s="24" t="str">
        <f>IF(OR($J225="",$J225="odešel"),IF(N225="","N",IF($F225="žena",CHOOSE(_xlfn.ARABIC($H225),MATCH(N225+1,'[1]Normy VP'!$K$25:$N$25,-1),MATCH(N225+1,'[1]Normy VP'!$K$26:$N$26,-1),MATCH(N225+1,'[1]Normy VP'!$K$27:$N$27,-1),MATCH(N225+1,'[1]Normy VP'!$K$28:$N$28,-1),MATCH(N225+1,'[1]Normy VP'!$K$29:$N$29,-1),MATCH(N225+1,'[1]Normy VP'!$K$30:$N$30,-1)),CHOOSE(_xlfn.ARABIC($H225),MATCH(N225+1,'[1]Normy VP'!$O$10:$R$10,-1),MATCH(N225+1,'[1]Normy VP'!$O$11:$R$11,-1),MATCH(N225+1,'[1]Normy VP'!$O$12:$R$12,-1),MATCH(N225+1,'[1]Normy VP'!$O$13:$R$13,-1),MATCH(N225+1,'[1]Normy VP'!$O$14:$R$14,-1),MATCH(N225+1,'[1]Normy VP'!$O$15:$R$15,-1)))),"O")</f>
        <v>N</v>
      </c>
      <c r="V225" s="26" t="str">
        <f>IF(OR($J225="",$J225="odešel"),IF(O225="","N",IF($F225="žena",CHOOSE(_xlfn.ARABIC($H225),MATCH(O225-1,'[1]Normy VP'!$O$25:$R$25),MATCH(O225-1,'[1]Normy VP'!$O$26:$R$26),MATCH(O225-1,'[1]Normy VP'!$O$27:$R$27),MATCH(O225-1,'[1]Normy VP'!$O$28:$R$28),MATCH(O225-1,'[1]Normy VP'!$O$29:$R$29),MATCH(O225-1,'[1]Normy VP'!$O$30:$R$30)),CHOOSE(_xlfn.ARABIC($H225),MATCH(O225-1,'[1]Normy VP'!$S$10:$V$10),MATCH(O225-1,'[1]Normy VP'!$S$11:$V$11),MATCH(O225-1,'[1]Normy VP'!$S$12:$V$12),MATCH(O225-1,'[1]Normy VP'!$S$13:$V$13),MATCH(O225-1,'[1]Normy VP'!$S$14:$V$14),MATCH(O225-1,'[1]Normy VP'!$S$15:$V$15)))),"O")</f>
        <v>N</v>
      </c>
      <c r="W225" s="34" t="str">
        <f t="shared" si="15"/>
        <v>N</v>
      </c>
      <c r="X225" s="27" t="str">
        <f>IF(COUNTIF(B225:G225,"")&gt;0,"",IF(COUNTIF([1]PP!$A:$A,A225)=0,"neni v PP",IF(OR(Y225="odešel",VLOOKUP(A225,[1]PP!$A:$W,22,FALSE)="odešel"),"odešel",IF(OR(Y225="N",VLOOKUP(A225,[1]PP!$A:$W,22,FALSE)="N"),"N",IF(OR(Y225="C",VLOOKUP(A225,[1]PP!$A:$W,22,FALSE)="C"),"C",IF(OR(Y225="DZO",VLOOKUP(A225,[1]PP!$A:$W,22,FALSE)="DZO"),"DZO",IF(OR(Y225="mise",Y225="disp.",Y225="končí",Y225="DSC",VLOOKUP(A225,[1]PP!$A:$W,22,FALSE)="mise",VLOOKUP(A225,[1]PP!$A:$W,22,FALSE)="disp.",VLOOKUP(A225,[1]PP!$A:$W,22,FALSE)="končí",VLOOKUP(A225,[1]PP!$A:$W,22,FALSE)="DSC"),"jiné",IF(OR(Y225=4,VLOOKUP(A225,[1]PP!$A:$W,22,FALSE)=4),4,IF(OR(Y225=3,VLOOKUP(A225,[1]PP!$A:$W,22,FALSE)=3),3,IF(OR(Y225=2,VLOOKUP(A225,[1]PP!$A:$W,22,FALSE)=2),2,IF(AND(Y225=1,VLOOKUP(A225,[1]PP!$A:$W,22,FALSE)=1),1)))))))))))</f>
        <v/>
      </c>
      <c r="Y225" s="28" t="str">
        <f>IF(COUNTIF(B225:G225,"")&gt;0,"",IF(COUNTIF([1]PP!$A:$A,A225)=0,"neni v PP",IF(VLOOKUP(A225,[1]PP!$A:$W,8,FALSE)="odešel","odešel",IF(F225="","",IF(J225="",IF(OR(T225=4,W225=4),4,IF(AND(T225="N",W225="N"),"N",IF(OR(T225="N",W225="N"),4,ROUND(AVERAGE(T225,W225),0)))),J225)))))</f>
        <v/>
      </c>
      <c r="Z225" s="29" t="str">
        <f>IF(COUNTIF(B225:G225,"")=0,IF(X225="neni v PP",CONCATENATE("ID: &lt;",A225,"&gt; se neshoduje s žádným IDem v kartě PP"),IF(COUNTIF($A:$A,A225)&gt;1,CONCATENATE("ID: &lt;",A225,"&gt; se v kartě VP opakuje. Je nutné tyto IDy od sebe odlišit, např. mezerou za příjmením."),IF(COUNTIF([1]PP!A:A,A225)&gt;1,CONCATENATE("ID: &lt;",A225,"&gt; se v kartě PP opakuje. Je nutné tyto IDy od sebe odlišit, např. mezerou za příjmením."),IF(VLOOKUP(A225,[1]PP!$A:$W,5,FALSE)&lt;&gt;E225,CONCATENATE($E$4," &lt;",E225,"&gt; se neshoduje s jednotkou v kartě PP"," &lt;",VLOOKUP(A225,[1]PP!$A:$W,5,FALSE),"&gt;"),IF(AND(COUNTIF(K225:O225,"")&lt;5,J225="",I225=""),CONCATENATE("Doplň: ",$I$4),IF(AND(YEAR(I225)&lt;&gt;$E$2,COUNTIF(I225,"")=0),CONCATENATE("špatně uveden &lt;",$D$2,"&gt; nebo &lt;",$I$4,"&gt;"),IF(OR(AND(OR(COUNTIF(C225,"*a"),COUNTIF(C225,"*ie"),COUNTIF(C225,"*ine"),COUNTIF(D225,"*Á")),F225="muž"),AND(AND(COUNTIF(C225,"&lt;&gt;"&amp;"*a"),COUNTIF(C225,"&lt;&gt;"&amp;"*ie"),COUNTIF(C225,"&lt;&gt;"&amp;"*ine"),COUNTIF(D225,"&lt;&gt;"&amp;"*Á")),F225="žena")),CONCATENATE(C225," ",D225," je ",F225,"?"),""))))))),IF(COUNTIF(B225:O225,"")=14,"",CONCATENATE("Doplň: ",IF(B225="",CONCATENATE($B$4,IF(COUNTIF(C225:G225,"")=0,"",", ")),""),IF(C225="",CONCATENATE($C$4,IF(COUNTIF(D225:G225,"")=0,"",", ")),""),IF(D225="",CONCATENATE($D$4,IF(COUNTIF(E225:G225,"")=0,"",", ")),""),IF(E225="",CONCATENATE($E$4,IF(COUNTIF(F225:G225,"")=0,"",", ")),""),IF(F225="",CONCATENATE($F$4,IF(G225="",", ","")),""),IF(G225="",$G$4,""))))</f>
        <v/>
      </c>
      <c r="AA225" s="30"/>
    </row>
    <row r="226" spans="1:27" ht="16" x14ac:dyDescent="0.35">
      <c r="A226" s="14" t="str">
        <f t="shared" si="12"/>
        <v xml:space="preserve">  </v>
      </c>
      <c r="B226" s="15"/>
      <c r="C226" s="31"/>
      <c r="D226" s="31"/>
      <c r="E226" s="17"/>
      <c r="F226" s="18"/>
      <c r="G226" s="32"/>
      <c r="H226" s="33" t="str">
        <f>IF(G226="","",IF(F226="žena",ROMAN(MATCH(G226+1,'[1]Normy VP'!$Y$27:$Y$33,-1)),ROMAN(MATCH(G226+1,'[1]Normy VP'!$Y$19:$Y$25,-1))))</f>
        <v/>
      </c>
      <c r="I226" s="21"/>
      <c r="J226" s="22"/>
      <c r="K226" s="23"/>
      <c r="L226" s="23"/>
      <c r="M226" s="23"/>
      <c r="N226" s="22"/>
      <c r="O226" s="22"/>
      <c r="P226" s="24" t="str">
        <f>IF(OR($J226="",$J226="odešel"),IF(K226="","",IF($F226="žena",CHOOSE(_xlfn.ARABIC($H226),MATCH(K226+1,'[1]Normy VP'!$C$25:$F$25,-1),MATCH(K226+1,'[1]Normy VP'!$C$26:$F$26,-1),MATCH(K226+1,'[1]Normy VP'!$C$27:$F$27,-1),MATCH(K226+1,'[1]Normy VP'!$C$28:$F$28,-1),MATCH(K226+1,'[1]Normy VP'!$C$29:$F$29,-1),"muž"),CHOOSE(_xlfn.ARABIC($H226),MATCH(K226+1,'[1]Normy VP'!$C$10:$F$10,-1),MATCH(K226+1,'[1]Normy VP'!$C$11:$F$11,-1),MATCH(K226+1,'[1]Normy VP'!$C$12:$F$12,-1),MATCH(K226+1,'[1]Normy VP'!$C$13:$F$13,-1),MATCH(K226+1,'[1]Normy VP'!$C$14:$F$14,-1),""))),"O")</f>
        <v/>
      </c>
      <c r="Q226" s="24" t="str">
        <f>IF(OR($J226="",$J226="odešel"),IF($F226="žena","",IF(L226="","",(CHOOSE(_xlfn.ARABIC($H226),MATCH(L226+1,'[1]Normy VP'!$G$10:$J$10,-1),MATCH(L226+1,'[1]Normy VP'!$G$11:$J$11,-1),MATCH(L226+1,'[1]Normy VP'!$G$12:$J$12,-1),MATCH(L226+1,'[1]Normy VP'!$G$13:$J$13,-1),MATCH(L226+1,'[1]Normy VP'!$G$14:$J$14,-1),"")))),"O")</f>
        <v/>
      </c>
      <c r="R226" s="34" t="str">
        <f t="shared" si="13"/>
        <v>N</v>
      </c>
      <c r="S226" s="24" t="str">
        <f>IF(OR($J226="",$J226="odešel"),IF(M226="","N",IF($F226="žena",CHOOSE(_xlfn.ARABIC($H226),MATCH(M226+1,'[1]Normy VP'!$G$25:$J$25,-1),MATCH(M226+1,'[1]Normy VP'!$G$26:$J$26,-1),MATCH(M226+1,'[1]Normy VP'!$G$27:$J$27,-1),MATCH(M226+1,'[1]Normy VP'!$G$28:$J$28,-1),MATCH(M226+1,'[1]Normy VP'!$G$29:$J$29,-1),"muž"),(CHOOSE(_xlfn.ARABIC($H226),MATCH(M226+1,'[1]Normy VP'!$K$10:$N$10,-1),MATCH(M226+1,'[1]Normy VP'!$K$11:$N$11,-1),MATCH(M226+1,'[1]Normy VP'!$K$12:$N$12,-1),MATCH(M226+1,'[1]Normy VP'!$K$13:$N$13,-1),MATCH(M226+1,'[1]Normy VP'!$K$14:$N$14,-1),"")))),"O")</f>
        <v>N</v>
      </c>
      <c r="T226" s="34" t="str">
        <f t="shared" si="14"/>
        <v>N</v>
      </c>
      <c r="U226" s="24" t="str">
        <f>IF(OR($J226="",$J226="odešel"),IF(N226="","N",IF($F226="žena",CHOOSE(_xlfn.ARABIC($H226),MATCH(N226+1,'[1]Normy VP'!$K$25:$N$25,-1),MATCH(N226+1,'[1]Normy VP'!$K$26:$N$26,-1),MATCH(N226+1,'[1]Normy VP'!$K$27:$N$27,-1),MATCH(N226+1,'[1]Normy VP'!$K$28:$N$28,-1),MATCH(N226+1,'[1]Normy VP'!$K$29:$N$29,-1),MATCH(N226+1,'[1]Normy VP'!$K$30:$N$30,-1)),CHOOSE(_xlfn.ARABIC($H226),MATCH(N226+1,'[1]Normy VP'!$O$10:$R$10,-1),MATCH(N226+1,'[1]Normy VP'!$O$11:$R$11,-1),MATCH(N226+1,'[1]Normy VP'!$O$12:$R$12,-1),MATCH(N226+1,'[1]Normy VP'!$O$13:$R$13,-1),MATCH(N226+1,'[1]Normy VP'!$O$14:$R$14,-1),MATCH(N226+1,'[1]Normy VP'!$O$15:$R$15,-1)))),"O")</f>
        <v>N</v>
      </c>
      <c r="V226" s="26" t="str">
        <f>IF(OR($J226="",$J226="odešel"),IF(O226="","N",IF($F226="žena",CHOOSE(_xlfn.ARABIC($H226),MATCH(O226-1,'[1]Normy VP'!$O$25:$R$25),MATCH(O226-1,'[1]Normy VP'!$O$26:$R$26),MATCH(O226-1,'[1]Normy VP'!$O$27:$R$27),MATCH(O226-1,'[1]Normy VP'!$O$28:$R$28),MATCH(O226-1,'[1]Normy VP'!$O$29:$R$29),MATCH(O226-1,'[1]Normy VP'!$O$30:$R$30)),CHOOSE(_xlfn.ARABIC($H226),MATCH(O226-1,'[1]Normy VP'!$S$10:$V$10),MATCH(O226-1,'[1]Normy VP'!$S$11:$V$11),MATCH(O226-1,'[1]Normy VP'!$S$12:$V$12),MATCH(O226-1,'[1]Normy VP'!$S$13:$V$13),MATCH(O226-1,'[1]Normy VP'!$S$14:$V$14),MATCH(O226-1,'[1]Normy VP'!$S$15:$V$15)))),"O")</f>
        <v>N</v>
      </c>
      <c r="W226" s="34" t="str">
        <f t="shared" si="15"/>
        <v>N</v>
      </c>
      <c r="X226" s="27" t="str">
        <f>IF(COUNTIF(B226:G226,"")&gt;0,"",IF(COUNTIF([1]PP!$A:$A,A226)=0,"neni v PP",IF(OR(Y226="odešel",VLOOKUP(A226,[1]PP!$A:$W,22,FALSE)="odešel"),"odešel",IF(OR(Y226="N",VLOOKUP(A226,[1]PP!$A:$W,22,FALSE)="N"),"N",IF(OR(Y226="C",VLOOKUP(A226,[1]PP!$A:$W,22,FALSE)="C"),"C",IF(OR(Y226="DZO",VLOOKUP(A226,[1]PP!$A:$W,22,FALSE)="DZO"),"DZO",IF(OR(Y226="mise",Y226="disp.",Y226="končí",Y226="DSC",VLOOKUP(A226,[1]PP!$A:$W,22,FALSE)="mise",VLOOKUP(A226,[1]PP!$A:$W,22,FALSE)="disp.",VLOOKUP(A226,[1]PP!$A:$W,22,FALSE)="končí",VLOOKUP(A226,[1]PP!$A:$W,22,FALSE)="DSC"),"jiné",IF(OR(Y226=4,VLOOKUP(A226,[1]PP!$A:$W,22,FALSE)=4),4,IF(OR(Y226=3,VLOOKUP(A226,[1]PP!$A:$W,22,FALSE)=3),3,IF(OR(Y226=2,VLOOKUP(A226,[1]PP!$A:$W,22,FALSE)=2),2,IF(AND(Y226=1,VLOOKUP(A226,[1]PP!$A:$W,22,FALSE)=1),1)))))))))))</f>
        <v/>
      </c>
      <c r="Y226" s="28" t="str">
        <f>IF(COUNTIF(B226:G226,"")&gt;0,"",IF(COUNTIF([1]PP!$A:$A,A226)=0,"neni v PP",IF(VLOOKUP(A226,[1]PP!$A:$W,8,FALSE)="odešel","odešel",IF(F226="","",IF(J226="",IF(OR(T226=4,W226=4),4,IF(AND(T226="N",W226="N"),"N",IF(OR(T226="N",W226="N"),4,ROUND(AVERAGE(T226,W226),0)))),J226)))))</f>
        <v/>
      </c>
      <c r="Z226" s="29" t="str">
        <f>IF(COUNTIF(B226:G226,"")=0,IF(X226="neni v PP",CONCATENATE("ID: &lt;",A226,"&gt; se neshoduje s žádným IDem v kartě PP"),IF(COUNTIF($A:$A,A226)&gt;1,CONCATENATE("ID: &lt;",A226,"&gt; se v kartě VP opakuje. Je nutné tyto IDy od sebe odlišit, např. mezerou za příjmením."),IF(COUNTIF([1]PP!A:A,A226)&gt;1,CONCATENATE("ID: &lt;",A226,"&gt; se v kartě PP opakuje. Je nutné tyto IDy od sebe odlišit, např. mezerou za příjmením."),IF(VLOOKUP(A226,[1]PP!$A:$W,5,FALSE)&lt;&gt;E226,CONCATENATE($E$4," &lt;",E226,"&gt; se neshoduje s jednotkou v kartě PP"," &lt;",VLOOKUP(A226,[1]PP!$A:$W,5,FALSE),"&gt;"),IF(AND(COUNTIF(K226:O226,"")&lt;5,J226="",I226=""),CONCATENATE("Doplň: ",$I$4),IF(AND(YEAR(I226)&lt;&gt;$E$2,COUNTIF(I226,"")=0),CONCATENATE("špatně uveden &lt;",$D$2,"&gt; nebo &lt;",$I$4,"&gt;"),IF(OR(AND(OR(COUNTIF(C226,"*a"),COUNTIF(C226,"*ie"),COUNTIF(C226,"*ine"),COUNTIF(D226,"*Á")),F226="muž"),AND(AND(COUNTIF(C226,"&lt;&gt;"&amp;"*a"),COUNTIF(C226,"&lt;&gt;"&amp;"*ie"),COUNTIF(C226,"&lt;&gt;"&amp;"*ine"),COUNTIF(D226,"&lt;&gt;"&amp;"*Á")),F226="žena")),CONCATENATE(C226," ",D226," je ",F226,"?"),""))))))),IF(COUNTIF(B226:O226,"")=14,"",CONCATENATE("Doplň: ",IF(B226="",CONCATENATE($B$4,IF(COUNTIF(C226:G226,"")=0,"",", ")),""),IF(C226="",CONCATENATE($C$4,IF(COUNTIF(D226:G226,"")=0,"",", ")),""),IF(D226="",CONCATENATE($D$4,IF(COUNTIF(E226:G226,"")=0,"",", ")),""),IF(E226="",CONCATENATE($E$4,IF(COUNTIF(F226:G226,"")=0,"",", ")),""),IF(F226="",CONCATENATE($F$4,IF(G226="",", ","")),""),IF(G226="",$G$4,""))))</f>
        <v/>
      </c>
      <c r="AA226" s="30"/>
    </row>
    <row r="227" spans="1:27" ht="16" x14ac:dyDescent="0.35">
      <c r="A227" s="14" t="str">
        <f t="shared" si="12"/>
        <v xml:space="preserve">  </v>
      </c>
      <c r="B227" s="15"/>
      <c r="C227" s="31"/>
      <c r="D227" s="31"/>
      <c r="E227" s="17"/>
      <c r="F227" s="18"/>
      <c r="G227" s="32"/>
      <c r="H227" s="33" t="str">
        <f>IF(G227="","",IF(F227="žena",ROMAN(MATCH(G227+1,'[1]Normy VP'!$Y$27:$Y$33,-1)),ROMAN(MATCH(G227+1,'[1]Normy VP'!$Y$19:$Y$25,-1))))</f>
        <v/>
      </c>
      <c r="I227" s="21"/>
      <c r="J227" s="22"/>
      <c r="K227" s="23"/>
      <c r="L227" s="23"/>
      <c r="M227" s="23"/>
      <c r="N227" s="22"/>
      <c r="O227" s="22"/>
      <c r="P227" s="24" t="str">
        <f>IF(OR($J227="",$J227="odešel"),IF(K227="","",IF($F227="žena",CHOOSE(_xlfn.ARABIC($H227),MATCH(K227+1,'[1]Normy VP'!$C$25:$F$25,-1),MATCH(K227+1,'[1]Normy VP'!$C$26:$F$26,-1),MATCH(K227+1,'[1]Normy VP'!$C$27:$F$27,-1),MATCH(K227+1,'[1]Normy VP'!$C$28:$F$28,-1),MATCH(K227+1,'[1]Normy VP'!$C$29:$F$29,-1),"muž"),CHOOSE(_xlfn.ARABIC($H227),MATCH(K227+1,'[1]Normy VP'!$C$10:$F$10,-1),MATCH(K227+1,'[1]Normy VP'!$C$11:$F$11,-1),MATCH(K227+1,'[1]Normy VP'!$C$12:$F$12,-1),MATCH(K227+1,'[1]Normy VP'!$C$13:$F$13,-1),MATCH(K227+1,'[1]Normy VP'!$C$14:$F$14,-1),""))),"O")</f>
        <v/>
      </c>
      <c r="Q227" s="24" t="str">
        <f>IF(OR($J227="",$J227="odešel"),IF($F227="žena","",IF(L227="","",(CHOOSE(_xlfn.ARABIC($H227),MATCH(L227+1,'[1]Normy VP'!$G$10:$J$10,-1),MATCH(L227+1,'[1]Normy VP'!$G$11:$J$11,-1),MATCH(L227+1,'[1]Normy VP'!$G$12:$J$12,-1),MATCH(L227+1,'[1]Normy VP'!$G$13:$J$13,-1),MATCH(L227+1,'[1]Normy VP'!$G$14:$J$14,-1),"")))),"O")</f>
        <v/>
      </c>
      <c r="R227" s="34" t="str">
        <f t="shared" si="13"/>
        <v>N</v>
      </c>
      <c r="S227" s="24" t="str">
        <f>IF(OR($J227="",$J227="odešel"),IF(M227="","N",IF($F227="žena",CHOOSE(_xlfn.ARABIC($H227),MATCH(M227+1,'[1]Normy VP'!$G$25:$J$25,-1),MATCH(M227+1,'[1]Normy VP'!$G$26:$J$26,-1),MATCH(M227+1,'[1]Normy VP'!$G$27:$J$27,-1),MATCH(M227+1,'[1]Normy VP'!$G$28:$J$28,-1),MATCH(M227+1,'[1]Normy VP'!$G$29:$J$29,-1),"muž"),(CHOOSE(_xlfn.ARABIC($H227),MATCH(M227+1,'[1]Normy VP'!$K$10:$N$10,-1),MATCH(M227+1,'[1]Normy VP'!$K$11:$N$11,-1),MATCH(M227+1,'[1]Normy VP'!$K$12:$N$12,-1),MATCH(M227+1,'[1]Normy VP'!$K$13:$N$13,-1),MATCH(M227+1,'[1]Normy VP'!$K$14:$N$14,-1),"")))),"O")</f>
        <v>N</v>
      </c>
      <c r="T227" s="34" t="str">
        <f t="shared" si="14"/>
        <v>N</v>
      </c>
      <c r="U227" s="24" t="str">
        <f>IF(OR($J227="",$J227="odešel"),IF(N227="","N",IF($F227="žena",CHOOSE(_xlfn.ARABIC($H227),MATCH(N227+1,'[1]Normy VP'!$K$25:$N$25,-1),MATCH(N227+1,'[1]Normy VP'!$K$26:$N$26,-1),MATCH(N227+1,'[1]Normy VP'!$K$27:$N$27,-1),MATCH(N227+1,'[1]Normy VP'!$K$28:$N$28,-1),MATCH(N227+1,'[1]Normy VP'!$K$29:$N$29,-1),MATCH(N227+1,'[1]Normy VP'!$K$30:$N$30,-1)),CHOOSE(_xlfn.ARABIC($H227),MATCH(N227+1,'[1]Normy VP'!$O$10:$R$10,-1),MATCH(N227+1,'[1]Normy VP'!$O$11:$R$11,-1),MATCH(N227+1,'[1]Normy VP'!$O$12:$R$12,-1),MATCH(N227+1,'[1]Normy VP'!$O$13:$R$13,-1),MATCH(N227+1,'[1]Normy VP'!$O$14:$R$14,-1),MATCH(N227+1,'[1]Normy VP'!$O$15:$R$15,-1)))),"O")</f>
        <v>N</v>
      </c>
      <c r="V227" s="26" t="str">
        <f>IF(OR($J227="",$J227="odešel"),IF(O227="","N",IF($F227="žena",CHOOSE(_xlfn.ARABIC($H227),MATCH(O227-1,'[1]Normy VP'!$O$25:$R$25),MATCH(O227-1,'[1]Normy VP'!$O$26:$R$26),MATCH(O227-1,'[1]Normy VP'!$O$27:$R$27),MATCH(O227-1,'[1]Normy VP'!$O$28:$R$28),MATCH(O227-1,'[1]Normy VP'!$O$29:$R$29),MATCH(O227-1,'[1]Normy VP'!$O$30:$R$30)),CHOOSE(_xlfn.ARABIC($H227),MATCH(O227-1,'[1]Normy VP'!$S$10:$V$10),MATCH(O227-1,'[1]Normy VP'!$S$11:$V$11),MATCH(O227-1,'[1]Normy VP'!$S$12:$V$12),MATCH(O227-1,'[1]Normy VP'!$S$13:$V$13),MATCH(O227-1,'[1]Normy VP'!$S$14:$V$14),MATCH(O227-1,'[1]Normy VP'!$S$15:$V$15)))),"O")</f>
        <v>N</v>
      </c>
      <c r="W227" s="34" t="str">
        <f t="shared" si="15"/>
        <v>N</v>
      </c>
      <c r="X227" s="27" t="str">
        <f>IF(COUNTIF(B227:G227,"")&gt;0,"",IF(COUNTIF([1]PP!$A:$A,A227)=0,"neni v PP",IF(OR(Y227="odešel",VLOOKUP(A227,[1]PP!$A:$W,22,FALSE)="odešel"),"odešel",IF(OR(Y227="N",VLOOKUP(A227,[1]PP!$A:$W,22,FALSE)="N"),"N",IF(OR(Y227="C",VLOOKUP(A227,[1]PP!$A:$W,22,FALSE)="C"),"C",IF(OR(Y227="DZO",VLOOKUP(A227,[1]PP!$A:$W,22,FALSE)="DZO"),"DZO",IF(OR(Y227="mise",Y227="disp.",Y227="končí",Y227="DSC",VLOOKUP(A227,[1]PP!$A:$W,22,FALSE)="mise",VLOOKUP(A227,[1]PP!$A:$W,22,FALSE)="disp.",VLOOKUP(A227,[1]PP!$A:$W,22,FALSE)="končí",VLOOKUP(A227,[1]PP!$A:$W,22,FALSE)="DSC"),"jiné",IF(OR(Y227=4,VLOOKUP(A227,[1]PP!$A:$W,22,FALSE)=4),4,IF(OR(Y227=3,VLOOKUP(A227,[1]PP!$A:$W,22,FALSE)=3),3,IF(OR(Y227=2,VLOOKUP(A227,[1]PP!$A:$W,22,FALSE)=2),2,IF(AND(Y227=1,VLOOKUP(A227,[1]PP!$A:$W,22,FALSE)=1),1)))))))))))</f>
        <v/>
      </c>
      <c r="Y227" s="28" t="str">
        <f>IF(COUNTIF(B227:G227,"")&gt;0,"",IF(COUNTIF([1]PP!$A:$A,A227)=0,"neni v PP",IF(VLOOKUP(A227,[1]PP!$A:$W,8,FALSE)="odešel","odešel",IF(F227="","",IF(J227="",IF(OR(T227=4,W227=4),4,IF(AND(T227="N",W227="N"),"N",IF(OR(T227="N",W227="N"),4,ROUND(AVERAGE(T227,W227),0)))),J227)))))</f>
        <v/>
      </c>
      <c r="Z227" s="29" t="str">
        <f>IF(COUNTIF(B227:G227,"")=0,IF(X227="neni v PP",CONCATENATE("ID: &lt;",A227,"&gt; se neshoduje s žádným IDem v kartě PP"),IF(COUNTIF($A:$A,A227)&gt;1,CONCATENATE("ID: &lt;",A227,"&gt; se v kartě VP opakuje. Je nutné tyto IDy od sebe odlišit, např. mezerou za příjmením."),IF(COUNTIF([1]PP!A:A,A227)&gt;1,CONCATENATE("ID: &lt;",A227,"&gt; se v kartě PP opakuje. Je nutné tyto IDy od sebe odlišit, např. mezerou za příjmením."),IF(VLOOKUP(A227,[1]PP!$A:$W,5,FALSE)&lt;&gt;E227,CONCATENATE($E$4," &lt;",E227,"&gt; se neshoduje s jednotkou v kartě PP"," &lt;",VLOOKUP(A227,[1]PP!$A:$W,5,FALSE),"&gt;"),IF(AND(COUNTIF(K227:O227,"")&lt;5,J227="",I227=""),CONCATENATE("Doplň: ",$I$4),IF(AND(YEAR(I227)&lt;&gt;$E$2,COUNTIF(I227,"")=0),CONCATENATE("špatně uveden &lt;",$D$2,"&gt; nebo &lt;",$I$4,"&gt;"),IF(OR(AND(OR(COUNTIF(C227,"*a"),COUNTIF(C227,"*ie"),COUNTIF(C227,"*ine"),COUNTIF(D227,"*Á")),F227="muž"),AND(AND(COUNTIF(C227,"&lt;&gt;"&amp;"*a"),COUNTIF(C227,"&lt;&gt;"&amp;"*ie"),COUNTIF(C227,"&lt;&gt;"&amp;"*ine"),COUNTIF(D227,"&lt;&gt;"&amp;"*Á")),F227="žena")),CONCATENATE(C227," ",D227," je ",F227,"?"),""))))))),IF(COUNTIF(B227:O227,"")=14,"",CONCATENATE("Doplň: ",IF(B227="",CONCATENATE($B$4,IF(COUNTIF(C227:G227,"")=0,"",", ")),""),IF(C227="",CONCATENATE($C$4,IF(COUNTIF(D227:G227,"")=0,"",", ")),""),IF(D227="",CONCATENATE($D$4,IF(COUNTIF(E227:G227,"")=0,"",", ")),""),IF(E227="",CONCATENATE($E$4,IF(COUNTIF(F227:G227,"")=0,"",", ")),""),IF(F227="",CONCATENATE($F$4,IF(G227="",", ","")),""),IF(G227="",$G$4,""))))</f>
        <v/>
      </c>
      <c r="AA227" s="30"/>
    </row>
    <row r="228" spans="1:27" ht="16" x14ac:dyDescent="0.35">
      <c r="A228" s="14" t="str">
        <f t="shared" si="12"/>
        <v xml:space="preserve">  </v>
      </c>
      <c r="B228" s="15"/>
      <c r="C228" s="31"/>
      <c r="D228" s="31"/>
      <c r="E228" s="17"/>
      <c r="F228" s="18"/>
      <c r="G228" s="32"/>
      <c r="H228" s="33" t="str">
        <f>IF(G228="","",IF(F228="žena",ROMAN(MATCH(G228+1,'[1]Normy VP'!$Y$27:$Y$33,-1)),ROMAN(MATCH(G228+1,'[1]Normy VP'!$Y$19:$Y$25,-1))))</f>
        <v/>
      </c>
      <c r="I228" s="21"/>
      <c r="J228" s="22"/>
      <c r="K228" s="23"/>
      <c r="L228" s="23"/>
      <c r="M228" s="23"/>
      <c r="N228" s="22"/>
      <c r="O228" s="22"/>
      <c r="P228" s="24" t="str">
        <f>IF(OR($J228="",$J228="odešel"),IF(K228="","",IF($F228="žena",CHOOSE(_xlfn.ARABIC($H228),MATCH(K228+1,'[1]Normy VP'!$C$25:$F$25,-1),MATCH(K228+1,'[1]Normy VP'!$C$26:$F$26,-1),MATCH(K228+1,'[1]Normy VP'!$C$27:$F$27,-1),MATCH(K228+1,'[1]Normy VP'!$C$28:$F$28,-1),MATCH(K228+1,'[1]Normy VP'!$C$29:$F$29,-1),"muž"),CHOOSE(_xlfn.ARABIC($H228),MATCH(K228+1,'[1]Normy VP'!$C$10:$F$10,-1),MATCH(K228+1,'[1]Normy VP'!$C$11:$F$11,-1),MATCH(K228+1,'[1]Normy VP'!$C$12:$F$12,-1),MATCH(K228+1,'[1]Normy VP'!$C$13:$F$13,-1),MATCH(K228+1,'[1]Normy VP'!$C$14:$F$14,-1),""))),"O")</f>
        <v/>
      </c>
      <c r="Q228" s="24" t="str">
        <f>IF(OR($J228="",$J228="odešel"),IF($F228="žena","",IF(L228="","",(CHOOSE(_xlfn.ARABIC($H228),MATCH(L228+1,'[1]Normy VP'!$G$10:$J$10,-1),MATCH(L228+1,'[1]Normy VP'!$G$11:$J$11,-1),MATCH(L228+1,'[1]Normy VP'!$G$12:$J$12,-1),MATCH(L228+1,'[1]Normy VP'!$G$13:$J$13,-1),MATCH(L228+1,'[1]Normy VP'!$G$14:$J$14,-1),"")))),"O")</f>
        <v/>
      </c>
      <c r="R228" s="34" t="str">
        <f t="shared" si="13"/>
        <v>N</v>
      </c>
      <c r="S228" s="24" t="str">
        <f>IF(OR($J228="",$J228="odešel"),IF(M228="","N",IF($F228="žena",CHOOSE(_xlfn.ARABIC($H228),MATCH(M228+1,'[1]Normy VP'!$G$25:$J$25,-1),MATCH(M228+1,'[1]Normy VP'!$G$26:$J$26,-1),MATCH(M228+1,'[1]Normy VP'!$G$27:$J$27,-1),MATCH(M228+1,'[1]Normy VP'!$G$28:$J$28,-1),MATCH(M228+1,'[1]Normy VP'!$G$29:$J$29,-1),"muž"),(CHOOSE(_xlfn.ARABIC($H228),MATCH(M228+1,'[1]Normy VP'!$K$10:$N$10,-1),MATCH(M228+1,'[1]Normy VP'!$K$11:$N$11,-1),MATCH(M228+1,'[1]Normy VP'!$K$12:$N$12,-1),MATCH(M228+1,'[1]Normy VP'!$K$13:$N$13,-1),MATCH(M228+1,'[1]Normy VP'!$K$14:$N$14,-1),"")))),"O")</f>
        <v>N</v>
      </c>
      <c r="T228" s="34" t="str">
        <f t="shared" si="14"/>
        <v>N</v>
      </c>
      <c r="U228" s="24" t="str">
        <f>IF(OR($J228="",$J228="odešel"),IF(N228="","N",IF($F228="žena",CHOOSE(_xlfn.ARABIC($H228),MATCH(N228+1,'[1]Normy VP'!$K$25:$N$25,-1),MATCH(N228+1,'[1]Normy VP'!$K$26:$N$26,-1),MATCH(N228+1,'[1]Normy VP'!$K$27:$N$27,-1),MATCH(N228+1,'[1]Normy VP'!$K$28:$N$28,-1),MATCH(N228+1,'[1]Normy VP'!$K$29:$N$29,-1),MATCH(N228+1,'[1]Normy VP'!$K$30:$N$30,-1)),CHOOSE(_xlfn.ARABIC($H228),MATCH(N228+1,'[1]Normy VP'!$O$10:$R$10,-1),MATCH(N228+1,'[1]Normy VP'!$O$11:$R$11,-1),MATCH(N228+1,'[1]Normy VP'!$O$12:$R$12,-1),MATCH(N228+1,'[1]Normy VP'!$O$13:$R$13,-1),MATCH(N228+1,'[1]Normy VP'!$O$14:$R$14,-1),MATCH(N228+1,'[1]Normy VP'!$O$15:$R$15,-1)))),"O")</f>
        <v>N</v>
      </c>
      <c r="V228" s="26" t="str">
        <f>IF(OR($J228="",$J228="odešel"),IF(O228="","N",IF($F228="žena",CHOOSE(_xlfn.ARABIC($H228),MATCH(O228-1,'[1]Normy VP'!$O$25:$R$25),MATCH(O228-1,'[1]Normy VP'!$O$26:$R$26),MATCH(O228-1,'[1]Normy VP'!$O$27:$R$27),MATCH(O228-1,'[1]Normy VP'!$O$28:$R$28),MATCH(O228-1,'[1]Normy VP'!$O$29:$R$29),MATCH(O228-1,'[1]Normy VP'!$O$30:$R$30)),CHOOSE(_xlfn.ARABIC($H228),MATCH(O228-1,'[1]Normy VP'!$S$10:$V$10),MATCH(O228-1,'[1]Normy VP'!$S$11:$V$11),MATCH(O228-1,'[1]Normy VP'!$S$12:$V$12),MATCH(O228-1,'[1]Normy VP'!$S$13:$V$13),MATCH(O228-1,'[1]Normy VP'!$S$14:$V$14),MATCH(O228-1,'[1]Normy VP'!$S$15:$V$15)))),"O")</f>
        <v>N</v>
      </c>
      <c r="W228" s="34" t="str">
        <f t="shared" si="15"/>
        <v>N</v>
      </c>
      <c r="X228" s="27" t="str">
        <f>IF(COUNTIF(B228:G228,"")&gt;0,"",IF(COUNTIF([1]PP!$A:$A,A228)=0,"neni v PP",IF(OR(Y228="odešel",VLOOKUP(A228,[1]PP!$A:$W,22,FALSE)="odešel"),"odešel",IF(OR(Y228="N",VLOOKUP(A228,[1]PP!$A:$W,22,FALSE)="N"),"N",IF(OR(Y228="C",VLOOKUP(A228,[1]PP!$A:$W,22,FALSE)="C"),"C",IF(OR(Y228="DZO",VLOOKUP(A228,[1]PP!$A:$W,22,FALSE)="DZO"),"DZO",IF(OR(Y228="mise",Y228="disp.",Y228="končí",Y228="DSC",VLOOKUP(A228,[1]PP!$A:$W,22,FALSE)="mise",VLOOKUP(A228,[1]PP!$A:$W,22,FALSE)="disp.",VLOOKUP(A228,[1]PP!$A:$W,22,FALSE)="končí",VLOOKUP(A228,[1]PP!$A:$W,22,FALSE)="DSC"),"jiné",IF(OR(Y228=4,VLOOKUP(A228,[1]PP!$A:$W,22,FALSE)=4),4,IF(OR(Y228=3,VLOOKUP(A228,[1]PP!$A:$W,22,FALSE)=3),3,IF(OR(Y228=2,VLOOKUP(A228,[1]PP!$A:$W,22,FALSE)=2),2,IF(AND(Y228=1,VLOOKUP(A228,[1]PP!$A:$W,22,FALSE)=1),1)))))))))))</f>
        <v/>
      </c>
      <c r="Y228" s="28" t="str">
        <f>IF(COUNTIF(B228:G228,"")&gt;0,"",IF(COUNTIF([1]PP!$A:$A,A228)=0,"neni v PP",IF(VLOOKUP(A228,[1]PP!$A:$W,8,FALSE)="odešel","odešel",IF(F228="","",IF(J228="",IF(OR(T228=4,W228=4),4,IF(AND(T228="N",W228="N"),"N",IF(OR(T228="N",W228="N"),4,ROUND(AVERAGE(T228,W228),0)))),J228)))))</f>
        <v/>
      </c>
      <c r="Z228" s="29" t="str">
        <f>IF(COUNTIF(B228:G228,"")=0,IF(X228="neni v PP",CONCATENATE("ID: &lt;",A228,"&gt; se neshoduje s žádným IDem v kartě PP"),IF(COUNTIF($A:$A,A228)&gt;1,CONCATENATE("ID: &lt;",A228,"&gt; se v kartě VP opakuje. Je nutné tyto IDy od sebe odlišit, např. mezerou za příjmením."),IF(COUNTIF([1]PP!A:A,A228)&gt;1,CONCATENATE("ID: &lt;",A228,"&gt; se v kartě PP opakuje. Je nutné tyto IDy od sebe odlišit, např. mezerou za příjmením."),IF(VLOOKUP(A228,[1]PP!$A:$W,5,FALSE)&lt;&gt;E228,CONCATENATE($E$4," &lt;",E228,"&gt; se neshoduje s jednotkou v kartě PP"," &lt;",VLOOKUP(A228,[1]PP!$A:$W,5,FALSE),"&gt;"),IF(AND(COUNTIF(K228:O228,"")&lt;5,J228="",I228=""),CONCATENATE("Doplň: ",$I$4),IF(AND(YEAR(I228)&lt;&gt;$E$2,COUNTIF(I228,"")=0),CONCATENATE("špatně uveden &lt;",$D$2,"&gt; nebo &lt;",$I$4,"&gt;"),IF(OR(AND(OR(COUNTIF(C228,"*a"),COUNTIF(C228,"*ie"),COUNTIF(C228,"*ine"),COUNTIF(D228,"*Á")),F228="muž"),AND(AND(COUNTIF(C228,"&lt;&gt;"&amp;"*a"),COUNTIF(C228,"&lt;&gt;"&amp;"*ie"),COUNTIF(C228,"&lt;&gt;"&amp;"*ine"),COUNTIF(D228,"&lt;&gt;"&amp;"*Á")),F228="žena")),CONCATENATE(C228," ",D228," je ",F228,"?"),""))))))),IF(COUNTIF(B228:O228,"")=14,"",CONCATENATE("Doplň: ",IF(B228="",CONCATENATE($B$4,IF(COUNTIF(C228:G228,"")=0,"",", ")),""),IF(C228="",CONCATENATE($C$4,IF(COUNTIF(D228:G228,"")=0,"",", ")),""),IF(D228="",CONCATENATE($D$4,IF(COUNTIF(E228:G228,"")=0,"",", ")),""),IF(E228="",CONCATENATE($E$4,IF(COUNTIF(F228:G228,"")=0,"",", ")),""),IF(F228="",CONCATENATE($F$4,IF(G228="",", ","")),""),IF(G228="",$G$4,""))))</f>
        <v/>
      </c>
      <c r="AA228" s="30"/>
    </row>
    <row r="229" spans="1:27" ht="16" x14ac:dyDescent="0.35">
      <c r="A229" s="14" t="str">
        <f t="shared" si="12"/>
        <v xml:space="preserve">  </v>
      </c>
      <c r="B229" s="15"/>
      <c r="C229" s="31"/>
      <c r="D229" s="31"/>
      <c r="E229" s="17"/>
      <c r="F229" s="18"/>
      <c r="G229" s="32"/>
      <c r="H229" s="33" t="str">
        <f>IF(G229="","",IF(F229="žena",ROMAN(MATCH(G229+1,'[1]Normy VP'!$Y$27:$Y$33,-1)),ROMAN(MATCH(G229+1,'[1]Normy VP'!$Y$19:$Y$25,-1))))</f>
        <v/>
      </c>
      <c r="I229" s="21"/>
      <c r="J229" s="22"/>
      <c r="K229" s="23"/>
      <c r="L229" s="23"/>
      <c r="M229" s="23"/>
      <c r="N229" s="22"/>
      <c r="O229" s="22"/>
      <c r="P229" s="24" t="str">
        <f>IF(OR($J229="",$J229="odešel"),IF(K229="","",IF($F229="žena",CHOOSE(_xlfn.ARABIC($H229),MATCH(K229+1,'[1]Normy VP'!$C$25:$F$25,-1),MATCH(K229+1,'[1]Normy VP'!$C$26:$F$26,-1),MATCH(K229+1,'[1]Normy VP'!$C$27:$F$27,-1),MATCH(K229+1,'[1]Normy VP'!$C$28:$F$28,-1),MATCH(K229+1,'[1]Normy VP'!$C$29:$F$29,-1),"muž"),CHOOSE(_xlfn.ARABIC($H229),MATCH(K229+1,'[1]Normy VP'!$C$10:$F$10,-1),MATCH(K229+1,'[1]Normy VP'!$C$11:$F$11,-1),MATCH(K229+1,'[1]Normy VP'!$C$12:$F$12,-1),MATCH(K229+1,'[1]Normy VP'!$C$13:$F$13,-1),MATCH(K229+1,'[1]Normy VP'!$C$14:$F$14,-1),""))),"O")</f>
        <v/>
      </c>
      <c r="Q229" s="24" t="str">
        <f>IF(OR($J229="",$J229="odešel"),IF($F229="žena","",IF(L229="","",(CHOOSE(_xlfn.ARABIC($H229),MATCH(L229+1,'[1]Normy VP'!$G$10:$J$10,-1),MATCH(L229+1,'[1]Normy VP'!$G$11:$J$11,-1),MATCH(L229+1,'[1]Normy VP'!$G$12:$J$12,-1),MATCH(L229+1,'[1]Normy VP'!$G$13:$J$13,-1),MATCH(L229+1,'[1]Normy VP'!$G$14:$J$14,-1),"")))),"O")</f>
        <v/>
      </c>
      <c r="R229" s="34" t="str">
        <f t="shared" si="13"/>
        <v>N</v>
      </c>
      <c r="S229" s="24" t="str">
        <f>IF(OR($J229="",$J229="odešel"),IF(M229="","N",IF($F229="žena",CHOOSE(_xlfn.ARABIC($H229),MATCH(M229+1,'[1]Normy VP'!$G$25:$J$25,-1),MATCH(M229+1,'[1]Normy VP'!$G$26:$J$26,-1),MATCH(M229+1,'[1]Normy VP'!$G$27:$J$27,-1),MATCH(M229+1,'[1]Normy VP'!$G$28:$J$28,-1),MATCH(M229+1,'[1]Normy VP'!$G$29:$J$29,-1),"muž"),(CHOOSE(_xlfn.ARABIC($H229),MATCH(M229+1,'[1]Normy VP'!$K$10:$N$10,-1),MATCH(M229+1,'[1]Normy VP'!$K$11:$N$11,-1),MATCH(M229+1,'[1]Normy VP'!$K$12:$N$12,-1),MATCH(M229+1,'[1]Normy VP'!$K$13:$N$13,-1),MATCH(M229+1,'[1]Normy VP'!$K$14:$N$14,-1),"")))),"O")</f>
        <v>N</v>
      </c>
      <c r="T229" s="34" t="str">
        <f t="shared" si="14"/>
        <v>N</v>
      </c>
      <c r="U229" s="24" t="str">
        <f>IF(OR($J229="",$J229="odešel"),IF(N229="","N",IF($F229="žena",CHOOSE(_xlfn.ARABIC($H229),MATCH(N229+1,'[1]Normy VP'!$K$25:$N$25,-1),MATCH(N229+1,'[1]Normy VP'!$K$26:$N$26,-1),MATCH(N229+1,'[1]Normy VP'!$K$27:$N$27,-1),MATCH(N229+1,'[1]Normy VP'!$K$28:$N$28,-1),MATCH(N229+1,'[1]Normy VP'!$K$29:$N$29,-1),MATCH(N229+1,'[1]Normy VP'!$K$30:$N$30,-1)),CHOOSE(_xlfn.ARABIC($H229),MATCH(N229+1,'[1]Normy VP'!$O$10:$R$10,-1),MATCH(N229+1,'[1]Normy VP'!$O$11:$R$11,-1),MATCH(N229+1,'[1]Normy VP'!$O$12:$R$12,-1),MATCH(N229+1,'[1]Normy VP'!$O$13:$R$13,-1),MATCH(N229+1,'[1]Normy VP'!$O$14:$R$14,-1),MATCH(N229+1,'[1]Normy VP'!$O$15:$R$15,-1)))),"O")</f>
        <v>N</v>
      </c>
      <c r="V229" s="26" t="str">
        <f>IF(OR($J229="",$J229="odešel"),IF(O229="","N",IF($F229="žena",CHOOSE(_xlfn.ARABIC($H229),MATCH(O229-1,'[1]Normy VP'!$O$25:$R$25),MATCH(O229-1,'[1]Normy VP'!$O$26:$R$26),MATCH(O229-1,'[1]Normy VP'!$O$27:$R$27),MATCH(O229-1,'[1]Normy VP'!$O$28:$R$28),MATCH(O229-1,'[1]Normy VP'!$O$29:$R$29),MATCH(O229-1,'[1]Normy VP'!$O$30:$R$30)),CHOOSE(_xlfn.ARABIC($H229),MATCH(O229-1,'[1]Normy VP'!$S$10:$V$10),MATCH(O229-1,'[1]Normy VP'!$S$11:$V$11),MATCH(O229-1,'[1]Normy VP'!$S$12:$V$12),MATCH(O229-1,'[1]Normy VP'!$S$13:$V$13),MATCH(O229-1,'[1]Normy VP'!$S$14:$V$14),MATCH(O229-1,'[1]Normy VP'!$S$15:$V$15)))),"O")</f>
        <v>N</v>
      </c>
      <c r="W229" s="34" t="str">
        <f t="shared" si="15"/>
        <v>N</v>
      </c>
      <c r="X229" s="27" t="str">
        <f>IF(COUNTIF(B229:G229,"")&gt;0,"",IF(COUNTIF([1]PP!$A:$A,A229)=0,"neni v PP",IF(OR(Y229="odešel",VLOOKUP(A229,[1]PP!$A:$W,22,FALSE)="odešel"),"odešel",IF(OR(Y229="N",VLOOKUP(A229,[1]PP!$A:$W,22,FALSE)="N"),"N",IF(OR(Y229="C",VLOOKUP(A229,[1]PP!$A:$W,22,FALSE)="C"),"C",IF(OR(Y229="DZO",VLOOKUP(A229,[1]PP!$A:$W,22,FALSE)="DZO"),"DZO",IF(OR(Y229="mise",Y229="disp.",Y229="končí",Y229="DSC",VLOOKUP(A229,[1]PP!$A:$W,22,FALSE)="mise",VLOOKUP(A229,[1]PP!$A:$W,22,FALSE)="disp.",VLOOKUP(A229,[1]PP!$A:$W,22,FALSE)="končí",VLOOKUP(A229,[1]PP!$A:$W,22,FALSE)="DSC"),"jiné",IF(OR(Y229=4,VLOOKUP(A229,[1]PP!$A:$W,22,FALSE)=4),4,IF(OR(Y229=3,VLOOKUP(A229,[1]PP!$A:$W,22,FALSE)=3),3,IF(OR(Y229=2,VLOOKUP(A229,[1]PP!$A:$W,22,FALSE)=2),2,IF(AND(Y229=1,VLOOKUP(A229,[1]PP!$A:$W,22,FALSE)=1),1)))))))))))</f>
        <v/>
      </c>
      <c r="Y229" s="28" t="str">
        <f>IF(COUNTIF(B229:G229,"")&gt;0,"",IF(COUNTIF([1]PP!$A:$A,A229)=0,"neni v PP",IF(VLOOKUP(A229,[1]PP!$A:$W,8,FALSE)="odešel","odešel",IF(F229="","",IF(J229="",IF(OR(T229=4,W229=4),4,IF(AND(T229="N",W229="N"),"N",IF(OR(T229="N",W229="N"),4,ROUND(AVERAGE(T229,W229),0)))),J229)))))</f>
        <v/>
      </c>
      <c r="Z229" s="29" t="str">
        <f>IF(COUNTIF(B229:G229,"")=0,IF(X229="neni v PP",CONCATENATE("ID: &lt;",A229,"&gt; se neshoduje s žádným IDem v kartě PP"),IF(COUNTIF($A:$A,A229)&gt;1,CONCATENATE("ID: &lt;",A229,"&gt; se v kartě VP opakuje. Je nutné tyto IDy od sebe odlišit, např. mezerou za příjmením."),IF(COUNTIF([1]PP!A:A,A229)&gt;1,CONCATENATE("ID: &lt;",A229,"&gt; se v kartě PP opakuje. Je nutné tyto IDy od sebe odlišit, např. mezerou za příjmením."),IF(VLOOKUP(A229,[1]PP!$A:$W,5,FALSE)&lt;&gt;E229,CONCATENATE($E$4," &lt;",E229,"&gt; se neshoduje s jednotkou v kartě PP"," &lt;",VLOOKUP(A229,[1]PP!$A:$W,5,FALSE),"&gt;"),IF(AND(COUNTIF(K229:O229,"")&lt;5,J229="",I229=""),CONCATENATE("Doplň: ",$I$4),IF(AND(YEAR(I229)&lt;&gt;$E$2,COUNTIF(I229,"")=0),CONCATENATE("špatně uveden &lt;",$D$2,"&gt; nebo &lt;",$I$4,"&gt;"),IF(OR(AND(OR(COUNTIF(C229,"*a"),COUNTIF(C229,"*ie"),COUNTIF(C229,"*ine"),COUNTIF(D229,"*Á")),F229="muž"),AND(AND(COUNTIF(C229,"&lt;&gt;"&amp;"*a"),COUNTIF(C229,"&lt;&gt;"&amp;"*ie"),COUNTIF(C229,"&lt;&gt;"&amp;"*ine"),COUNTIF(D229,"&lt;&gt;"&amp;"*Á")),F229="žena")),CONCATENATE(C229," ",D229," je ",F229,"?"),""))))))),IF(COUNTIF(B229:O229,"")=14,"",CONCATENATE("Doplň: ",IF(B229="",CONCATENATE($B$4,IF(COUNTIF(C229:G229,"")=0,"",", ")),""),IF(C229="",CONCATENATE($C$4,IF(COUNTIF(D229:G229,"")=0,"",", ")),""),IF(D229="",CONCATENATE($D$4,IF(COUNTIF(E229:G229,"")=0,"",", ")),""),IF(E229="",CONCATENATE($E$4,IF(COUNTIF(F229:G229,"")=0,"",", ")),""),IF(F229="",CONCATENATE($F$4,IF(G229="",", ","")),""),IF(G229="",$G$4,""))))</f>
        <v/>
      </c>
      <c r="AA229" s="30"/>
    </row>
    <row r="230" spans="1:27" ht="16" x14ac:dyDescent="0.35">
      <c r="A230" s="14" t="str">
        <f t="shared" si="12"/>
        <v xml:space="preserve">  </v>
      </c>
      <c r="B230" s="15"/>
      <c r="C230" s="31"/>
      <c r="D230" s="31"/>
      <c r="E230" s="17"/>
      <c r="F230" s="18"/>
      <c r="G230" s="32"/>
      <c r="H230" s="33" t="str">
        <f>IF(G230="","",IF(F230="žena",ROMAN(MATCH(G230+1,'[1]Normy VP'!$Y$27:$Y$33,-1)),ROMAN(MATCH(G230+1,'[1]Normy VP'!$Y$19:$Y$25,-1))))</f>
        <v/>
      </c>
      <c r="I230" s="21"/>
      <c r="J230" s="22"/>
      <c r="K230" s="23"/>
      <c r="L230" s="23"/>
      <c r="M230" s="23"/>
      <c r="N230" s="22"/>
      <c r="O230" s="22"/>
      <c r="P230" s="24" t="str">
        <f>IF(OR($J230="",$J230="odešel"),IF(K230="","",IF($F230="žena",CHOOSE(_xlfn.ARABIC($H230),MATCH(K230+1,'[1]Normy VP'!$C$25:$F$25,-1),MATCH(K230+1,'[1]Normy VP'!$C$26:$F$26,-1),MATCH(K230+1,'[1]Normy VP'!$C$27:$F$27,-1),MATCH(K230+1,'[1]Normy VP'!$C$28:$F$28,-1),MATCH(K230+1,'[1]Normy VP'!$C$29:$F$29,-1),"muž"),CHOOSE(_xlfn.ARABIC($H230),MATCH(K230+1,'[1]Normy VP'!$C$10:$F$10,-1),MATCH(K230+1,'[1]Normy VP'!$C$11:$F$11,-1),MATCH(K230+1,'[1]Normy VP'!$C$12:$F$12,-1),MATCH(K230+1,'[1]Normy VP'!$C$13:$F$13,-1),MATCH(K230+1,'[1]Normy VP'!$C$14:$F$14,-1),""))),"O")</f>
        <v/>
      </c>
      <c r="Q230" s="24" t="str">
        <f>IF(OR($J230="",$J230="odešel"),IF($F230="žena","",IF(L230="","",(CHOOSE(_xlfn.ARABIC($H230),MATCH(L230+1,'[1]Normy VP'!$G$10:$J$10,-1),MATCH(L230+1,'[1]Normy VP'!$G$11:$J$11,-1),MATCH(L230+1,'[1]Normy VP'!$G$12:$J$12,-1),MATCH(L230+1,'[1]Normy VP'!$G$13:$J$13,-1),MATCH(L230+1,'[1]Normy VP'!$G$14:$J$14,-1),"")))),"O")</f>
        <v/>
      </c>
      <c r="R230" s="34" t="str">
        <f t="shared" si="13"/>
        <v>N</v>
      </c>
      <c r="S230" s="24" t="str">
        <f>IF(OR($J230="",$J230="odešel"),IF(M230="","N",IF($F230="žena",CHOOSE(_xlfn.ARABIC($H230),MATCH(M230+1,'[1]Normy VP'!$G$25:$J$25,-1),MATCH(M230+1,'[1]Normy VP'!$G$26:$J$26,-1),MATCH(M230+1,'[1]Normy VP'!$G$27:$J$27,-1),MATCH(M230+1,'[1]Normy VP'!$G$28:$J$28,-1),MATCH(M230+1,'[1]Normy VP'!$G$29:$J$29,-1),"muž"),(CHOOSE(_xlfn.ARABIC($H230),MATCH(M230+1,'[1]Normy VP'!$K$10:$N$10,-1),MATCH(M230+1,'[1]Normy VP'!$K$11:$N$11,-1),MATCH(M230+1,'[1]Normy VP'!$K$12:$N$12,-1),MATCH(M230+1,'[1]Normy VP'!$K$13:$N$13,-1),MATCH(M230+1,'[1]Normy VP'!$K$14:$N$14,-1),"")))),"O")</f>
        <v>N</v>
      </c>
      <c r="T230" s="34" t="str">
        <f t="shared" si="14"/>
        <v>N</v>
      </c>
      <c r="U230" s="24" t="str">
        <f>IF(OR($J230="",$J230="odešel"),IF(N230="","N",IF($F230="žena",CHOOSE(_xlfn.ARABIC($H230),MATCH(N230+1,'[1]Normy VP'!$K$25:$N$25,-1),MATCH(N230+1,'[1]Normy VP'!$K$26:$N$26,-1),MATCH(N230+1,'[1]Normy VP'!$K$27:$N$27,-1),MATCH(N230+1,'[1]Normy VP'!$K$28:$N$28,-1),MATCH(N230+1,'[1]Normy VP'!$K$29:$N$29,-1),MATCH(N230+1,'[1]Normy VP'!$K$30:$N$30,-1)),CHOOSE(_xlfn.ARABIC($H230),MATCH(N230+1,'[1]Normy VP'!$O$10:$R$10,-1),MATCH(N230+1,'[1]Normy VP'!$O$11:$R$11,-1),MATCH(N230+1,'[1]Normy VP'!$O$12:$R$12,-1),MATCH(N230+1,'[1]Normy VP'!$O$13:$R$13,-1),MATCH(N230+1,'[1]Normy VP'!$O$14:$R$14,-1),MATCH(N230+1,'[1]Normy VP'!$O$15:$R$15,-1)))),"O")</f>
        <v>N</v>
      </c>
      <c r="V230" s="26" t="str">
        <f>IF(OR($J230="",$J230="odešel"),IF(O230="","N",IF($F230="žena",CHOOSE(_xlfn.ARABIC($H230),MATCH(O230-1,'[1]Normy VP'!$O$25:$R$25),MATCH(O230-1,'[1]Normy VP'!$O$26:$R$26),MATCH(O230-1,'[1]Normy VP'!$O$27:$R$27),MATCH(O230-1,'[1]Normy VP'!$O$28:$R$28),MATCH(O230-1,'[1]Normy VP'!$O$29:$R$29),MATCH(O230-1,'[1]Normy VP'!$O$30:$R$30)),CHOOSE(_xlfn.ARABIC($H230),MATCH(O230-1,'[1]Normy VP'!$S$10:$V$10),MATCH(O230-1,'[1]Normy VP'!$S$11:$V$11),MATCH(O230-1,'[1]Normy VP'!$S$12:$V$12),MATCH(O230-1,'[1]Normy VP'!$S$13:$V$13),MATCH(O230-1,'[1]Normy VP'!$S$14:$V$14),MATCH(O230-1,'[1]Normy VP'!$S$15:$V$15)))),"O")</f>
        <v>N</v>
      </c>
      <c r="W230" s="34" t="str">
        <f t="shared" si="15"/>
        <v>N</v>
      </c>
      <c r="X230" s="27" t="str">
        <f>IF(COUNTIF(B230:G230,"")&gt;0,"",IF(COUNTIF([1]PP!$A:$A,A230)=0,"neni v PP",IF(OR(Y230="odešel",VLOOKUP(A230,[1]PP!$A:$W,22,FALSE)="odešel"),"odešel",IF(OR(Y230="N",VLOOKUP(A230,[1]PP!$A:$W,22,FALSE)="N"),"N",IF(OR(Y230="C",VLOOKUP(A230,[1]PP!$A:$W,22,FALSE)="C"),"C",IF(OR(Y230="DZO",VLOOKUP(A230,[1]PP!$A:$W,22,FALSE)="DZO"),"DZO",IF(OR(Y230="mise",Y230="disp.",Y230="končí",Y230="DSC",VLOOKUP(A230,[1]PP!$A:$W,22,FALSE)="mise",VLOOKUP(A230,[1]PP!$A:$W,22,FALSE)="disp.",VLOOKUP(A230,[1]PP!$A:$W,22,FALSE)="končí",VLOOKUP(A230,[1]PP!$A:$W,22,FALSE)="DSC"),"jiné",IF(OR(Y230=4,VLOOKUP(A230,[1]PP!$A:$W,22,FALSE)=4),4,IF(OR(Y230=3,VLOOKUP(A230,[1]PP!$A:$W,22,FALSE)=3),3,IF(OR(Y230=2,VLOOKUP(A230,[1]PP!$A:$W,22,FALSE)=2),2,IF(AND(Y230=1,VLOOKUP(A230,[1]PP!$A:$W,22,FALSE)=1),1)))))))))))</f>
        <v/>
      </c>
      <c r="Y230" s="28" t="str">
        <f>IF(COUNTIF(B230:G230,"")&gt;0,"",IF(COUNTIF([1]PP!$A:$A,A230)=0,"neni v PP",IF(VLOOKUP(A230,[1]PP!$A:$W,8,FALSE)="odešel","odešel",IF(F230="","",IF(J230="",IF(OR(T230=4,W230=4),4,IF(AND(T230="N",W230="N"),"N",IF(OR(T230="N",W230="N"),4,ROUND(AVERAGE(T230,W230),0)))),J230)))))</f>
        <v/>
      </c>
      <c r="Z230" s="29" t="str">
        <f>IF(COUNTIF(B230:G230,"")=0,IF(X230="neni v PP",CONCATENATE("ID: &lt;",A230,"&gt; se neshoduje s žádným IDem v kartě PP"),IF(COUNTIF($A:$A,A230)&gt;1,CONCATENATE("ID: &lt;",A230,"&gt; se v kartě VP opakuje. Je nutné tyto IDy od sebe odlišit, např. mezerou za příjmením."),IF(COUNTIF([1]PP!A:A,A230)&gt;1,CONCATENATE("ID: &lt;",A230,"&gt; se v kartě PP opakuje. Je nutné tyto IDy od sebe odlišit, např. mezerou za příjmením."),IF(VLOOKUP(A230,[1]PP!$A:$W,5,FALSE)&lt;&gt;E230,CONCATENATE($E$4," &lt;",E230,"&gt; se neshoduje s jednotkou v kartě PP"," &lt;",VLOOKUP(A230,[1]PP!$A:$W,5,FALSE),"&gt;"),IF(AND(COUNTIF(K230:O230,"")&lt;5,J230="",I230=""),CONCATENATE("Doplň: ",$I$4),IF(AND(YEAR(I230)&lt;&gt;$E$2,COUNTIF(I230,"")=0),CONCATENATE("špatně uveden &lt;",$D$2,"&gt; nebo &lt;",$I$4,"&gt;"),IF(OR(AND(OR(COUNTIF(C230,"*a"),COUNTIF(C230,"*ie"),COUNTIF(C230,"*ine"),COUNTIF(D230,"*Á")),F230="muž"),AND(AND(COUNTIF(C230,"&lt;&gt;"&amp;"*a"),COUNTIF(C230,"&lt;&gt;"&amp;"*ie"),COUNTIF(C230,"&lt;&gt;"&amp;"*ine"),COUNTIF(D230,"&lt;&gt;"&amp;"*Á")),F230="žena")),CONCATENATE(C230," ",D230," je ",F230,"?"),""))))))),IF(COUNTIF(B230:O230,"")=14,"",CONCATENATE("Doplň: ",IF(B230="",CONCATENATE($B$4,IF(COUNTIF(C230:G230,"")=0,"",", ")),""),IF(C230="",CONCATENATE($C$4,IF(COUNTIF(D230:G230,"")=0,"",", ")),""),IF(D230="",CONCATENATE($D$4,IF(COUNTIF(E230:G230,"")=0,"",", ")),""),IF(E230="",CONCATENATE($E$4,IF(COUNTIF(F230:G230,"")=0,"",", ")),""),IF(F230="",CONCATENATE($F$4,IF(G230="",", ","")),""),IF(G230="",$G$4,""))))</f>
        <v/>
      </c>
      <c r="AA230" s="30"/>
    </row>
    <row r="231" spans="1:27" ht="16" x14ac:dyDescent="0.35">
      <c r="A231" s="14" t="str">
        <f t="shared" si="12"/>
        <v xml:space="preserve">  </v>
      </c>
      <c r="B231" s="15"/>
      <c r="C231" s="31"/>
      <c r="D231" s="31"/>
      <c r="E231" s="17"/>
      <c r="F231" s="18"/>
      <c r="G231" s="32"/>
      <c r="H231" s="33" t="str">
        <f>IF(G231="","",IF(F231="žena",ROMAN(MATCH(G231+1,'[1]Normy VP'!$Y$27:$Y$33,-1)),ROMAN(MATCH(G231+1,'[1]Normy VP'!$Y$19:$Y$25,-1))))</f>
        <v/>
      </c>
      <c r="I231" s="21"/>
      <c r="J231" s="22"/>
      <c r="K231" s="23"/>
      <c r="L231" s="23"/>
      <c r="M231" s="23"/>
      <c r="N231" s="22"/>
      <c r="O231" s="22"/>
      <c r="P231" s="24" t="str">
        <f>IF(OR($J231="",$J231="odešel"),IF(K231="","",IF($F231="žena",CHOOSE(_xlfn.ARABIC($H231),MATCH(K231+1,'[1]Normy VP'!$C$25:$F$25,-1),MATCH(K231+1,'[1]Normy VP'!$C$26:$F$26,-1),MATCH(K231+1,'[1]Normy VP'!$C$27:$F$27,-1),MATCH(K231+1,'[1]Normy VP'!$C$28:$F$28,-1),MATCH(K231+1,'[1]Normy VP'!$C$29:$F$29,-1),"muž"),CHOOSE(_xlfn.ARABIC($H231),MATCH(K231+1,'[1]Normy VP'!$C$10:$F$10,-1),MATCH(K231+1,'[1]Normy VP'!$C$11:$F$11,-1),MATCH(K231+1,'[1]Normy VP'!$C$12:$F$12,-1),MATCH(K231+1,'[1]Normy VP'!$C$13:$F$13,-1),MATCH(K231+1,'[1]Normy VP'!$C$14:$F$14,-1),""))),"O")</f>
        <v/>
      </c>
      <c r="Q231" s="24" t="str">
        <f>IF(OR($J231="",$J231="odešel"),IF($F231="žena","",IF(L231="","",(CHOOSE(_xlfn.ARABIC($H231),MATCH(L231+1,'[1]Normy VP'!$G$10:$J$10,-1),MATCH(L231+1,'[1]Normy VP'!$G$11:$J$11,-1),MATCH(L231+1,'[1]Normy VP'!$G$12:$J$12,-1),MATCH(L231+1,'[1]Normy VP'!$G$13:$J$13,-1),MATCH(L231+1,'[1]Normy VP'!$G$14:$J$14,-1),"")))),"O")</f>
        <v/>
      </c>
      <c r="R231" s="34" t="str">
        <f t="shared" si="13"/>
        <v>N</v>
      </c>
      <c r="S231" s="24" t="str">
        <f>IF(OR($J231="",$J231="odešel"),IF(M231="","N",IF($F231="žena",CHOOSE(_xlfn.ARABIC($H231),MATCH(M231+1,'[1]Normy VP'!$G$25:$J$25,-1),MATCH(M231+1,'[1]Normy VP'!$G$26:$J$26,-1),MATCH(M231+1,'[1]Normy VP'!$G$27:$J$27,-1),MATCH(M231+1,'[1]Normy VP'!$G$28:$J$28,-1),MATCH(M231+1,'[1]Normy VP'!$G$29:$J$29,-1),"muž"),(CHOOSE(_xlfn.ARABIC($H231),MATCH(M231+1,'[1]Normy VP'!$K$10:$N$10,-1),MATCH(M231+1,'[1]Normy VP'!$K$11:$N$11,-1),MATCH(M231+1,'[1]Normy VP'!$K$12:$N$12,-1),MATCH(M231+1,'[1]Normy VP'!$K$13:$N$13,-1),MATCH(M231+1,'[1]Normy VP'!$K$14:$N$14,-1),"")))),"O")</f>
        <v>N</v>
      </c>
      <c r="T231" s="34" t="str">
        <f t="shared" si="14"/>
        <v>N</v>
      </c>
      <c r="U231" s="24" t="str">
        <f>IF(OR($J231="",$J231="odešel"),IF(N231="","N",IF($F231="žena",CHOOSE(_xlfn.ARABIC($H231),MATCH(N231+1,'[1]Normy VP'!$K$25:$N$25,-1),MATCH(N231+1,'[1]Normy VP'!$K$26:$N$26,-1),MATCH(N231+1,'[1]Normy VP'!$K$27:$N$27,-1),MATCH(N231+1,'[1]Normy VP'!$K$28:$N$28,-1),MATCH(N231+1,'[1]Normy VP'!$K$29:$N$29,-1),MATCH(N231+1,'[1]Normy VP'!$K$30:$N$30,-1)),CHOOSE(_xlfn.ARABIC($H231),MATCH(N231+1,'[1]Normy VP'!$O$10:$R$10,-1),MATCH(N231+1,'[1]Normy VP'!$O$11:$R$11,-1),MATCH(N231+1,'[1]Normy VP'!$O$12:$R$12,-1),MATCH(N231+1,'[1]Normy VP'!$O$13:$R$13,-1),MATCH(N231+1,'[1]Normy VP'!$O$14:$R$14,-1),MATCH(N231+1,'[1]Normy VP'!$O$15:$R$15,-1)))),"O")</f>
        <v>N</v>
      </c>
      <c r="V231" s="26" t="str">
        <f>IF(OR($J231="",$J231="odešel"),IF(O231="","N",IF($F231="žena",CHOOSE(_xlfn.ARABIC($H231),MATCH(O231-1,'[1]Normy VP'!$O$25:$R$25),MATCH(O231-1,'[1]Normy VP'!$O$26:$R$26),MATCH(O231-1,'[1]Normy VP'!$O$27:$R$27),MATCH(O231-1,'[1]Normy VP'!$O$28:$R$28),MATCH(O231-1,'[1]Normy VP'!$O$29:$R$29),MATCH(O231-1,'[1]Normy VP'!$O$30:$R$30)),CHOOSE(_xlfn.ARABIC($H231),MATCH(O231-1,'[1]Normy VP'!$S$10:$V$10),MATCH(O231-1,'[1]Normy VP'!$S$11:$V$11),MATCH(O231-1,'[1]Normy VP'!$S$12:$V$12),MATCH(O231-1,'[1]Normy VP'!$S$13:$V$13),MATCH(O231-1,'[1]Normy VP'!$S$14:$V$14),MATCH(O231-1,'[1]Normy VP'!$S$15:$V$15)))),"O")</f>
        <v>N</v>
      </c>
      <c r="W231" s="34" t="str">
        <f t="shared" si="15"/>
        <v>N</v>
      </c>
      <c r="X231" s="27" t="str">
        <f>IF(COUNTIF(B231:G231,"")&gt;0,"",IF(COUNTIF([1]PP!$A:$A,A231)=0,"neni v PP",IF(OR(Y231="odešel",VLOOKUP(A231,[1]PP!$A:$W,22,FALSE)="odešel"),"odešel",IF(OR(Y231="N",VLOOKUP(A231,[1]PP!$A:$W,22,FALSE)="N"),"N",IF(OR(Y231="C",VLOOKUP(A231,[1]PP!$A:$W,22,FALSE)="C"),"C",IF(OR(Y231="DZO",VLOOKUP(A231,[1]PP!$A:$W,22,FALSE)="DZO"),"DZO",IF(OR(Y231="mise",Y231="disp.",Y231="končí",Y231="DSC",VLOOKUP(A231,[1]PP!$A:$W,22,FALSE)="mise",VLOOKUP(A231,[1]PP!$A:$W,22,FALSE)="disp.",VLOOKUP(A231,[1]PP!$A:$W,22,FALSE)="končí",VLOOKUP(A231,[1]PP!$A:$W,22,FALSE)="DSC"),"jiné",IF(OR(Y231=4,VLOOKUP(A231,[1]PP!$A:$W,22,FALSE)=4),4,IF(OR(Y231=3,VLOOKUP(A231,[1]PP!$A:$W,22,FALSE)=3),3,IF(OR(Y231=2,VLOOKUP(A231,[1]PP!$A:$W,22,FALSE)=2),2,IF(AND(Y231=1,VLOOKUP(A231,[1]PP!$A:$W,22,FALSE)=1),1)))))))))))</f>
        <v/>
      </c>
      <c r="Y231" s="28" t="str">
        <f>IF(COUNTIF(B231:G231,"")&gt;0,"",IF(COUNTIF([1]PP!$A:$A,A231)=0,"neni v PP",IF(VLOOKUP(A231,[1]PP!$A:$W,8,FALSE)="odešel","odešel",IF(F231="","",IF(J231="",IF(OR(T231=4,W231=4),4,IF(AND(T231="N",W231="N"),"N",IF(OR(T231="N",W231="N"),4,ROUND(AVERAGE(T231,W231),0)))),J231)))))</f>
        <v/>
      </c>
      <c r="Z231" s="29" t="str">
        <f>IF(COUNTIF(B231:G231,"")=0,IF(X231="neni v PP",CONCATENATE("ID: &lt;",A231,"&gt; se neshoduje s žádným IDem v kartě PP"),IF(COUNTIF($A:$A,A231)&gt;1,CONCATENATE("ID: &lt;",A231,"&gt; se v kartě VP opakuje. Je nutné tyto IDy od sebe odlišit, např. mezerou za příjmením."),IF(COUNTIF([1]PP!A:A,A231)&gt;1,CONCATENATE("ID: &lt;",A231,"&gt; se v kartě PP opakuje. Je nutné tyto IDy od sebe odlišit, např. mezerou za příjmením."),IF(VLOOKUP(A231,[1]PP!$A:$W,5,FALSE)&lt;&gt;E231,CONCATENATE($E$4," &lt;",E231,"&gt; se neshoduje s jednotkou v kartě PP"," &lt;",VLOOKUP(A231,[1]PP!$A:$W,5,FALSE),"&gt;"),IF(AND(COUNTIF(K231:O231,"")&lt;5,J231="",I231=""),CONCATENATE("Doplň: ",$I$4),IF(AND(YEAR(I231)&lt;&gt;$E$2,COUNTIF(I231,"")=0),CONCATENATE("špatně uveden &lt;",$D$2,"&gt; nebo &lt;",$I$4,"&gt;"),IF(OR(AND(OR(COUNTIF(C231,"*a"),COUNTIF(C231,"*ie"),COUNTIF(C231,"*ine"),COUNTIF(D231,"*Á")),F231="muž"),AND(AND(COUNTIF(C231,"&lt;&gt;"&amp;"*a"),COUNTIF(C231,"&lt;&gt;"&amp;"*ie"),COUNTIF(C231,"&lt;&gt;"&amp;"*ine"),COUNTIF(D231,"&lt;&gt;"&amp;"*Á")),F231="žena")),CONCATENATE(C231," ",D231," je ",F231,"?"),""))))))),IF(COUNTIF(B231:O231,"")=14,"",CONCATENATE("Doplň: ",IF(B231="",CONCATENATE($B$4,IF(COUNTIF(C231:G231,"")=0,"",", ")),""),IF(C231="",CONCATENATE($C$4,IF(COUNTIF(D231:G231,"")=0,"",", ")),""),IF(D231="",CONCATENATE($D$4,IF(COUNTIF(E231:G231,"")=0,"",", ")),""),IF(E231="",CONCATENATE($E$4,IF(COUNTIF(F231:G231,"")=0,"",", ")),""),IF(F231="",CONCATENATE($F$4,IF(G231="",", ","")),""),IF(G231="",$G$4,""))))</f>
        <v/>
      </c>
      <c r="AA231" s="30"/>
    </row>
    <row r="232" spans="1:27" ht="16" x14ac:dyDescent="0.35">
      <c r="A232" s="14" t="str">
        <f t="shared" si="12"/>
        <v xml:space="preserve">  </v>
      </c>
      <c r="B232" s="15"/>
      <c r="C232" s="31"/>
      <c r="D232" s="31"/>
      <c r="E232" s="17"/>
      <c r="F232" s="18"/>
      <c r="G232" s="32"/>
      <c r="H232" s="33" t="str">
        <f>IF(G232="","",IF(F232="žena",ROMAN(MATCH(G232+1,'[1]Normy VP'!$Y$27:$Y$33,-1)),ROMAN(MATCH(G232+1,'[1]Normy VP'!$Y$19:$Y$25,-1))))</f>
        <v/>
      </c>
      <c r="I232" s="21"/>
      <c r="J232" s="22"/>
      <c r="K232" s="23"/>
      <c r="L232" s="23"/>
      <c r="M232" s="23"/>
      <c r="N232" s="22"/>
      <c r="O232" s="22"/>
      <c r="P232" s="24" t="str">
        <f>IF(OR($J232="",$J232="odešel"),IF(K232="","",IF($F232="žena",CHOOSE(_xlfn.ARABIC($H232),MATCH(K232+1,'[1]Normy VP'!$C$25:$F$25,-1),MATCH(K232+1,'[1]Normy VP'!$C$26:$F$26,-1),MATCH(K232+1,'[1]Normy VP'!$C$27:$F$27,-1),MATCH(K232+1,'[1]Normy VP'!$C$28:$F$28,-1),MATCH(K232+1,'[1]Normy VP'!$C$29:$F$29,-1),"muž"),CHOOSE(_xlfn.ARABIC($H232),MATCH(K232+1,'[1]Normy VP'!$C$10:$F$10,-1),MATCH(K232+1,'[1]Normy VP'!$C$11:$F$11,-1),MATCH(K232+1,'[1]Normy VP'!$C$12:$F$12,-1),MATCH(K232+1,'[1]Normy VP'!$C$13:$F$13,-1),MATCH(K232+1,'[1]Normy VP'!$C$14:$F$14,-1),""))),"O")</f>
        <v/>
      </c>
      <c r="Q232" s="24" t="str">
        <f>IF(OR($J232="",$J232="odešel"),IF($F232="žena","",IF(L232="","",(CHOOSE(_xlfn.ARABIC($H232),MATCH(L232+1,'[1]Normy VP'!$G$10:$J$10,-1),MATCH(L232+1,'[1]Normy VP'!$G$11:$J$11,-1),MATCH(L232+1,'[1]Normy VP'!$G$12:$J$12,-1),MATCH(L232+1,'[1]Normy VP'!$G$13:$J$13,-1),MATCH(L232+1,'[1]Normy VP'!$G$14:$J$14,-1),"")))),"O")</f>
        <v/>
      </c>
      <c r="R232" s="34" t="str">
        <f t="shared" si="13"/>
        <v>N</v>
      </c>
      <c r="S232" s="24" t="str">
        <f>IF(OR($J232="",$J232="odešel"),IF(M232="","N",IF($F232="žena",CHOOSE(_xlfn.ARABIC($H232),MATCH(M232+1,'[1]Normy VP'!$G$25:$J$25,-1),MATCH(M232+1,'[1]Normy VP'!$G$26:$J$26,-1),MATCH(M232+1,'[1]Normy VP'!$G$27:$J$27,-1),MATCH(M232+1,'[1]Normy VP'!$G$28:$J$28,-1),MATCH(M232+1,'[1]Normy VP'!$G$29:$J$29,-1),"muž"),(CHOOSE(_xlfn.ARABIC($H232),MATCH(M232+1,'[1]Normy VP'!$K$10:$N$10,-1),MATCH(M232+1,'[1]Normy VP'!$K$11:$N$11,-1),MATCH(M232+1,'[1]Normy VP'!$K$12:$N$12,-1),MATCH(M232+1,'[1]Normy VP'!$K$13:$N$13,-1),MATCH(M232+1,'[1]Normy VP'!$K$14:$N$14,-1),"")))),"O")</f>
        <v>N</v>
      </c>
      <c r="T232" s="34" t="str">
        <f t="shared" si="14"/>
        <v>N</v>
      </c>
      <c r="U232" s="24" t="str">
        <f>IF(OR($J232="",$J232="odešel"),IF(N232="","N",IF($F232="žena",CHOOSE(_xlfn.ARABIC($H232),MATCH(N232+1,'[1]Normy VP'!$K$25:$N$25,-1),MATCH(N232+1,'[1]Normy VP'!$K$26:$N$26,-1),MATCH(N232+1,'[1]Normy VP'!$K$27:$N$27,-1),MATCH(N232+1,'[1]Normy VP'!$K$28:$N$28,-1),MATCH(N232+1,'[1]Normy VP'!$K$29:$N$29,-1),MATCH(N232+1,'[1]Normy VP'!$K$30:$N$30,-1)),CHOOSE(_xlfn.ARABIC($H232),MATCH(N232+1,'[1]Normy VP'!$O$10:$R$10,-1),MATCH(N232+1,'[1]Normy VP'!$O$11:$R$11,-1),MATCH(N232+1,'[1]Normy VP'!$O$12:$R$12,-1),MATCH(N232+1,'[1]Normy VP'!$O$13:$R$13,-1),MATCH(N232+1,'[1]Normy VP'!$O$14:$R$14,-1),MATCH(N232+1,'[1]Normy VP'!$O$15:$R$15,-1)))),"O")</f>
        <v>N</v>
      </c>
      <c r="V232" s="26" t="str">
        <f>IF(OR($J232="",$J232="odešel"),IF(O232="","N",IF($F232="žena",CHOOSE(_xlfn.ARABIC($H232),MATCH(O232-1,'[1]Normy VP'!$O$25:$R$25),MATCH(O232-1,'[1]Normy VP'!$O$26:$R$26),MATCH(O232-1,'[1]Normy VP'!$O$27:$R$27),MATCH(O232-1,'[1]Normy VP'!$O$28:$R$28),MATCH(O232-1,'[1]Normy VP'!$O$29:$R$29),MATCH(O232-1,'[1]Normy VP'!$O$30:$R$30)),CHOOSE(_xlfn.ARABIC($H232),MATCH(O232-1,'[1]Normy VP'!$S$10:$V$10),MATCH(O232-1,'[1]Normy VP'!$S$11:$V$11),MATCH(O232-1,'[1]Normy VP'!$S$12:$V$12),MATCH(O232-1,'[1]Normy VP'!$S$13:$V$13),MATCH(O232-1,'[1]Normy VP'!$S$14:$V$14),MATCH(O232-1,'[1]Normy VP'!$S$15:$V$15)))),"O")</f>
        <v>N</v>
      </c>
      <c r="W232" s="34" t="str">
        <f t="shared" si="15"/>
        <v>N</v>
      </c>
      <c r="X232" s="27" t="str">
        <f>IF(COUNTIF(B232:G232,"")&gt;0,"",IF(COUNTIF([1]PP!$A:$A,A232)=0,"neni v PP",IF(OR(Y232="odešel",VLOOKUP(A232,[1]PP!$A:$W,22,FALSE)="odešel"),"odešel",IF(OR(Y232="N",VLOOKUP(A232,[1]PP!$A:$W,22,FALSE)="N"),"N",IF(OR(Y232="C",VLOOKUP(A232,[1]PP!$A:$W,22,FALSE)="C"),"C",IF(OR(Y232="DZO",VLOOKUP(A232,[1]PP!$A:$W,22,FALSE)="DZO"),"DZO",IF(OR(Y232="mise",Y232="disp.",Y232="končí",Y232="DSC",VLOOKUP(A232,[1]PP!$A:$W,22,FALSE)="mise",VLOOKUP(A232,[1]PP!$A:$W,22,FALSE)="disp.",VLOOKUP(A232,[1]PP!$A:$W,22,FALSE)="končí",VLOOKUP(A232,[1]PP!$A:$W,22,FALSE)="DSC"),"jiné",IF(OR(Y232=4,VLOOKUP(A232,[1]PP!$A:$W,22,FALSE)=4),4,IF(OR(Y232=3,VLOOKUP(A232,[1]PP!$A:$W,22,FALSE)=3),3,IF(OR(Y232=2,VLOOKUP(A232,[1]PP!$A:$W,22,FALSE)=2),2,IF(AND(Y232=1,VLOOKUP(A232,[1]PP!$A:$W,22,FALSE)=1),1)))))))))))</f>
        <v/>
      </c>
      <c r="Y232" s="28" t="str">
        <f>IF(COUNTIF(B232:G232,"")&gt;0,"",IF(COUNTIF([1]PP!$A:$A,A232)=0,"neni v PP",IF(VLOOKUP(A232,[1]PP!$A:$W,8,FALSE)="odešel","odešel",IF(F232="","",IF(J232="",IF(OR(T232=4,W232=4),4,IF(AND(T232="N",W232="N"),"N",IF(OR(T232="N",W232="N"),4,ROUND(AVERAGE(T232,W232),0)))),J232)))))</f>
        <v/>
      </c>
      <c r="Z232" s="29" t="str">
        <f>IF(COUNTIF(B232:G232,"")=0,IF(X232="neni v PP",CONCATENATE("ID: &lt;",A232,"&gt; se neshoduje s žádným IDem v kartě PP"),IF(COUNTIF($A:$A,A232)&gt;1,CONCATENATE("ID: &lt;",A232,"&gt; se v kartě VP opakuje. Je nutné tyto IDy od sebe odlišit, např. mezerou za příjmením."),IF(COUNTIF([1]PP!A:A,A232)&gt;1,CONCATENATE("ID: &lt;",A232,"&gt; se v kartě PP opakuje. Je nutné tyto IDy od sebe odlišit, např. mezerou za příjmením."),IF(VLOOKUP(A232,[1]PP!$A:$W,5,FALSE)&lt;&gt;E232,CONCATENATE($E$4," &lt;",E232,"&gt; se neshoduje s jednotkou v kartě PP"," &lt;",VLOOKUP(A232,[1]PP!$A:$W,5,FALSE),"&gt;"),IF(AND(COUNTIF(K232:O232,"")&lt;5,J232="",I232=""),CONCATENATE("Doplň: ",$I$4),IF(AND(YEAR(I232)&lt;&gt;$E$2,COUNTIF(I232,"")=0),CONCATENATE("špatně uveden &lt;",$D$2,"&gt; nebo &lt;",$I$4,"&gt;"),IF(OR(AND(OR(COUNTIF(C232,"*a"),COUNTIF(C232,"*ie"),COUNTIF(C232,"*ine"),COUNTIF(D232,"*Á")),F232="muž"),AND(AND(COUNTIF(C232,"&lt;&gt;"&amp;"*a"),COUNTIF(C232,"&lt;&gt;"&amp;"*ie"),COUNTIF(C232,"&lt;&gt;"&amp;"*ine"),COUNTIF(D232,"&lt;&gt;"&amp;"*Á")),F232="žena")),CONCATENATE(C232," ",D232," je ",F232,"?"),""))))))),IF(COUNTIF(B232:O232,"")=14,"",CONCATENATE("Doplň: ",IF(B232="",CONCATENATE($B$4,IF(COUNTIF(C232:G232,"")=0,"",", ")),""),IF(C232="",CONCATENATE($C$4,IF(COUNTIF(D232:G232,"")=0,"",", ")),""),IF(D232="",CONCATENATE($D$4,IF(COUNTIF(E232:G232,"")=0,"",", ")),""),IF(E232="",CONCATENATE($E$4,IF(COUNTIF(F232:G232,"")=0,"",", ")),""),IF(F232="",CONCATENATE($F$4,IF(G232="",", ","")),""),IF(G232="",$G$4,""))))</f>
        <v/>
      </c>
      <c r="AA232" s="30"/>
    </row>
    <row r="233" spans="1:27" ht="16" x14ac:dyDescent="0.35">
      <c r="A233" s="14" t="str">
        <f t="shared" si="12"/>
        <v xml:space="preserve">  </v>
      </c>
      <c r="B233" s="15"/>
      <c r="C233" s="31"/>
      <c r="D233" s="31"/>
      <c r="E233" s="17"/>
      <c r="F233" s="18"/>
      <c r="G233" s="32"/>
      <c r="H233" s="33" t="str">
        <f>IF(G233="","",IF(F233="žena",ROMAN(MATCH(G233+1,'[1]Normy VP'!$Y$27:$Y$33,-1)),ROMAN(MATCH(G233+1,'[1]Normy VP'!$Y$19:$Y$25,-1))))</f>
        <v/>
      </c>
      <c r="I233" s="21"/>
      <c r="J233" s="22"/>
      <c r="K233" s="23"/>
      <c r="L233" s="23"/>
      <c r="M233" s="23"/>
      <c r="N233" s="22"/>
      <c r="O233" s="22"/>
      <c r="P233" s="24" t="str">
        <f>IF(OR($J233="",$J233="odešel"),IF(K233="","",IF($F233="žena",CHOOSE(_xlfn.ARABIC($H233),MATCH(K233+1,'[1]Normy VP'!$C$25:$F$25,-1),MATCH(K233+1,'[1]Normy VP'!$C$26:$F$26,-1),MATCH(K233+1,'[1]Normy VP'!$C$27:$F$27,-1),MATCH(K233+1,'[1]Normy VP'!$C$28:$F$28,-1),MATCH(K233+1,'[1]Normy VP'!$C$29:$F$29,-1),"muž"),CHOOSE(_xlfn.ARABIC($H233),MATCH(K233+1,'[1]Normy VP'!$C$10:$F$10,-1),MATCH(K233+1,'[1]Normy VP'!$C$11:$F$11,-1),MATCH(K233+1,'[1]Normy VP'!$C$12:$F$12,-1),MATCH(K233+1,'[1]Normy VP'!$C$13:$F$13,-1),MATCH(K233+1,'[1]Normy VP'!$C$14:$F$14,-1),""))),"O")</f>
        <v/>
      </c>
      <c r="Q233" s="24" t="str">
        <f>IF(OR($J233="",$J233="odešel"),IF($F233="žena","",IF(L233="","",(CHOOSE(_xlfn.ARABIC($H233),MATCH(L233+1,'[1]Normy VP'!$G$10:$J$10,-1),MATCH(L233+1,'[1]Normy VP'!$G$11:$J$11,-1),MATCH(L233+1,'[1]Normy VP'!$G$12:$J$12,-1),MATCH(L233+1,'[1]Normy VP'!$G$13:$J$13,-1),MATCH(L233+1,'[1]Normy VP'!$G$14:$J$14,-1),"")))),"O")</f>
        <v/>
      </c>
      <c r="R233" s="34" t="str">
        <f t="shared" si="13"/>
        <v>N</v>
      </c>
      <c r="S233" s="24" t="str">
        <f>IF(OR($J233="",$J233="odešel"),IF(M233="","N",IF($F233="žena",CHOOSE(_xlfn.ARABIC($H233),MATCH(M233+1,'[1]Normy VP'!$G$25:$J$25,-1),MATCH(M233+1,'[1]Normy VP'!$G$26:$J$26,-1),MATCH(M233+1,'[1]Normy VP'!$G$27:$J$27,-1),MATCH(M233+1,'[1]Normy VP'!$G$28:$J$28,-1),MATCH(M233+1,'[1]Normy VP'!$G$29:$J$29,-1),"muž"),(CHOOSE(_xlfn.ARABIC($H233),MATCH(M233+1,'[1]Normy VP'!$K$10:$N$10,-1),MATCH(M233+1,'[1]Normy VP'!$K$11:$N$11,-1),MATCH(M233+1,'[1]Normy VP'!$K$12:$N$12,-1),MATCH(M233+1,'[1]Normy VP'!$K$13:$N$13,-1),MATCH(M233+1,'[1]Normy VP'!$K$14:$N$14,-1),"")))),"O")</f>
        <v>N</v>
      </c>
      <c r="T233" s="34" t="str">
        <f t="shared" si="14"/>
        <v>N</v>
      </c>
      <c r="U233" s="24" t="str">
        <f>IF(OR($J233="",$J233="odešel"),IF(N233="","N",IF($F233="žena",CHOOSE(_xlfn.ARABIC($H233),MATCH(N233+1,'[1]Normy VP'!$K$25:$N$25,-1),MATCH(N233+1,'[1]Normy VP'!$K$26:$N$26,-1),MATCH(N233+1,'[1]Normy VP'!$K$27:$N$27,-1),MATCH(N233+1,'[1]Normy VP'!$K$28:$N$28,-1),MATCH(N233+1,'[1]Normy VP'!$K$29:$N$29,-1),MATCH(N233+1,'[1]Normy VP'!$K$30:$N$30,-1)),CHOOSE(_xlfn.ARABIC($H233),MATCH(N233+1,'[1]Normy VP'!$O$10:$R$10,-1),MATCH(N233+1,'[1]Normy VP'!$O$11:$R$11,-1),MATCH(N233+1,'[1]Normy VP'!$O$12:$R$12,-1),MATCH(N233+1,'[1]Normy VP'!$O$13:$R$13,-1),MATCH(N233+1,'[1]Normy VP'!$O$14:$R$14,-1),MATCH(N233+1,'[1]Normy VP'!$O$15:$R$15,-1)))),"O")</f>
        <v>N</v>
      </c>
      <c r="V233" s="26" t="str">
        <f>IF(OR($J233="",$J233="odešel"),IF(O233="","N",IF($F233="žena",CHOOSE(_xlfn.ARABIC($H233),MATCH(O233-1,'[1]Normy VP'!$O$25:$R$25),MATCH(O233-1,'[1]Normy VP'!$O$26:$R$26),MATCH(O233-1,'[1]Normy VP'!$O$27:$R$27),MATCH(O233-1,'[1]Normy VP'!$O$28:$R$28),MATCH(O233-1,'[1]Normy VP'!$O$29:$R$29),MATCH(O233-1,'[1]Normy VP'!$O$30:$R$30)),CHOOSE(_xlfn.ARABIC($H233),MATCH(O233-1,'[1]Normy VP'!$S$10:$V$10),MATCH(O233-1,'[1]Normy VP'!$S$11:$V$11),MATCH(O233-1,'[1]Normy VP'!$S$12:$V$12),MATCH(O233-1,'[1]Normy VP'!$S$13:$V$13),MATCH(O233-1,'[1]Normy VP'!$S$14:$V$14),MATCH(O233-1,'[1]Normy VP'!$S$15:$V$15)))),"O")</f>
        <v>N</v>
      </c>
      <c r="W233" s="34" t="str">
        <f t="shared" si="15"/>
        <v>N</v>
      </c>
      <c r="X233" s="27" t="str">
        <f>IF(COUNTIF(B233:G233,"")&gt;0,"",IF(COUNTIF([1]PP!$A:$A,A233)=0,"neni v PP",IF(OR(Y233="odešel",VLOOKUP(A233,[1]PP!$A:$W,22,FALSE)="odešel"),"odešel",IF(OR(Y233="N",VLOOKUP(A233,[1]PP!$A:$W,22,FALSE)="N"),"N",IF(OR(Y233="C",VLOOKUP(A233,[1]PP!$A:$W,22,FALSE)="C"),"C",IF(OR(Y233="DZO",VLOOKUP(A233,[1]PP!$A:$W,22,FALSE)="DZO"),"DZO",IF(OR(Y233="mise",Y233="disp.",Y233="končí",Y233="DSC",VLOOKUP(A233,[1]PP!$A:$W,22,FALSE)="mise",VLOOKUP(A233,[1]PP!$A:$W,22,FALSE)="disp.",VLOOKUP(A233,[1]PP!$A:$W,22,FALSE)="končí",VLOOKUP(A233,[1]PP!$A:$W,22,FALSE)="DSC"),"jiné",IF(OR(Y233=4,VLOOKUP(A233,[1]PP!$A:$W,22,FALSE)=4),4,IF(OR(Y233=3,VLOOKUP(A233,[1]PP!$A:$W,22,FALSE)=3),3,IF(OR(Y233=2,VLOOKUP(A233,[1]PP!$A:$W,22,FALSE)=2),2,IF(AND(Y233=1,VLOOKUP(A233,[1]PP!$A:$W,22,FALSE)=1),1)))))))))))</f>
        <v/>
      </c>
      <c r="Y233" s="28" t="str">
        <f>IF(COUNTIF(B233:G233,"")&gt;0,"",IF(COUNTIF([1]PP!$A:$A,A233)=0,"neni v PP",IF(VLOOKUP(A233,[1]PP!$A:$W,8,FALSE)="odešel","odešel",IF(F233="","",IF(J233="",IF(OR(T233=4,W233=4),4,IF(AND(T233="N",W233="N"),"N",IF(OR(T233="N",W233="N"),4,ROUND(AVERAGE(T233,W233),0)))),J233)))))</f>
        <v/>
      </c>
      <c r="Z233" s="29" t="str">
        <f>IF(COUNTIF(B233:G233,"")=0,IF(X233="neni v PP",CONCATENATE("ID: &lt;",A233,"&gt; se neshoduje s žádným IDem v kartě PP"),IF(COUNTIF($A:$A,A233)&gt;1,CONCATENATE("ID: &lt;",A233,"&gt; se v kartě VP opakuje. Je nutné tyto IDy od sebe odlišit, např. mezerou za příjmením."),IF(COUNTIF([1]PP!A:A,A233)&gt;1,CONCATENATE("ID: &lt;",A233,"&gt; se v kartě PP opakuje. Je nutné tyto IDy od sebe odlišit, např. mezerou za příjmením."),IF(VLOOKUP(A233,[1]PP!$A:$W,5,FALSE)&lt;&gt;E233,CONCATENATE($E$4," &lt;",E233,"&gt; se neshoduje s jednotkou v kartě PP"," &lt;",VLOOKUP(A233,[1]PP!$A:$W,5,FALSE),"&gt;"),IF(AND(COUNTIF(K233:O233,"")&lt;5,J233="",I233=""),CONCATENATE("Doplň: ",$I$4),IF(AND(YEAR(I233)&lt;&gt;$E$2,COUNTIF(I233,"")=0),CONCATENATE("špatně uveden &lt;",$D$2,"&gt; nebo &lt;",$I$4,"&gt;"),IF(OR(AND(OR(COUNTIF(C233,"*a"),COUNTIF(C233,"*ie"),COUNTIF(C233,"*ine"),COUNTIF(D233,"*Á")),F233="muž"),AND(AND(COUNTIF(C233,"&lt;&gt;"&amp;"*a"),COUNTIF(C233,"&lt;&gt;"&amp;"*ie"),COUNTIF(C233,"&lt;&gt;"&amp;"*ine"),COUNTIF(D233,"&lt;&gt;"&amp;"*Á")),F233="žena")),CONCATENATE(C233," ",D233," je ",F233,"?"),""))))))),IF(COUNTIF(B233:O233,"")=14,"",CONCATENATE("Doplň: ",IF(B233="",CONCATENATE($B$4,IF(COUNTIF(C233:G233,"")=0,"",", ")),""),IF(C233="",CONCATENATE($C$4,IF(COUNTIF(D233:G233,"")=0,"",", ")),""),IF(D233="",CONCATENATE($D$4,IF(COUNTIF(E233:G233,"")=0,"",", ")),""),IF(E233="",CONCATENATE($E$4,IF(COUNTIF(F233:G233,"")=0,"",", ")),""),IF(F233="",CONCATENATE($F$4,IF(G233="",", ","")),""),IF(G233="",$G$4,""))))</f>
        <v/>
      </c>
      <c r="AA233" s="30"/>
    </row>
    <row r="234" spans="1:27" ht="16" x14ac:dyDescent="0.35">
      <c r="A234" s="14" t="str">
        <f t="shared" si="12"/>
        <v xml:space="preserve">  </v>
      </c>
      <c r="B234" s="15"/>
      <c r="C234" s="31"/>
      <c r="D234" s="31"/>
      <c r="E234" s="17"/>
      <c r="F234" s="18"/>
      <c r="G234" s="32"/>
      <c r="H234" s="33" t="str">
        <f>IF(G234="","",IF(F234="žena",ROMAN(MATCH(G234+1,'[1]Normy VP'!$Y$27:$Y$33,-1)),ROMAN(MATCH(G234+1,'[1]Normy VP'!$Y$19:$Y$25,-1))))</f>
        <v/>
      </c>
      <c r="I234" s="21"/>
      <c r="J234" s="22"/>
      <c r="K234" s="23"/>
      <c r="L234" s="23"/>
      <c r="M234" s="23"/>
      <c r="N234" s="22"/>
      <c r="O234" s="22"/>
      <c r="P234" s="24" t="str">
        <f>IF(OR($J234="",$J234="odešel"),IF(K234="","",IF($F234="žena",CHOOSE(_xlfn.ARABIC($H234),MATCH(K234+1,'[1]Normy VP'!$C$25:$F$25,-1),MATCH(K234+1,'[1]Normy VP'!$C$26:$F$26,-1),MATCH(K234+1,'[1]Normy VP'!$C$27:$F$27,-1),MATCH(K234+1,'[1]Normy VP'!$C$28:$F$28,-1),MATCH(K234+1,'[1]Normy VP'!$C$29:$F$29,-1),"muž"),CHOOSE(_xlfn.ARABIC($H234),MATCH(K234+1,'[1]Normy VP'!$C$10:$F$10,-1),MATCH(K234+1,'[1]Normy VP'!$C$11:$F$11,-1),MATCH(K234+1,'[1]Normy VP'!$C$12:$F$12,-1),MATCH(K234+1,'[1]Normy VP'!$C$13:$F$13,-1),MATCH(K234+1,'[1]Normy VP'!$C$14:$F$14,-1),""))),"O")</f>
        <v/>
      </c>
      <c r="Q234" s="24" t="str">
        <f>IF(OR($J234="",$J234="odešel"),IF($F234="žena","",IF(L234="","",(CHOOSE(_xlfn.ARABIC($H234),MATCH(L234+1,'[1]Normy VP'!$G$10:$J$10,-1),MATCH(L234+1,'[1]Normy VP'!$G$11:$J$11,-1),MATCH(L234+1,'[1]Normy VP'!$G$12:$J$12,-1),MATCH(L234+1,'[1]Normy VP'!$G$13:$J$13,-1),MATCH(L234+1,'[1]Normy VP'!$G$14:$J$14,-1),"")))),"O")</f>
        <v/>
      </c>
      <c r="R234" s="34" t="str">
        <f t="shared" si="13"/>
        <v>N</v>
      </c>
      <c r="S234" s="24" t="str">
        <f>IF(OR($J234="",$J234="odešel"),IF(M234="","N",IF($F234="žena",CHOOSE(_xlfn.ARABIC($H234),MATCH(M234+1,'[1]Normy VP'!$G$25:$J$25,-1),MATCH(M234+1,'[1]Normy VP'!$G$26:$J$26,-1),MATCH(M234+1,'[1]Normy VP'!$G$27:$J$27,-1),MATCH(M234+1,'[1]Normy VP'!$G$28:$J$28,-1),MATCH(M234+1,'[1]Normy VP'!$G$29:$J$29,-1),"muž"),(CHOOSE(_xlfn.ARABIC($H234),MATCH(M234+1,'[1]Normy VP'!$K$10:$N$10,-1),MATCH(M234+1,'[1]Normy VP'!$K$11:$N$11,-1),MATCH(M234+1,'[1]Normy VP'!$K$12:$N$12,-1),MATCH(M234+1,'[1]Normy VP'!$K$13:$N$13,-1),MATCH(M234+1,'[1]Normy VP'!$K$14:$N$14,-1),"")))),"O")</f>
        <v>N</v>
      </c>
      <c r="T234" s="34" t="str">
        <f t="shared" si="14"/>
        <v>N</v>
      </c>
      <c r="U234" s="24" t="str">
        <f>IF(OR($J234="",$J234="odešel"),IF(N234="","N",IF($F234="žena",CHOOSE(_xlfn.ARABIC($H234),MATCH(N234+1,'[1]Normy VP'!$K$25:$N$25,-1),MATCH(N234+1,'[1]Normy VP'!$K$26:$N$26,-1),MATCH(N234+1,'[1]Normy VP'!$K$27:$N$27,-1),MATCH(N234+1,'[1]Normy VP'!$K$28:$N$28,-1),MATCH(N234+1,'[1]Normy VP'!$K$29:$N$29,-1),MATCH(N234+1,'[1]Normy VP'!$K$30:$N$30,-1)),CHOOSE(_xlfn.ARABIC($H234),MATCH(N234+1,'[1]Normy VP'!$O$10:$R$10,-1),MATCH(N234+1,'[1]Normy VP'!$O$11:$R$11,-1),MATCH(N234+1,'[1]Normy VP'!$O$12:$R$12,-1),MATCH(N234+1,'[1]Normy VP'!$O$13:$R$13,-1),MATCH(N234+1,'[1]Normy VP'!$O$14:$R$14,-1),MATCH(N234+1,'[1]Normy VP'!$O$15:$R$15,-1)))),"O")</f>
        <v>N</v>
      </c>
      <c r="V234" s="26" t="str">
        <f>IF(OR($J234="",$J234="odešel"),IF(O234="","N",IF($F234="žena",CHOOSE(_xlfn.ARABIC($H234),MATCH(O234-1,'[1]Normy VP'!$O$25:$R$25),MATCH(O234-1,'[1]Normy VP'!$O$26:$R$26),MATCH(O234-1,'[1]Normy VP'!$O$27:$R$27),MATCH(O234-1,'[1]Normy VP'!$O$28:$R$28),MATCH(O234-1,'[1]Normy VP'!$O$29:$R$29),MATCH(O234-1,'[1]Normy VP'!$O$30:$R$30)),CHOOSE(_xlfn.ARABIC($H234),MATCH(O234-1,'[1]Normy VP'!$S$10:$V$10),MATCH(O234-1,'[1]Normy VP'!$S$11:$V$11),MATCH(O234-1,'[1]Normy VP'!$S$12:$V$12),MATCH(O234-1,'[1]Normy VP'!$S$13:$V$13),MATCH(O234-1,'[1]Normy VP'!$S$14:$V$14),MATCH(O234-1,'[1]Normy VP'!$S$15:$V$15)))),"O")</f>
        <v>N</v>
      </c>
      <c r="W234" s="34" t="str">
        <f t="shared" si="15"/>
        <v>N</v>
      </c>
      <c r="X234" s="27" t="str">
        <f>IF(COUNTIF(B234:G234,"")&gt;0,"",IF(COUNTIF([1]PP!$A:$A,A234)=0,"neni v PP",IF(OR(Y234="odešel",VLOOKUP(A234,[1]PP!$A:$W,22,FALSE)="odešel"),"odešel",IF(OR(Y234="N",VLOOKUP(A234,[1]PP!$A:$W,22,FALSE)="N"),"N",IF(OR(Y234="C",VLOOKUP(A234,[1]PP!$A:$W,22,FALSE)="C"),"C",IF(OR(Y234="DZO",VLOOKUP(A234,[1]PP!$A:$W,22,FALSE)="DZO"),"DZO",IF(OR(Y234="mise",Y234="disp.",Y234="končí",Y234="DSC",VLOOKUP(A234,[1]PP!$A:$W,22,FALSE)="mise",VLOOKUP(A234,[1]PP!$A:$W,22,FALSE)="disp.",VLOOKUP(A234,[1]PP!$A:$W,22,FALSE)="končí",VLOOKUP(A234,[1]PP!$A:$W,22,FALSE)="DSC"),"jiné",IF(OR(Y234=4,VLOOKUP(A234,[1]PP!$A:$W,22,FALSE)=4),4,IF(OR(Y234=3,VLOOKUP(A234,[1]PP!$A:$W,22,FALSE)=3),3,IF(OR(Y234=2,VLOOKUP(A234,[1]PP!$A:$W,22,FALSE)=2),2,IF(AND(Y234=1,VLOOKUP(A234,[1]PP!$A:$W,22,FALSE)=1),1)))))))))))</f>
        <v/>
      </c>
      <c r="Y234" s="28" t="str">
        <f>IF(COUNTIF(B234:G234,"")&gt;0,"",IF(COUNTIF([1]PP!$A:$A,A234)=0,"neni v PP",IF(VLOOKUP(A234,[1]PP!$A:$W,8,FALSE)="odešel","odešel",IF(F234="","",IF(J234="",IF(OR(T234=4,W234=4),4,IF(AND(T234="N",W234="N"),"N",IF(OR(T234="N",W234="N"),4,ROUND(AVERAGE(T234,W234),0)))),J234)))))</f>
        <v/>
      </c>
      <c r="Z234" s="29" t="str">
        <f>IF(COUNTIF(B234:G234,"")=0,IF(X234="neni v PP",CONCATENATE("ID: &lt;",A234,"&gt; se neshoduje s žádným IDem v kartě PP"),IF(COUNTIF($A:$A,A234)&gt;1,CONCATENATE("ID: &lt;",A234,"&gt; se v kartě VP opakuje. Je nutné tyto IDy od sebe odlišit, např. mezerou za příjmením."),IF(COUNTIF([1]PP!A:A,A234)&gt;1,CONCATENATE("ID: &lt;",A234,"&gt; se v kartě PP opakuje. Je nutné tyto IDy od sebe odlišit, např. mezerou za příjmením."),IF(VLOOKUP(A234,[1]PP!$A:$W,5,FALSE)&lt;&gt;E234,CONCATENATE($E$4," &lt;",E234,"&gt; se neshoduje s jednotkou v kartě PP"," &lt;",VLOOKUP(A234,[1]PP!$A:$W,5,FALSE),"&gt;"),IF(AND(COUNTIF(K234:O234,"")&lt;5,J234="",I234=""),CONCATENATE("Doplň: ",$I$4),IF(AND(YEAR(I234)&lt;&gt;$E$2,COUNTIF(I234,"")=0),CONCATENATE("špatně uveden &lt;",$D$2,"&gt; nebo &lt;",$I$4,"&gt;"),IF(OR(AND(OR(COUNTIF(C234,"*a"),COUNTIF(C234,"*ie"),COUNTIF(C234,"*ine"),COUNTIF(D234,"*Á")),F234="muž"),AND(AND(COUNTIF(C234,"&lt;&gt;"&amp;"*a"),COUNTIF(C234,"&lt;&gt;"&amp;"*ie"),COUNTIF(C234,"&lt;&gt;"&amp;"*ine"),COUNTIF(D234,"&lt;&gt;"&amp;"*Á")),F234="žena")),CONCATENATE(C234," ",D234," je ",F234,"?"),""))))))),IF(COUNTIF(B234:O234,"")=14,"",CONCATENATE("Doplň: ",IF(B234="",CONCATENATE($B$4,IF(COUNTIF(C234:G234,"")=0,"",", ")),""),IF(C234="",CONCATENATE($C$4,IF(COUNTIF(D234:G234,"")=0,"",", ")),""),IF(D234="",CONCATENATE($D$4,IF(COUNTIF(E234:G234,"")=0,"",", ")),""),IF(E234="",CONCATENATE($E$4,IF(COUNTIF(F234:G234,"")=0,"",", ")),""),IF(F234="",CONCATENATE($F$4,IF(G234="",", ","")),""),IF(G234="",$G$4,""))))</f>
        <v/>
      </c>
      <c r="AA234" s="30"/>
    </row>
    <row r="235" spans="1:27" ht="16" x14ac:dyDescent="0.35">
      <c r="A235" s="14" t="str">
        <f t="shared" si="12"/>
        <v xml:space="preserve">  </v>
      </c>
      <c r="B235" s="15"/>
      <c r="C235" s="31"/>
      <c r="D235" s="31"/>
      <c r="E235" s="17"/>
      <c r="F235" s="18"/>
      <c r="G235" s="32"/>
      <c r="H235" s="33" t="str">
        <f>IF(G235="","",IF(F235="žena",ROMAN(MATCH(G235+1,'[1]Normy VP'!$Y$27:$Y$33,-1)),ROMAN(MATCH(G235+1,'[1]Normy VP'!$Y$19:$Y$25,-1))))</f>
        <v/>
      </c>
      <c r="I235" s="21"/>
      <c r="J235" s="22"/>
      <c r="K235" s="23"/>
      <c r="L235" s="23"/>
      <c r="M235" s="23"/>
      <c r="N235" s="22"/>
      <c r="O235" s="22"/>
      <c r="P235" s="24" t="str">
        <f>IF(OR($J235="",$J235="odešel"),IF(K235="","",IF($F235="žena",CHOOSE(_xlfn.ARABIC($H235),MATCH(K235+1,'[1]Normy VP'!$C$25:$F$25,-1),MATCH(K235+1,'[1]Normy VP'!$C$26:$F$26,-1),MATCH(K235+1,'[1]Normy VP'!$C$27:$F$27,-1),MATCH(K235+1,'[1]Normy VP'!$C$28:$F$28,-1),MATCH(K235+1,'[1]Normy VP'!$C$29:$F$29,-1),"muž"),CHOOSE(_xlfn.ARABIC($H235),MATCH(K235+1,'[1]Normy VP'!$C$10:$F$10,-1),MATCH(K235+1,'[1]Normy VP'!$C$11:$F$11,-1),MATCH(K235+1,'[1]Normy VP'!$C$12:$F$12,-1),MATCH(K235+1,'[1]Normy VP'!$C$13:$F$13,-1),MATCH(K235+1,'[1]Normy VP'!$C$14:$F$14,-1),""))),"O")</f>
        <v/>
      </c>
      <c r="Q235" s="24" t="str">
        <f>IF(OR($J235="",$J235="odešel"),IF($F235="žena","",IF(L235="","",(CHOOSE(_xlfn.ARABIC($H235),MATCH(L235+1,'[1]Normy VP'!$G$10:$J$10,-1),MATCH(L235+1,'[1]Normy VP'!$G$11:$J$11,-1),MATCH(L235+1,'[1]Normy VP'!$G$12:$J$12,-1),MATCH(L235+1,'[1]Normy VP'!$G$13:$J$13,-1),MATCH(L235+1,'[1]Normy VP'!$G$14:$J$14,-1),"")))),"O")</f>
        <v/>
      </c>
      <c r="R235" s="34" t="str">
        <f t="shared" si="13"/>
        <v>N</v>
      </c>
      <c r="S235" s="24" t="str">
        <f>IF(OR($J235="",$J235="odešel"),IF(M235="","N",IF($F235="žena",CHOOSE(_xlfn.ARABIC($H235),MATCH(M235+1,'[1]Normy VP'!$G$25:$J$25,-1),MATCH(M235+1,'[1]Normy VP'!$G$26:$J$26,-1),MATCH(M235+1,'[1]Normy VP'!$G$27:$J$27,-1),MATCH(M235+1,'[1]Normy VP'!$G$28:$J$28,-1),MATCH(M235+1,'[1]Normy VP'!$G$29:$J$29,-1),"muž"),(CHOOSE(_xlfn.ARABIC($H235),MATCH(M235+1,'[1]Normy VP'!$K$10:$N$10,-1),MATCH(M235+1,'[1]Normy VP'!$K$11:$N$11,-1),MATCH(M235+1,'[1]Normy VP'!$K$12:$N$12,-1),MATCH(M235+1,'[1]Normy VP'!$K$13:$N$13,-1),MATCH(M235+1,'[1]Normy VP'!$K$14:$N$14,-1),"")))),"O")</f>
        <v>N</v>
      </c>
      <c r="T235" s="34" t="str">
        <f t="shared" si="14"/>
        <v>N</v>
      </c>
      <c r="U235" s="24" t="str">
        <f>IF(OR($J235="",$J235="odešel"),IF(N235="","N",IF($F235="žena",CHOOSE(_xlfn.ARABIC($H235),MATCH(N235+1,'[1]Normy VP'!$K$25:$N$25,-1),MATCH(N235+1,'[1]Normy VP'!$K$26:$N$26,-1),MATCH(N235+1,'[1]Normy VP'!$K$27:$N$27,-1),MATCH(N235+1,'[1]Normy VP'!$K$28:$N$28,-1),MATCH(N235+1,'[1]Normy VP'!$K$29:$N$29,-1),MATCH(N235+1,'[1]Normy VP'!$K$30:$N$30,-1)),CHOOSE(_xlfn.ARABIC($H235),MATCH(N235+1,'[1]Normy VP'!$O$10:$R$10,-1),MATCH(N235+1,'[1]Normy VP'!$O$11:$R$11,-1),MATCH(N235+1,'[1]Normy VP'!$O$12:$R$12,-1),MATCH(N235+1,'[1]Normy VP'!$O$13:$R$13,-1),MATCH(N235+1,'[1]Normy VP'!$O$14:$R$14,-1),MATCH(N235+1,'[1]Normy VP'!$O$15:$R$15,-1)))),"O")</f>
        <v>N</v>
      </c>
      <c r="V235" s="26" t="str">
        <f>IF(OR($J235="",$J235="odešel"),IF(O235="","N",IF($F235="žena",CHOOSE(_xlfn.ARABIC($H235),MATCH(O235-1,'[1]Normy VP'!$O$25:$R$25),MATCH(O235-1,'[1]Normy VP'!$O$26:$R$26),MATCH(O235-1,'[1]Normy VP'!$O$27:$R$27),MATCH(O235-1,'[1]Normy VP'!$O$28:$R$28),MATCH(O235-1,'[1]Normy VP'!$O$29:$R$29),MATCH(O235-1,'[1]Normy VP'!$O$30:$R$30)),CHOOSE(_xlfn.ARABIC($H235),MATCH(O235-1,'[1]Normy VP'!$S$10:$V$10),MATCH(O235-1,'[1]Normy VP'!$S$11:$V$11),MATCH(O235-1,'[1]Normy VP'!$S$12:$V$12),MATCH(O235-1,'[1]Normy VP'!$S$13:$V$13),MATCH(O235-1,'[1]Normy VP'!$S$14:$V$14),MATCH(O235-1,'[1]Normy VP'!$S$15:$V$15)))),"O")</f>
        <v>N</v>
      </c>
      <c r="W235" s="34" t="str">
        <f t="shared" si="15"/>
        <v>N</v>
      </c>
      <c r="X235" s="27" t="str">
        <f>IF(COUNTIF(B235:G235,"")&gt;0,"",IF(COUNTIF([1]PP!$A:$A,A235)=0,"neni v PP",IF(OR(Y235="odešel",VLOOKUP(A235,[1]PP!$A:$W,22,FALSE)="odešel"),"odešel",IF(OR(Y235="N",VLOOKUP(A235,[1]PP!$A:$W,22,FALSE)="N"),"N",IF(OR(Y235="C",VLOOKUP(A235,[1]PP!$A:$W,22,FALSE)="C"),"C",IF(OR(Y235="DZO",VLOOKUP(A235,[1]PP!$A:$W,22,FALSE)="DZO"),"DZO",IF(OR(Y235="mise",Y235="disp.",Y235="končí",Y235="DSC",VLOOKUP(A235,[1]PP!$A:$W,22,FALSE)="mise",VLOOKUP(A235,[1]PP!$A:$W,22,FALSE)="disp.",VLOOKUP(A235,[1]PP!$A:$W,22,FALSE)="končí",VLOOKUP(A235,[1]PP!$A:$W,22,FALSE)="DSC"),"jiné",IF(OR(Y235=4,VLOOKUP(A235,[1]PP!$A:$W,22,FALSE)=4),4,IF(OR(Y235=3,VLOOKUP(A235,[1]PP!$A:$W,22,FALSE)=3),3,IF(OR(Y235=2,VLOOKUP(A235,[1]PP!$A:$W,22,FALSE)=2),2,IF(AND(Y235=1,VLOOKUP(A235,[1]PP!$A:$W,22,FALSE)=1),1)))))))))))</f>
        <v/>
      </c>
      <c r="Y235" s="28" t="str">
        <f>IF(COUNTIF(B235:G235,"")&gt;0,"",IF(COUNTIF([1]PP!$A:$A,A235)=0,"neni v PP",IF(VLOOKUP(A235,[1]PP!$A:$W,8,FALSE)="odešel","odešel",IF(F235="","",IF(J235="",IF(OR(T235=4,W235=4),4,IF(AND(T235="N",W235="N"),"N",IF(OR(T235="N",W235="N"),4,ROUND(AVERAGE(T235,W235),0)))),J235)))))</f>
        <v/>
      </c>
      <c r="Z235" s="29" t="str">
        <f>IF(COUNTIF(B235:G235,"")=0,IF(X235="neni v PP",CONCATENATE("ID: &lt;",A235,"&gt; se neshoduje s žádným IDem v kartě PP"),IF(COUNTIF($A:$A,A235)&gt;1,CONCATENATE("ID: &lt;",A235,"&gt; se v kartě VP opakuje. Je nutné tyto IDy od sebe odlišit, např. mezerou za příjmením."),IF(COUNTIF([1]PP!A:A,A235)&gt;1,CONCATENATE("ID: &lt;",A235,"&gt; se v kartě PP opakuje. Je nutné tyto IDy od sebe odlišit, např. mezerou za příjmením."),IF(VLOOKUP(A235,[1]PP!$A:$W,5,FALSE)&lt;&gt;E235,CONCATENATE($E$4," &lt;",E235,"&gt; se neshoduje s jednotkou v kartě PP"," &lt;",VLOOKUP(A235,[1]PP!$A:$W,5,FALSE),"&gt;"),IF(AND(COUNTIF(K235:O235,"")&lt;5,J235="",I235=""),CONCATENATE("Doplň: ",$I$4),IF(AND(YEAR(I235)&lt;&gt;$E$2,COUNTIF(I235,"")=0),CONCATENATE("špatně uveden &lt;",$D$2,"&gt; nebo &lt;",$I$4,"&gt;"),IF(OR(AND(OR(COUNTIF(C235,"*a"),COUNTIF(C235,"*ie"),COUNTIF(C235,"*ine"),COUNTIF(D235,"*Á")),F235="muž"),AND(AND(COUNTIF(C235,"&lt;&gt;"&amp;"*a"),COUNTIF(C235,"&lt;&gt;"&amp;"*ie"),COUNTIF(C235,"&lt;&gt;"&amp;"*ine"),COUNTIF(D235,"&lt;&gt;"&amp;"*Á")),F235="žena")),CONCATENATE(C235," ",D235," je ",F235,"?"),""))))))),IF(COUNTIF(B235:O235,"")=14,"",CONCATENATE("Doplň: ",IF(B235="",CONCATENATE($B$4,IF(COUNTIF(C235:G235,"")=0,"",", ")),""),IF(C235="",CONCATENATE($C$4,IF(COUNTIF(D235:G235,"")=0,"",", ")),""),IF(D235="",CONCATENATE($D$4,IF(COUNTIF(E235:G235,"")=0,"",", ")),""),IF(E235="",CONCATENATE($E$4,IF(COUNTIF(F235:G235,"")=0,"",", ")),""),IF(F235="",CONCATENATE($F$4,IF(G235="",", ","")),""),IF(G235="",$G$4,""))))</f>
        <v/>
      </c>
      <c r="AA235" s="30"/>
    </row>
    <row r="236" spans="1:27" ht="16" x14ac:dyDescent="0.35">
      <c r="A236" s="14" t="str">
        <f t="shared" si="12"/>
        <v xml:space="preserve">  </v>
      </c>
      <c r="B236" s="15"/>
      <c r="C236" s="31"/>
      <c r="D236" s="31"/>
      <c r="E236" s="17"/>
      <c r="F236" s="18"/>
      <c r="G236" s="32"/>
      <c r="H236" s="33" t="str">
        <f>IF(G236="","",IF(F236="žena",ROMAN(MATCH(G236+1,'[1]Normy VP'!$Y$27:$Y$33,-1)),ROMAN(MATCH(G236+1,'[1]Normy VP'!$Y$19:$Y$25,-1))))</f>
        <v/>
      </c>
      <c r="I236" s="21"/>
      <c r="J236" s="22"/>
      <c r="K236" s="23"/>
      <c r="L236" s="23"/>
      <c r="M236" s="23"/>
      <c r="N236" s="22"/>
      <c r="O236" s="22"/>
      <c r="P236" s="24" t="str">
        <f>IF(OR($J236="",$J236="odešel"),IF(K236="","",IF($F236="žena",CHOOSE(_xlfn.ARABIC($H236),MATCH(K236+1,'[1]Normy VP'!$C$25:$F$25,-1),MATCH(K236+1,'[1]Normy VP'!$C$26:$F$26,-1),MATCH(K236+1,'[1]Normy VP'!$C$27:$F$27,-1),MATCH(K236+1,'[1]Normy VP'!$C$28:$F$28,-1),MATCH(K236+1,'[1]Normy VP'!$C$29:$F$29,-1),"muž"),CHOOSE(_xlfn.ARABIC($H236),MATCH(K236+1,'[1]Normy VP'!$C$10:$F$10,-1),MATCH(K236+1,'[1]Normy VP'!$C$11:$F$11,-1),MATCH(K236+1,'[1]Normy VP'!$C$12:$F$12,-1),MATCH(K236+1,'[1]Normy VP'!$C$13:$F$13,-1),MATCH(K236+1,'[1]Normy VP'!$C$14:$F$14,-1),""))),"O")</f>
        <v/>
      </c>
      <c r="Q236" s="24" t="str">
        <f>IF(OR($J236="",$J236="odešel"),IF($F236="žena","",IF(L236="","",(CHOOSE(_xlfn.ARABIC($H236),MATCH(L236+1,'[1]Normy VP'!$G$10:$J$10,-1),MATCH(L236+1,'[1]Normy VP'!$G$11:$J$11,-1),MATCH(L236+1,'[1]Normy VP'!$G$12:$J$12,-1),MATCH(L236+1,'[1]Normy VP'!$G$13:$J$13,-1),MATCH(L236+1,'[1]Normy VP'!$G$14:$J$14,-1),"")))),"O")</f>
        <v/>
      </c>
      <c r="R236" s="34" t="str">
        <f t="shared" si="13"/>
        <v>N</v>
      </c>
      <c r="S236" s="24" t="str">
        <f>IF(OR($J236="",$J236="odešel"),IF(M236="","N",IF($F236="žena",CHOOSE(_xlfn.ARABIC($H236),MATCH(M236+1,'[1]Normy VP'!$G$25:$J$25,-1),MATCH(M236+1,'[1]Normy VP'!$G$26:$J$26,-1),MATCH(M236+1,'[1]Normy VP'!$G$27:$J$27,-1),MATCH(M236+1,'[1]Normy VP'!$G$28:$J$28,-1),MATCH(M236+1,'[1]Normy VP'!$G$29:$J$29,-1),"muž"),(CHOOSE(_xlfn.ARABIC($H236),MATCH(M236+1,'[1]Normy VP'!$K$10:$N$10,-1),MATCH(M236+1,'[1]Normy VP'!$K$11:$N$11,-1),MATCH(M236+1,'[1]Normy VP'!$K$12:$N$12,-1),MATCH(M236+1,'[1]Normy VP'!$K$13:$N$13,-1),MATCH(M236+1,'[1]Normy VP'!$K$14:$N$14,-1),"")))),"O")</f>
        <v>N</v>
      </c>
      <c r="T236" s="34" t="str">
        <f t="shared" si="14"/>
        <v>N</v>
      </c>
      <c r="U236" s="24" t="str">
        <f>IF(OR($J236="",$J236="odešel"),IF(N236="","N",IF($F236="žena",CHOOSE(_xlfn.ARABIC($H236),MATCH(N236+1,'[1]Normy VP'!$K$25:$N$25,-1),MATCH(N236+1,'[1]Normy VP'!$K$26:$N$26,-1),MATCH(N236+1,'[1]Normy VP'!$K$27:$N$27,-1),MATCH(N236+1,'[1]Normy VP'!$K$28:$N$28,-1),MATCH(N236+1,'[1]Normy VP'!$K$29:$N$29,-1),MATCH(N236+1,'[1]Normy VP'!$K$30:$N$30,-1)),CHOOSE(_xlfn.ARABIC($H236),MATCH(N236+1,'[1]Normy VP'!$O$10:$R$10,-1),MATCH(N236+1,'[1]Normy VP'!$O$11:$R$11,-1),MATCH(N236+1,'[1]Normy VP'!$O$12:$R$12,-1),MATCH(N236+1,'[1]Normy VP'!$O$13:$R$13,-1),MATCH(N236+1,'[1]Normy VP'!$O$14:$R$14,-1),MATCH(N236+1,'[1]Normy VP'!$O$15:$R$15,-1)))),"O")</f>
        <v>N</v>
      </c>
      <c r="V236" s="26" t="str">
        <f>IF(OR($J236="",$J236="odešel"),IF(O236="","N",IF($F236="žena",CHOOSE(_xlfn.ARABIC($H236),MATCH(O236-1,'[1]Normy VP'!$O$25:$R$25),MATCH(O236-1,'[1]Normy VP'!$O$26:$R$26),MATCH(O236-1,'[1]Normy VP'!$O$27:$R$27),MATCH(O236-1,'[1]Normy VP'!$O$28:$R$28),MATCH(O236-1,'[1]Normy VP'!$O$29:$R$29),MATCH(O236-1,'[1]Normy VP'!$O$30:$R$30)),CHOOSE(_xlfn.ARABIC($H236),MATCH(O236-1,'[1]Normy VP'!$S$10:$V$10),MATCH(O236-1,'[1]Normy VP'!$S$11:$V$11),MATCH(O236-1,'[1]Normy VP'!$S$12:$V$12),MATCH(O236-1,'[1]Normy VP'!$S$13:$V$13),MATCH(O236-1,'[1]Normy VP'!$S$14:$V$14),MATCH(O236-1,'[1]Normy VP'!$S$15:$V$15)))),"O")</f>
        <v>N</v>
      </c>
      <c r="W236" s="34" t="str">
        <f t="shared" si="15"/>
        <v>N</v>
      </c>
      <c r="X236" s="27" t="str">
        <f>IF(COUNTIF(B236:G236,"")&gt;0,"",IF(COUNTIF([1]PP!$A:$A,A236)=0,"neni v PP",IF(OR(Y236="odešel",VLOOKUP(A236,[1]PP!$A:$W,22,FALSE)="odešel"),"odešel",IF(OR(Y236="N",VLOOKUP(A236,[1]PP!$A:$W,22,FALSE)="N"),"N",IF(OR(Y236="C",VLOOKUP(A236,[1]PP!$A:$W,22,FALSE)="C"),"C",IF(OR(Y236="DZO",VLOOKUP(A236,[1]PP!$A:$W,22,FALSE)="DZO"),"DZO",IF(OR(Y236="mise",Y236="disp.",Y236="končí",Y236="DSC",VLOOKUP(A236,[1]PP!$A:$W,22,FALSE)="mise",VLOOKUP(A236,[1]PP!$A:$W,22,FALSE)="disp.",VLOOKUP(A236,[1]PP!$A:$W,22,FALSE)="končí",VLOOKUP(A236,[1]PP!$A:$W,22,FALSE)="DSC"),"jiné",IF(OR(Y236=4,VLOOKUP(A236,[1]PP!$A:$W,22,FALSE)=4),4,IF(OR(Y236=3,VLOOKUP(A236,[1]PP!$A:$W,22,FALSE)=3),3,IF(OR(Y236=2,VLOOKUP(A236,[1]PP!$A:$W,22,FALSE)=2),2,IF(AND(Y236=1,VLOOKUP(A236,[1]PP!$A:$W,22,FALSE)=1),1)))))))))))</f>
        <v/>
      </c>
      <c r="Y236" s="28" t="str">
        <f>IF(COUNTIF(B236:G236,"")&gt;0,"",IF(COUNTIF([1]PP!$A:$A,A236)=0,"neni v PP",IF(VLOOKUP(A236,[1]PP!$A:$W,8,FALSE)="odešel","odešel",IF(F236="","",IF(J236="",IF(OR(T236=4,W236=4),4,IF(AND(T236="N",W236="N"),"N",IF(OR(T236="N",W236="N"),4,ROUND(AVERAGE(T236,W236),0)))),J236)))))</f>
        <v/>
      </c>
      <c r="Z236" s="29" t="str">
        <f>IF(COUNTIF(B236:G236,"")=0,IF(X236="neni v PP",CONCATENATE("ID: &lt;",A236,"&gt; se neshoduje s žádným IDem v kartě PP"),IF(COUNTIF($A:$A,A236)&gt;1,CONCATENATE("ID: &lt;",A236,"&gt; se v kartě VP opakuje. Je nutné tyto IDy od sebe odlišit, např. mezerou za příjmením."),IF(COUNTIF([1]PP!A:A,A236)&gt;1,CONCATENATE("ID: &lt;",A236,"&gt; se v kartě PP opakuje. Je nutné tyto IDy od sebe odlišit, např. mezerou za příjmením."),IF(VLOOKUP(A236,[1]PP!$A:$W,5,FALSE)&lt;&gt;E236,CONCATENATE($E$4," &lt;",E236,"&gt; se neshoduje s jednotkou v kartě PP"," &lt;",VLOOKUP(A236,[1]PP!$A:$W,5,FALSE),"&gt;"),IF(AND(COUNTIF(K236:O236,"")&lt;5,J236="",I236=""),CONCATENATE("Doplň: ",$I$4),IF(AND(YEAR(I236)&lt;&gt;$E$2,COUNTIF(I236,"")=0),CONCATENATE("špatně uveden &lt;",$D$2,"&gt; nebo &lt;",$I$4,"&gt;"),IF(OR(AND(OR(COUNTIF(C236,"*a"),COUNTIF(C236,"*ie"),COUNTIF(C236,"*ine"),COUNTIF(D236,"*Á")),F236="muž"),AND(AND(COUNTIF(C236,"&lt;&gt;"&amp;"*a"),COUNTIF(C236,"&lt;&gt;"&amp;"*ie"),COUNTIF(C236,"&lt;&gt;"&amp;"*ine"),COUNTIF(D236,"&lt;&gt;"&amp;"*Á")),F236="žena")),CONCATENATE(C236," ",D236," je ",F236,"?"),""))))))),IF(COUNTIF(B236:O236,"")=14,"",CONCATENATE("Doplň: ",IF(B236="",CONCATENATE($B$4,IF(COUNTIF(C236:G236,"")=0,"",", ")),""),IF(C236="",CONCATENATE($C$4,IF(COUNTIF(D236:G236,"")=0,"",", ")),""),IF(D236="",CONCATENATE($D$4,IF(COUNTIF(E236:G236,"")=0,"",", ")),""),IF(E236="",CONCATENATE($E$4,IF(COUNTIF(F236:G236,"")=0,"",", ")),""),IF(F236="",CONCATENATE($F$4,IF(G236="",", ","")),""),IF(G236="",$G$4,""))))</f>
        <v/>
      </c>
      <c r="AA236" s="30"/>
    </row>
    <row r="237" spans="1:27" ht="16" x14ac:dyDescent="0.35">
      <c r="A237" s="14" t="str">
        <f t="shared" si="12"/>
        <v xml:space="preserve">  </v>
      </c>
      <c r="B237" s="15"/>
      <c r="C237" s="31"/>
      <c r="D237" s="31"/>
      <c r="E237" s="17"/>
      <c r="F237" s="18"/>
      <c r="G237" s="32"/>
      <c r="H237" s="33" t="str">
        <f>IF(G237="","",IF(F237="žena",ROMAN(MATCH(G237+1,'[1]Normy VP'!$Y$27:$Y$33,-1)),ROMAN(MATCH(G237+1,'[1]Normy VP'!$Y$19:$Y$25,-1))))</f>
        <v/>
      </c>
      <c r="I237" s="21"/>
      <c r="J237" s="22"/>
      <c r="K237" s="23"/>
      <c r="L237" s="23"/>
      <c r="M237" s="23"/>
      <c r="N237" s="22"/>
      <c r="O237" s="22"/>
      <c r="P237" s="24" t="str">
        <f>IF(OR($J237="",$J237="odešel"),IF(K237="","",IF($F237="žena",CHOOSE(_xlfn.ARABIC($H237),MATCH(K237+1,'[1]Normy VP'!$C$25:$F$25,-1),MATCH(K237+1,'[1]Normy VP'!$C$26:$F$26,-1),MATCH(K237+1,'[1]Normy VP'!$C$27:$F$27,-1),MATCH(K237+1,'[1]Normy VP'!$C$28:$F$28,-1),MATCH(K237+1,'[1]Normy VP'!$C$29:$F$29,-1),"muž"),CHOOSE(_xlfn.ARABIC($H237),MATCH(K237+1,'[1]Normy VP'!$C$10:$F$10,-1),MATCH(K237+1,'[1]Normy VP'!$C$11:$F$11,-1),MATCH(K237+1,'[1]Normy VP'!$C$12:$F$12,-1),MATCH(K237+1,'[1]Normy VP'!$C$13:$F$13,-1),MATCH(K237+1,'[1]Normy VP'!$C$14:$F$14,-1),""))),"O")</f>
        <v/>
      </c>
      <c r="Q237" s="24" t="str">
        <f>IF(OR($J237="",$J237="odešel"),IF($F237="žena","",IF(L237="","",(CHOOSE(_xlfn.ARABIC($H237),MATCH(L237+1,'[1]Normy VP'!$G$10:$J$10,-1),MATCH(L237+1,'[1]Normy VP'!$G$11:$J$11,-1),MATCH(L237+1,'[1]Normy VP'!$G$12:$J$12,-1),MATCH(L237+1,'[1]Normy VP'!$G$13:$J$13,-1),MATCH(L237+1,'[1]Normy VP'!$G$14:$J$14,-1),"")))),"O")</f>
        <v/>
      </c>
      <c r="R237" s="34" t="str">
        <f t="shared" si="13"/>
        <v>N</v>
      </c>
      <c r="S237" s="24" t="str">
        <f>IF(OR($J237="",$J237="odešel"),IF(M237="","N",IF($F237="žena",CHOOSE(_xlfn.ARABIC($H237),MATCH(M237+1,'[1]Normy VP'!$G$25:$J$25,-1),MATCH(M237+1,'[1]Normy VP'!$G$26:$J$26,-1),MATCH(M237+1,'[1]Normy VP'!$G$27:$J$27,-1),MATCH(M237+1,'[1]Normy VP'!$G$28:$J$28,-1),MATCH(M237+1,'[1]Normy VP'!$G$29:$J$29,-1),"muž"),(CHOOSE(_xlfn.ARABIC($H237),MATCH(M237+1,'[1]Normy VP'!$K$10:$N$10,-1),MATCH(M237+1,'[1]Normy VP'!$K$11:$N$11,-1),MATCH(M237+1,'[1]Normy VP'!$K$12:$N$12,-1),MATCH(M237+1,'[1]Normy VP'!$K$13:$N$13,-1),MATCH(M237+1,'[1]Normy VP'!$K$14:$N$14,-1),"")))),"O")</f>
        <v>N</v>
      </c>
      <c r="T237" s="34" t="str">
        <f t="shared" si="14"/>
        <v>N</v>
      </c>
      <c r="U237" s="24" t="str">
        <f>IF(OR($J237="",$J237="odešel"),IF(N237="","N",IF($F237="žena",CHOOSE(_xlfn.ARABIC($H237),MATCH(N237+1,'[1]Normy VP'!$K$25:$N$25,-1),MATCH(N237+1,'[1]Normy VP'!$K$26:$N$26,-1),MATCH(N237+1,'[1]Normy VP'!$K$27:$N$27,-1),MATCH(N237+1,'[1]Normy VP'!$K$28:$N$28,-1),MATCH(N237+1,'[1]Normy VP'!$K$29:$N$29,-1),MATCH(N237+1,'[1]Normy VP'!$K$30:$N$30,-1)),CHOOSE(_xlfn.ARABIC($H237),MATCH(N237+1,'[1]Normy VP'!$O$10:$R$10,-1),MATCH(N237+1,'[1]Normy VP'!$O$11:$R$11,-1),MATCH(N237+1,'[1]Normy VP'!$O$12:$R$12,-1),MATCH(N237+1,'[1]Normy VP'!$O$13:$R$13,-1),MATCH(N237+1,'[1]Normy VP'!$O$14:$R$14,-1),MATCH(N237+1,'[1]Normy VP'!$O$15:$R$15,-1)))),"O")</f>
        <v>N</v>
      </c>
      <c r="V237" s="26" t="str">
        <f>IF(OR($J237="",$J237="odešel"),IF(O237="","N",IF($F237="žena",CHOOSE(_xlfn.ARABIC($H237),MATCH(O237-1,'[1]Normy VP'!$O$25:$R$25),MATCH(O237-1,'[1]Normy VP'!$O$26:$R$26),MATCH(O237-1,'[1]Normy VP'!$O$27:$R$27),MATCH(O237-1,'[1]Normy VP'!$O$28:$R$28),MATCH(O237-1,'[1]Normy VP'!$O$29:$R$29),MATCH(O237-1,'[1]Normy VP'!$O$30:$R$30)),CHOOSE(_xlfn.ARABIC($H237),MATCH(O237-1,'[1]Normy VP'!$S$10:$V$10),MATCH(O237-1,'[1]Normy VP'!$S$11:$V$11),MATCH(O237-1,'[1]Normy VP'!$S$12:$V$12),MATCH(O237-1,'[1]Normy VP'!$S$13:$V$13),MATCH(O237-1,'[1]Normy VP'!$S$14:$V$14),MATCH(O237-1,'[1]Normy VP'!$S$15:$V$15)))),"O")</f>
        <v>N</v>
      </c>
      <c r="W237" s="34" t="str">
        <f t="shared" si="15"/>
        <v>N</v>
      </c>
      <c r="X237" s="27" t="str">
        <f>IF(COUNTIF(B237:G237,"")&gt;0,"",IF(COUNTIF([1]PP!$A:$A,A237)=0,"neni v PP",IF(OR(Y237="odešel",VLOOKUP(A237,[1]PP!$A:$W,22,FALSE)="odešel"),"odešel",IF(OR(Y237="N",VLOOKUP(A237,[1]PP!$A:$W,22,FALSE)="N"),"N",IF(OR(Y237="C",VLOOKUP(A237,[1]PP!$A:$W,22,FALSE)="C"),"C",IF(OR(Y237="DZO",VLOOKUP(A237,[1]PP!$A:$W,22,FALSE)="DZO"),"DZO",IF(OR(Y237="mise",Y237="disp.",Y237="končí",Y237="DSC",VLOOKUP(A237,[1]PP!$A:$W,22,FALSE)="mise",VLOOKUP(A237,[1]PP!$A:$W,22,FALSE)="disp.",VLOOKUP(A237,[1]PP!$A:$W,22,FALSE)="končí",VLOOKUP(A237,[1]PP!$A:$W,22,FALSE)="DSC"),"jiné",IF(OR(Y237=4,VLOOKUP(A237,[1]PP!$A:$W,22,FALSE)=4),4,IF(OR(Y237=3,VLOOKUP(A237,[1]PP!$A:$W,22,FALSE)=3),3,IF(OR(Y237=2,VLOOKUP(A237,[1]PP!$A:$W,22,FALSE)=2),2,IF(AND(Y237=1,VLOOKUP(A237,[1]PP!$A:$W,22,FALSE)=1),1)))))))))))</f>
        <v/>
      </c>
      <c r="Y237" s="28" t="str">
        <f>IF(COUNTIF(B237:G237,"")&gt;0,"",IF(COUNTIF([1]PP!$A:$A,A237)=0,"neni v PP",IF(VLOOKUP(A237,[1]PP!$A:$W,8,FALSE)="odešel","odešel",IF(F237="","",IF(J237="",IF(OR(T237=4,W237=4),4,IF(AND(T237="N",W237="N"),"N",IF(OR(T237="N",W237="N"),4,ROUND(AVERAGE(T237,W237),0)))),J237)))))</f>
        <v/>
      </c>
      <c r="Z237" s="29" t="str">
        <f>IF(COUNTIF(B237:G237,"")=0,IF(X237="neni v PP",CONCATENATE("ID: &lt;",A237,"&gt; se neshoduje s žádným IDem v kartě PP"),IF(COUNTIF($A:$A,A237)&gt;1,CONCATENATE("ID: &lt;",A237,"&gt; se v kartě VP opakuje. Je nutné tyto IDy od sebe odlišit, např. mezerou za příjmením."),IF(COUNTIF([1]PP!A:A,A237)&gt;1,CONCATENATE("ID: &lt;",A237,"&gt; se v kartě PP opakuje. Je nutné tyto IDy od sebe odlišit, např. mezerou za příjmením."),IF(VLOOKUP(A237,[1]PP!$A:$W,5,FALSE)&lt;&gt;E237,CONCATENATE($E$4," &lt;",E237,"&gt; se neshoduje s jednotkou v kartě PP"," &lt;",VLOOKUP(A237,[1]PP!$A:$W,5,FALSE),"&gt;"),IF(AND(COUNTIF(K237:O237,"")&lt;5,J237="",I237=""),CONCATENATE("Doplň: ",$I$4),IF(AND(YEAR(I237)&lt;&gt;$E$2,COUNTIF(I237,"")=0),CONCATENATE("špatně uveden &lt;",$D$2,"&gt; nebo &lt;",$I$4,"&gt;"),IF(OR(AND(OR(COUNTIF(C237,"*a"),COUNTIF(C237,"*ie"),COUNTIF(C237,"*ine"),COUNTIF(D237,"*Á")),F237="muž"),AND(AND(COUNTIF(C237,"&lt;&gt;"&amp;"*a"),COUNTIF(C237,"&lt;&gt;"&amp;"*ie"),COUNTIF(C237,"&lt;&gt;"&amp;"*ine"),COUNTIF(D237,"&lt;&gt;"&amp;"*Á")),F237="žena")),CONCATENATE(C237," ",D237," je ",F237,"?"),""))))))),IF(COUNTIF(B237:O237,"")=14,"",CONCATENATE("Doplň: ",IF(B237="",CONCATENATE($B$4,IF(COUNTIF(C237:G237,"")=0,"",", ")),""),IF(C237="",CONCATENATE($C$4,IF(COUNTIF(D237:G237,"")=0,"",", ")),""),IF(D237="",CONCATENATE($D$4,IF(COUNTIF(E237:G237,"")=0,"",", ")),""),IF(E237="",CONCATENATE($E$4,IF(COUNTIF(F237:G237,"")=0,"",", ")),""),IF(F237="",CONCATENATE($F$4,IF(G237="",", ","")),""),IF(G237="",$G$4,""))))</f>
        <v/>
      </c>
      <c r="AA237" s="30"/>
    </row>
    <row r="238" spans="1:27" ht="16" x14ac:dyDescent="0.35">
      <c r="A238" s="14" t="str">
        <f t="shared" si="12"/>
        <v xml:space="preserve">  </v>
      </c>
      <c r="B238" s="15"/>
      <c r="C238" s="31"/>
      <c r="D238" s="31"/>
      <c r="E238" s="17"/>
      <c r="F238" s="18"/>
      <c r="G238" s="32"/>
      <c r="H238" s="33" t="str">
        <f>IF(G238="","",IF(F238="žena",ROMAN(MATCH(G238+1,'[1]Normy VP'!$Y$27:$Y$33,-1)),ROMAN(MATCH(G238+1,'[1]Normy VP'!$Y$19:$Y$25,-1))))</f>
        <v/>
      </c>
      <c r="I238" s="21"/>
      <c r="J238" s="22"/>
      <c r="K238" s="23"/>
      <c r="L238" s="23"/>
      <c r="M238" s="23"/>
      <c r="N238" s="22"/>
      <c r="O238" s="22"/>
      <c r="P238" s="24" t="str">
        <f>IF(OR($J238="",$J238="odešel"),IF(K238="","",IF($F238="žena",CHOOSE(_xlfn.ARABIC($H238),MATCH(K238+1,'[1]Normy VP'!$C$25:$F$25,-1),MATCH(K238+1,'[1]Normy VP'!$C$26:$F$26,-1),MATCH(K238+1,'[1]Normy VP'!$C$27:$F$27,-1),MATCH(K238+1,'[1]Normy VP'!$C$28:$F$28,-1),MATCH(K238+1,'[1]Normy VP'!$C$29:$F$29,-1),"muž"),CHOOSE(_xlfn.ARABIC($H238),MATCH(K238+1,'[1]Normy VP'!$C$10:$F$10,-1),MATCH(K238+1,'[1]Normy VP'!$C$11:$F$11,-1),MATCH(K238+1,'[1]Normy VP'!$C$12:$F$12,-1),MATCH(K238+1,'[1]Normy VP'!$C$13:$F$13,-1),MATCH(K238+1,'[1]Normy VP'!$C$14:$F$14,-1),""))),"O")</f>
        <v/>
      </c>
      <c r="Q238" s="24" t="str">
        <f>IF(OR($J238="",$J238="odešel"),IF($F238="žena","",IF(L238="","",(CHOOSE(_xlfn.ARABIC($H238),MATCH(L238+1,'[1]Normy VP'!$G$10:$J$10,-1),MATCH(L238+1,'[1]Normy VP'!$G$11:$J$11,-1),MATCH(L238+1,'[1]Normy VP'!$G$12:$J$12,-1),MATCH(L238+1,'[1]Normy VP'!$G$13:$J$13,-1),MATCH(L238+1,'[1]Normy VP'!$G$14:$J$14,-1),"")))),"O")</f>
        <v/>
      </c>
      <c r="R238" s="34" t="str">
        <f t="shared" si="13"/>
        <v>N</v>
      </c>
      <c r="S238" s="24" t="str">
        <f>IF(OR($J238="",$J238="odešel"),IF(M238="","N",IF($F238="žena",CHOOSE(_xlfn.ARABIC($H238),MATCH(M238+1,'[1]Normy VP'!$G$25:$J$25,-1),MATCH(M238+1,'[1]Normy VP'!$G$26:$J$26,-1),MATCH(M238+1,'[1]Normy VP'!$G$27:$J$27,-1),MATCH(M238+1,'[1]Normy VP'!$G$28:$J$28,-1),MATCH(M238+1,'[1]Normy VP'!$G$29:$J$29,-1),"muž"),(CHOOSE(_xlfn.ARABIC($H238),MATCH(M238+1,'[1]Normy VP'!$K$10:$N$10,-1),MATCH(M238+1,'[1]Normy VP'!$K$11:$N$11,-1),MATCH(M238+1,'[1]Normy VP'!$K$12:$N$12,-1),MATCH(M238+1,'[1]Normy VP'!$K$13:$N$13,-1),MATCH(M238+1,'[1]Normy VP'!$K$14:$N$14,-1),"")))),"O")</f>
        <v>N</v>
      </c>
      <c r="T238" s="34" t="str">
        <f t="shared" si="14"/>
        <v>N</v>
      </c>
      <c r="U238" s="24" t="str">
        <f>IF(OR($J238="",$J238="odešel"),IF(N238="","N",IF($F238="žena",CHOOSE(_xlfn.ARABIC($H238),MATCH(N238+1,'[1]Normy VP'!$K$25:$N$25,-1),MATCH(N238+1,'[1]Normy VP'!$K$26:$N$26,-1),MATCH(N238+1,'[1]Normy VP'!$K$27:$N$27,-1),MATCH(N238+1,'[1]Normy VP'!$K$28:$N$28,-1),MATCH(N238+1,'[1]Normy VP'!$K$29:$N$29,-1),MATCH(N238+1,'[1]Normy VP'!$K$30:$N$30,-1)),CHOOSE(_xlfn.ARABIC($H238),MATCH(N238+1,'[1]Normy VP'!$O$10:$R$10,-1),MATCH(N238+1,'[1]Normy VP'!$O$11:$R$11,-1),MATCH(N238+1,'[1]Normy VP'!$O$12:$R$12,-1),MATCH(N238+1,'[1]Normy VP'!$O$13:$R$13,-1),MATCH(N238+1,'[1]Normy VP'!$O$14:$R$14,-1),MATCH(N238+1,'[1]Normy VP'!$O$15:$R$15,-1)))),"O")</f>
        <v>N</v>
      </c>
      <c r="V238" s="26" t="str">
        <f>IF(OR($J238="",$J238="odešel"),IF(O238="","N",IF($F238="žena",CHOOSE(_xlfn.ARABIC($H238),MATCH(O238-1,'[1]Normy VP'!$O$25:$R$25),MATCH(O238-1,'[1]Normy VP'!$O$26:$R$26),MATCH(O238-1,'[1]Normy VP'!$O$27:$R$27),MATCH(O238-1,'[1]Normy VP'!$O$28:$R$28),MATCH(O238-1,'[1]Normy VP'!$O$29:$R$29),MATCH(O238-1,'[1]Normy VP'!$O$30:$R$30)),CHOOSE(_xlfn.ARABIC($H238),MATCH(O238-1,'[1]Normy VP'!$S$10:$V$10),MATCH(O238-1,'[1]Normy VP'!$S$11:$V$11),MATCH(O238-1,'[1]Normy VP'!$S$12:$V$12),MATCH(O238-1,'[1]Normy VP'!$S$13:$V$13),MATCH(O238-1,'[1]Normy VP'!$S$14:$V$14),MATCH(O238-1,'[1]Normy VP'!$S$15:$V$15)))),"O")</f>
        <v>N</v>
      </c>
      <c r="W238" s="34" t="str">
        <f t="shared" si="15"/>
        <v>N</v>
      </c>
      <c r="X238" s="27" t="str">
        <f>IF(COUNTIF(B238:G238,"")&gt;0,"",IF(COUNTIF([1]PP!$A:$A,A238)=0,"neni v PP",IF(OR(Y238="odešel",VLOOKUP(A238,[1]PP!$A:$W,22,FALSE)="odešel"),"odešel",IF(OR(Y238="N",VLOOKUP(A238,[1]PP!$A:$W,22,FALSE)="N"),"N",IF(OR(Y238="C",VLOOKUP(A238,[1]PP!$A:$W,22,FALSE)="C"),"C",IF(OR(Y238="DZO",VLOOKUP(A238,[1]PP!$A:$W,22,FALSE)="DZO"),"DZO",IF(OR(Y238="mise",Y238="disp.",Y238="končí",Y238="DSC",VLOOKUP(A238,[1]PP!$A:$W,22,FALSE)="mise",VLOOKUP(A238,[1]PP!$A:$W,22,FALSE)="disp.",VLOOKUP(A238,[1]PP!$A:$W,22,FALSE)="končí",VLOOKUP(A238,[1]PP!$A:$W,22,FALSE)="DSC"),"jiné",IF(OR(Y238=4,VLOOKUP(A238,[1]PP!$A:$W,22,FALSE)=4),4,IF(OR(Y238=3,VLOOKUP(A238,[1]PP!$A:$W,22,FALSE)=3),3,IF(OR(Y238=2,VLOOKUP(A238,[1]PP!$A:$W,22,FALSE)=2),2,IF(AND(Y238=1,VLOOKUP(A238,[1]PP!$A:$W,22,FALSE)=1),1)))))))))))</f>
        <v/>
      </c>
      <c r="Y238" s="28" t="str">
        <f>IF(COUNTIF(B238:G238,"")&gt;0,"",IF(COUNTIF([1]PP!$A:$A,A238)=0,"neni v PP",IF(VLOOKUP(A238,[1]PP!$A:$W,8,FALSE)="odešel","odešel",IF(F238="","",IF(J238="",IF(OR(T238=4,W238=4),4,IF(AND(T238="N",W238="N"),"N",IF(OR(T238="N",W238="N"),4,ROUND(AVERAGE(T238,W238),0)))),J238)))))</f>
        <v/>
      </c>
      <c r="Z238" s="29" t="str">
        <f>IF(COUNTIF(B238:G238,"")=0,IF(X238="neni v PP",CONCATENATE("ID: &lt;",A238,"&gt; se neshoduje s žádným IDem v kartě PP"),IF(COUNTIF($A:$A,A238)&gt;1,CONCATENATE("ID: &lt;",A238,"&gt; se v kartě VP opakuje. Je nutné tyto IDy od sebe odlišit, např. mezerou za příjmením."),IF(COUNTIF([1]PP!A:A,A238)&gt;1,CONCATENATE("ID: &lt;",A238,"&gt; se v kartě PP opakuje. Je nutné tyto IDy od sebe odlišit, např. mezerou za příjmením."),IF(VLOOKUP(A238,[1]PP!$A:$W,5,FALSE)&lt;&gt;E238,CONCATENATE($E$4," &lt;",E238,"&gt; se neshoduje s jednotkou v kartě PP"," &lt;",VLOOKUP(A238,[1]PP!$A:$W,5,FALSE),"&gt;"),IF(AND(COUNTIF(K238:O238,"")&lt;5,J238="",I238=""),CONCATENATE("Doplň: ",$I$4),IF(AND(YEAR(I238)&lt;&gt;$E$2,COUNTIF(I238,"")=0),CONCATENATE("špatně uveden &lt;",$D$2,"&gt; nebo &lt;",$I$4,"&gt;"),IF(OR(AND(OR(COUNTIF(C238,"*a"),COUNTIF(C238,"*ie"),COUNTIF(C238,"*ine"),COUNTIF(D238,"*Á")),F238="muž"),AND(AND(COUNTIF(C238,"&lt;&gt;"&amp;"*a"),COUNTIF(C238,"&lt;&gt;"&amp;"*ie"),COUNTIF(C238,"&lt;&gt;"&amp;"*ine"),COUNTIF(D238,"&lt;&gt;"&amp;"*Á")),F238="žena")),CONCATENATE(C238," ",D238," je ",F238,"?"),""))))))),IF(COUNTIF(B238:O238,"")=14,"",CONCATENATE("Doplň: ",IF(B238="",CONCATENATE($B$4,IF(COUNTIF(C238:G238,"")=0,"",", ")),""),IF(C238="",CONCATENATE($C$4,IF(COUNTIF(D238:G238,"")=0,"",", ")),""),IF(D238="",CONCATENATE($D$4,IF(COUNTIF(E238:G238,"")=0,"",", ")),""),IF(E238="",CONCATENATE($E$4,IF(COUNTIF(F238:G238,"")=0,"",", ")),""),IF(F238="",CONCATENATE($F$4,IF(G238="",", ","")),""),IF(G238="",$G$4,""))))</f>
        <v/>
      </c>
      <c r="AA238" s="30"/>
    </row>
    <row r="239" spans="1:27" ht="16" x14ac:dyDescent="0.35">
      <c r="A239" s="14" t="str">
        <f t="shared" si="12"/>
        <v xml:space="preserve">  </v>
      </c>
      <c r="B239" s="15"/>
      <c r="C239" s="31"/>
      <c r="D239" s="31"/>
      <c r="E239" s="17"/>
      <c r="F239" s="18"/>
      <c r="G239" s="32"/>
      <c r="H239" s="33" t="str">
        <f>IF(G239="","",IF(F239="žena",ROMAN(MATCH(G239+1,'[1]Normy VP'!$Y$27:$Y$33,-1)),ROMAN(MATCH(G239+1,'[1]Normy VP'!$Y$19:$Y$25,-1))))</f>
        <v/>
      </c>
      <c r="I239" s="21"/>
      <c r="J239" s="22"/>
      <c r="K239" s="23"/>
      <c r="L239" s="23"/>
      <c r="M239" s="23"/>
      <c r="N239" s="22"/>
      <c r="O239" s="22"/>
      <c r="P239" s="24" t="str">
        <f>IF(OR($J239="",$J239="odešel"),IF(K239="","",IF($F239="žena",CHOOSE(_xlfn.ARABIC($H239),MATCH(K239+1,'[1]Normy VP'!$C$25:$F$25,-1),MATCH(K239+1,'[1]Normy VP'!$C$26:$F$26,-1),MATCH(K239+1,'[1]Normy VP'!$C$27:$F$27,-1),MATCH(K239+1,'[1]Normy VP'!$C$28:$F$28,-1),MATCH(K239+1,'[1]Normy VP'!$C$29:$F$29,-1),"muž"),CHOOSE(_xlfn.ARABIC($H239),MATCH(K239+1,'[1]Normy VP'!$C$10:$F$10,-1),MATCH(K239+1,'[1]Normy VP'!$C$11:$F$11,-1),MATCH(K239+1,'[1]Normy VP'!$C$12:$F$12,-1),MATCH(K239+1,'[1]Normy VP'!$C$13:$F$13,-1),MATCH(K239+1,'[1]Normy VP'!$C$14:$F$14,-1),""))),"O")</f>
        <v/>
      </c>
      <c r="Q239" s="24" t="str">
        <f>IF(OR($J239="",$J239="odešel"),IF($F239="žena","",IF(L239="","",(CHOOSE(_xlfn.ARABIC($H239),MATCH(L239+1,'[1]Normy VP'!$G$10:$J$10,-1),MATCH(L239+1,'[1]Normy VP'!$G$11:$J$11,-1),MATCH(L239+1,'[1]Normy VP'!$G$12:$J$12,-1),MATCH(L239+1,'[1]Normy VP'!$G$13:$J$13,-1),MATCH(L239+1,'[1]Normy VP'!$G$14:$J$14,-1),"")))),"O")</f>
        <v/>
      </c>
      <c r="R239" s="34" t="str">
        <f t="shared" si="13"/>
        <v>N</v>
      </c>
      <c r="S239" s="24" t="str">
        <f>IF(OR($J239="",$J239="odešel"),IF(M239="","N",IF($F239="žena",CHOOSE(_xlfn.ARABIC($H239),MATCH(M239+1,'[1]Normy VP'!$G$25:$J$25,-1),MATCH(M239+1,'[1]Normy VP'!$G$26:$J$26,-1),MATCH(M239+1,'[1]Normy VP'!$G$27:$J$27,-1),MATCH(M239+1,'[1]Normy VP'!$G$28:$J$28,-1),MATCH(M239+1,'[1]Normy VP'!$G$29:$J$29,-1),"muž"),(CHOOSE(_xlfn.ARABIC($H239),MATCH(M239+1,'[1]Normy VP'!$K$10:$N$10,-1),MATCH(M239+1,'[1]Normy VP'!$K$11:$N$11,-1),MATCH(M239+1,'[1]Normy VP'!$K$12:$N$12,-1),MATCH(M239+1,'[1]Normy VP'!$K$13:$N$13,-1),MATCH(M239+1,'[1]Normy VP'!$K$14:$N$14,-1),"")))),"O")</f>
        <v>N</v>
      </c>
      <c r="T239" s="34" t="str">
        <f t="shared" si="14"/>
        <v>N</v>
      </c>
      <c r="U239" s="24" t="str">
        <f>IF(OR($J239="",$J239="odešel"),IF(N239="","N",IF($F239="žena",CHOOSE(_xlfn.ARABIC($H239),MATCH(N239+1,'[1]Normy VP'!$K$25:$N$25,-1),MATCH(N239+1,'[1]Normy VP'!$K$26:$N$26,-1),MATCH(N239+1,'[1]Normy VP'!$K$27:$N$27,-1),MATCH(N239+1,'[1]Normy VP'!$K$28:$N$28,-1),MATCH(N239+1,'[1]Normy VP'!$K$29:$N$29,-1),MATCH(N239+1,'[1]Normy VP'!$K$30:$N$30,-1)),CHOOSE(_xlfn.ARABIC($H239),MATCH(N239+1,'[1]Normy VP'!$O$10:$R$10,-1),MATCH(N239+1,'[1]Normy VP'!$O$11:$R$11,-1),MATCH(N239+1,'[1]Normy VP'!$O$12:$R$12,-1),MATCH(N239+1,'[1]Normy VP'!$O$13:$R$13,-1),MATCH(N239+1,'[1]Normy VP'!$O$14:$R$14,-1),MATCH(N239+1,'[1]Normy VP'!$O$15:$R$15,-1)))),"O")</f>
        <v>N</v>
      </c>
      <c r="V239" s="26" t="str">
        <f>IF(OR($J239="",$J239="odešel"),IF(O239="","N",IF($F239="žena",CHOOSE(_xlfn.ARABIC($H239),MATCH(O239-1,'[1]Normy VP'!$O$25:$R$25),MATCH(O239-1,'[1]Normy VP'!$O$26:$R$26),MATCH(O239-1,'[1]Normy VP'!$O$27:$R$27),MATCH(O239-1,'[1]Normy VP'!$O$28:$R$28),MATCH(O239-1,'[1]Normy VP'!$O$29:$R$29),MATCH(O239-1,'[1]Normy VP'!$O$30:$R$30)),CHOOSE(_xlfn.ARABIC($H239),MATCH(O239-1,'[1]Normy VP'!$S$10:$V$10),MATCH(O239-1,'[1]Normy VP'!$S$11:$V$11),MATCH(O239-1,'[1]Normy VP'!$S$12:$V$12),MATCH(O239-1,'[1]Normy VP'!$S$13:$V$13),MATCH(O239-1,'[1]Normy VP'!$S$14:$V$14),MATCH(O239-1,'[1]Normy VP'!$S$15:$V$15)))),"O")</f>
        <v>N</v>
      </c>
      <c r="W239" s="34" t="str">
        <f t="shared" si="15"/>
        <v>N</v>
      </c>
      <c r="X239" s="27" t="str">
        <f>IF(COUNTIF(B239:G239,"")&gt;0,"",IF(COUNTIF([1]PP!$A:$A,A239)=0,"neni v PP",IF(OR(Y239="odešel",VLOOKUP(A239,[1]PP!$A:$W,22,FALSE)="odešel"),"odešel",IF(OR(Y239="N",VLOOKUP(A239,[1]PP!$A:$W,22,FALSE)="N"),"N",IF(OR(Y239="C",VLOOKUP(A239,[1]PP!$A:$W,22,FALSE)="C"),"C",IF(OR(Y239="DZO",VLOOKUP(A239,[1]PP!$A:$W,22,FALSE)="DZO"),"DZO",IF(OR(Y239="mise",Y239="disp.",Y239="končí",Y239="DSC",VLOOKUP(A239,[1]PP!$A:$W,22,FALSE)="mise",VLOOKUP(A239,[1]PP!$A:$W,22,FALSE)="disp.",VLOOKUP(A239,[1]PP!$A:$W,22,FALSE)="končí",VLOOKUP(A239,[1]PP!$A:$W,22,FALSE)="DSC"),"jiné",IF(OR(Y239=4,VLOOKUP(A239,[1]PP!$A:$W,22,FALSE)=4),4,IF(OR(Y239=3,VLOOKUP(A239,[1]PP!$A:$W,22,FALSE)=3),3,IF(OR(Y239=2,VLOOKUP(A239,[1]PP!$A:$W,22,FALSE)=2),2,IF(AND(Y239=1,VLOOKUP(A239,[1]PP!$A:$W,22,FALSE)=1),1)))))))))))</f>
        <v/>
      </c>
      <c r="Y239" s="28" t="str">
        <f>IF(COUNTIF(B239:G239,"")&gt;0,"",IF(COUNTIF([1]PP!$A:$A,A239)=0,"neni v PP",IF(VLOOKUP(A239,[1]PP!$A:$W,8,FALSE)="odešel","odešel",IF(F239="","",IF(J239="",IF(OR(T239=4,W239=4),4,IF(AND(T239="N",W239="N"),"N",IF(OR(T239="N",W239="N"),4,ROUND(AVERAGE(T239,W239),0)))),J239)))))</f>
        <v/>
      </c>
      <c r="Z239" s="29" t="str">
        <f>IF(COUNTIF(B239:G239,"")=0,IF(X239="neni v PP",CONCATENATE("ID: &lt;",A239,"&gt; se neshoduje s žádným IDem v kartě PP"),IF(COUNTIF($A:$A,A239)&gt;1,CONCATENATE("ID: &lt;",A239,"&gt; se v kartě VP opakuje. Je nutné tyto IDy od sebe odlišit, např. mezerou za příjmením."),IF(COUNTIF([1]PP!A:A,A239)&gt;1,CONCATENATE("ID: &lt;",A239,"&gt; se v kartě PP opakuje. Je nutné tyto IDy od sebe odlišit, např. mezerou za příjmením."),IF(VLOOKUP(A239,[1]PP!$A:$W,5,FALSE)&lt;&gt;E239,CONCATENATE($E$4," &lt;",E239,"&gt; se neshoduje s jednotkou v kartě PP"," &lt;",VLOOKUP(A239,[1]PP!$A:$W,5,FALSE),"&gt;"),IF(AND(COUNTIF(K239:O239,"")&lt;5,J239="",I239=""),CONCATENATE("Doplň: ",$I$4),IF(AND(YEAR(I239)&lt;&gt;$E$2,COUNTIF(I239,"")=0),CONCATENATE("špatně uveden &lt;",$D$2,"&gt; nebo &lt;",$I$4,"&gt;"),IF(OR(AND(OR(COUNTIF(C239,"*a"),COUNTIF(C239,"*ie"),COUNTIF(C239,"*ine"),COUNTIF(D239,"*Á")),F239="muž"),AND(AND(COUNTIF(C239,"&lt;&gt;"&amp;"*a"),COUNTIF(C239,"&lt;&gt;"&amp;"*ie"),COUNTIF(C239,"&lt;&gt;"&amp;"*ine"),COUNTIF(D239,"&lt;&gt;"&amp;"*Á")),F239="žena")),CONCATENATE(C239," ",D239," je ",F239,"?"),""))))))),IF(COUNTIF(B239:O239,"")=14,"",CONCATENATE("Doplň: ",IF(B239="",CONCATENATE($B$4,IF(COUNTIF(C239:G239,"")=0,"",", ")),""),IF(C239="",CONCATENATE($C$4,IF(COUNTIF(D239:G239,"")=0,"",", ")),""),IF(D239="",CONCATENATE($D$4,IF(COUNTIF(E239:G239,"")=0,"",", ")),""),IF(E239="",CONCATENATE($E$4,IF(COUNTIF(F239:G239,"")=0,"",", ")),""),IF(F239="",CONCATENATE($F$4,IF(G239="",", ","")),""),IF(G239="",$G$4,""))))</f>
        <v/>
      </c>
      <c r="AA239" s="30"/>
    </row>
    <row r="240" spans="1:27" ht="16" x14ac:dyDescent="0.35">
      <c r="A240" s="14" t="str">
        <f t="shared" si="12"/>
        <v xml:space="preserve">  </v>
      </c>
      <c r="B240" s="15"/>
      <c r="C240" s="31"/>
      <c r="D240" s="31"/>
      <c r="E240" s="17"/>
      <c r="F240" s="18"/>
      <c r="G240" s="32"/>
      <c r="H240" s="33" t="str">
        <f>IF(G240="","",IF(F240="žena",ROMAN(MATCH(G240+1,'[1]Normy VP'!$Y$27:$Y$33,-1)),ROMAN(MATCH(G240+1,'[1]Normy VP'!$Y$19:$Y$25,-1))))</f>
        <v/>
      </c>
      <c r="I240" s="21"/>
      <c r="J240" s="22"/>
      <c r="K240" s="23"/>
      <c r="L240" s="23"/>
      <c r="M240" s="23"/>
      <c r="N240" s="22"/>
      <c r="O240" s="22"/>
      <c r="P240" s="24" t="str">
        <f>IF(OR($J240="",$J240="odešel"),IF(K240="","",IF($F240="žena",CHOOSE(_xlfn.ARABIC($H240),MATCH(K240+1,'[1]Normy VP'!$C$25:$F$25,-1),MATCH(K240+1,'[1]Normy VP'!$C$26:$F$26,-1),MATCH(K240+1,'[1]Normy VP'!$C$27:$F$27,-1),MATCH(K240+1,'[1]Normy VP'!$C$28:$F$28,-1),MATCH(K240+1,'[1]Normy VP'!$C$29:$F$29,-1),"muž"),CHOOSE(_xlfn.ARABIC($H240),MATCH(K240+1,'[1]Normy VP'!$C$10:$F$10,-1),MATCH(K240+1,'[1]Normy VP'!$C$11:$F$11,-1),MATCH(K240+1,'[1]Normy VP'!$C$12:$F$12,-1),MATCH(K240+1,'[1]Normy VP'!$C$13:$F$13,-1),MATCH(K240+1,'[1]Normy VP'!$C$14:$F$14,-1),""))),"O")</f>
        <v/>
      </c>
      <c r="Q240" s="24" t="str">
        <f>IF(OR($J240="",$J240="odešel"),IF($F240="žena","",IF(L240="","",(CHOOSE(_xlfn.ARABIC($H240),MATCH(L240+1,'[1]Normy VP'!$G$10:$J$10,-1),MATCH(L240+1,'[1]Normy VP'!$G$11:$J$11,-1),MATCH(L240+1,'[1]Normy VP'!$G$12:$J$12,-1),MATCH(L240+1,'[1]Normy VP'!$G$13:$J$13,-1),MATCH(L240+1,'[1]Normy VP'!$G$14:$J$14,-1),"")))),"O")</f>
        <v/>
      </c>
      <c r="R240" s="34" t="str">
        <f t="shared" si="13"/>
        <v>N</v>
      </c>
      <c r="S240" s="24" t="str">
        <f>IF(OR($J240="",$J240="odešel"),IF(M240="","N",IF($F240="žena",CHOOSE(_xlfn.ARABIC($H240),MATCH(M240+1,'[1]Normy VP'!$G$25:$J$25,-1),MATCH(M240+1,'[1]Normy VP'!$G$26:$J$26,-1),MATCH(M240+1,'[1]Normy VP'!$G$27:$J$27,-1),MATCH(M240+1,'[1]Normy VP'!$G$28:$J$28,-1),MATCH(M240+1,'[1]Normy VP'!$G$29:$J$29,-1),"muž"),(CHOOSE(_xlfn.ARABIC($H240),MATCH(M240+1,'[1]Normy VP'!$K$10:$N$10,-1),MATCH(M240+1,'[1]Normy VP'!$K$11:$N$11,-1),MATCH(M240+1,'[1]Normy VP'!$K$12:$N$12,-1),MATCH(M240+1,'[1]Normy VP'!$K$13:$N$13,-1),MATCH(M240+1,'[1]Normy VP'!$K$14:$N$14,-1),"")))),"O")</f>
        <v>N</v>
      </c>
      <c r="T240" s="34" t="str">
        <f t="shared" si="14"/>
        <v>N</v>
      </c>
      <c r="U240" s="24" t="str">
        <f>IF(OR($J240="",$J240="odešel"),IF(N240="","N",IF($F240="žena",CHOOSE(_xlfn.ARABIC($H240),MATCH(N240+1,'[1]Normy VP'!$K$25:$N$25,-1),MATCH(N240+1,'[1]Normy VP'!$K$26:$N$26,-1),MATCH(N240+1,'[1]Normy VP'!$K$27:$N$27,-1),MATCH(N240+1,'[1]Normy VP'!$K$28:$N$28,-1),MATCH(N240+1,'[1]Normy VP'!$K$29:$N$29,-1),MATCH(N240+1,'[1]Normy VP'!$K$30:$N$30,-1)),CHOOSE(_xlfn.ARABIC($H240),MATCH(N240+1,'[1]Normy VP'!$O$10:$R$10,-1),MATCH(N240+1,'[1]Normy VP'!$O$11:$R$11,-1),MATCH(N240+1,'[1]Normy VP'!$O$12:$R$12,-1),MATCH(N240+1,'[1]Normy VP'!$O$13:$R$13,-1),MATCH(N240+1,'[1]Normy VP'!$O$14:$R$14,-1),MATCH(N240+1,'[1]Normy VP'!$O$15:$R$15,-1)))),"O")</f>
        <v>N</v>
      </c>
      <c r="V240" s="26" t="str">
        <f>IF(OR($J240="",$J240="odešel"),IF(O240="","N",IF($F240="žena",CHOOSE(_xlfn.ARABIC($H240),MATCH(O240-1,'[1]Normy VP'!$O$25:$R$25),MATCH(O240-1,'[1]Normy VP'!$O$26:$R$26),MATCH(O240-1,'[1]Normy VP'!$O$27:$R$27),MATCH(O240-1,'[1]Normy VP'!$O$28:$R$28),MATCH(O240-1,'[1]Normy VP'!$O$29:$R$29),MATCH(O240-1,'[1]Normy VP'!$O$30:$R$30)),CHOOSE(_xlfn.ARABIC($H240),MATCH(O240-1,'[1]Normy VP'!$S$10:$V$10),MATCH(O240-1,'[1]Normy VP'!$S$11:$V$11),MATCH(O240-1,'[1]Normy VP'!$S$12:$V$12),MATCH(O240-1,'[1]Normy VP'!$S$13:$V$13),MATCH(O240-1,'[1]Normy VP'!$S$14:$V$14),MATCH(O240-1,'[1]Normy VP'!$S$15:$V$15)))),"O")</f>
        <v>N</v>
      </c>
      <c r="W240" s="34" t="str">
        <f t="shared" si="15"/>
        <v>N</v>
      </c>
      <c r="X240" s="27" t="str">
        <f>IF(COUNTIF(B240:G240,"")&gt;0,"",IF(COUNTIF([1]PP!$A:$A,A240)=0,"neni v PP",IF(OR(Y240="odešel",VLOOKUP(A240,[1]PP!$A:$W,22,FALSE)="odešel"),"odešel",IF(OR(Y240="N",VLOOKUP(A240,[1]PP!$A:$W,22,FALSE)="N"),"N",IF(OR(Y240="C",VLOOKUP(A240,[1]PP!$A:$W,22,FALSE)="C"),"C",IF(OR(Y240="DZO",VLOOKUP(A240,[1]PP!$A:$W,22,FALSE)="DZO"),"DZO",IF(OR(Y240="mise",Y240="disp.",Y240="končí",Y240="DSC",VLOOKUP(A240,[1]PP!$A:$W,22,FALSE)="mise",VLOOKUP(A240,[1]PP!$A:$W,22,FALSE)="disp.",VLOOKUP(A240,[1]PP!$A:$W,22,FALSE)="končí",VLOOKUP(A240,[1]PP!$A:$W,22,FALSE)="DSC"),"jiné",IF(OR(Y240=4,VLOOKUP(A240,[1]PP!$A:$W,22,FALSE)=4),4,IF(OR(Y240=3,VLOOKUP(A240,[1]PP!$A:$W,22,FALSE)=3),3,IF(OR(Y240=2,VLOOKUP(A240,[1]PP!$A:$W,22,FALSE)=2),2,IF(AND(Y240=1,VLOOKUP(A240,[1]PP!$A:$W,22,FALSE)=1),1)))))))))))</f>
        <v/>
      </c>
      <c r="Y240" s="28" t="str">
        <f>IF(COUNTIF(B240:G240,"")&gt;0,"",IF(COUNTIF([1]PP!$A:$A,A240)=0,"neni v PP",IF(VLOOKUP(A240,[1]PP!$A:$W,8,FALSE)="odešel","odešel",IF(F240="","",IF(J240="",IF(OR(T240=4,W240=4),4,IF(AND(T240="N",W240="N"),"N",IF(OR(T240="N",W240="N"),4,ROUND(AVERAGE(T240,W240),0)))),J240)))))</f>
        <v/>
      </c>
      <c r="Z240" s="29" t="str">
        <f>IF(COUNTIF(B240:G240,"")=0,IF(X240="neni v PP",CONCATENATE("ID: &lt;",A240,"&gt; se neshoduje s žádným IDem v kartě PP"),IF(COUNTIF($A:$A,A240)&gt;1,CONCATENATE("ID: &lt;",A240,"&gt; se v kartě VP opakuje. Je nutné tyto IDy od sebe odlišit, např. mezerou za příjmením."),IF(COUNTIF([1]PP!A:A,A240)&gt;1,CONCATENATE("ID: &lt;",A240,"&gt; se v kartě PP opakuje. Je nutné tyto IDy od sebe odlišit, např. mezerou za příjmením."),IF(VLOOKUP(A240,[1]PP!$A:$W,5,FALSE)&lt;&gt;E240,CONCATENATE($E$4," &lt;",E240,"&gt; se neshoduje s jednotkou v kartě PP"," &lt;",VLOOKUP(A240,[1]PP!$A:$W,5,FALSE),"&gt;"),IF(AND(COUNTIF(K240:O240,"")&lt;5,J240="",I240=""),CONCATENATE("Doplň: ",$I$4),IF(AND(YEAR(I240)&lt;&gt;$E$2,COUNTIF(I240,"")=0),CONCATENATE("špatně uveden &lt;",$D$2,"&gt; nebo &lt;",$I$4,"&gt;"),IF(OR(AND(OR(COUNTIF(C240,"*a"),COUNTIF(C240,"*ie"),COUNTIF(C240,"*ine"),COUNTIF(D240,"*Á")),F240="muž"),AND(AND(COUNTIF(C240,"&lt;&gt;"&amp;"*a"),COUNTIF(C240,"&lt;&gt;"&amp;"*ie"),COUNTIF(C240,"&lt;&gt;"&amp;"*ine"),COUNTIF(D240,"&lt;&gt;"&amp;"*Á")),F240="žena")),CONCATENATE(C240," ",D240," je ",F240,"?"),""))))))),IF(COUNTIF(B240:O240,"")=14,"",CONCATENATE("Doplň: ",IF(B240="",CONCATENATE($B$4,IF(COUNTIF(C240:G240,"")=0,"",", ")),""),IF(C240="",CONCATENATE($C$4,IF(COUNTIF(D240:G240,"")=0,"",", ")),""),IF(D240="",CONCATENATE($D$4,IF(COUNTIF(E240:G240,"")=0,"",", ")),""),IF(E240="",CONCATENATE($E$4,IF(COUNTIF(F240:G240,"")=0,"",", ")),""),IF(F240="",CONCATENATE($F$4,IF(G240="",", ","")),""),IF(G240="",$G$4,""))))</f>
        <v/>
      </c>
      <c r="AA240" s="30"/>
    </row>
    <row r="241" spans="1:27" ht="16" x14ac:dyDescent="0.35">
      <c r="A241" s="14" t="str">
        <f t="shared" si="12"/>
        <v xml:space="preserve">  </v>
      </c>
      <c r="B241" s="15"/>
      <c r="C241" s="31"/>
      <c r="D241" s="31"/>
      <c r="E241" s="17"/>
      <c r="F241" s="18"/>
      <c r="G241" s="32"/>
      <c r="H241" s="33" t="str">
        <f>IF(G241="","",IF(F241="žena",ROMAN(MATCH(G241+1,'[1]Normy VP'!$Y$27:$Y$33,-1)),ROMAN(MATCH(G241+1,'[1]Normy VP'!$Y$19:$Y$25,-1))))</f>
        <v/>
      </c>
      <c r="I241" s="21"/>
      <c r="J241" s="22"/>
      <c r="K241" s="23"/>
      <c r="L241" s="23"/>
      <c r="M241" s="23"/>
      <c r="N241" s="22"/>
      <c r="O241" s="22"/>
      <c r="P241" s="24" t="str">
        <f>IF(OR($J241="",$J241="odešel"),IF(K241="","",IF($F241="žena",CHOOSE(_xlfn.ARABIC($H241),MATCH(K241+1,'[1]Normy VP'!$C$25:$F$25,-1),MATCH(K241+1,'[1]Normy VP'!$C$26:$F$26,-1),MATCH(K241+1,'[1]Normy VP'!$C$27:$F$27,-1),MATCH(K241+1,'[1]Normy VP'!$C$28:$F$28,-1),MATCH(K241+1,'[1]Normy VP'!$C$29:$F$29,-1),"muž"),CHOOSE(_xlfn.ARABIC($H241),MATCH(K241+1,'[1]Normy VP'!$C$10:$F$10,-1),MATCH(K241+1,'[1]Normy VP'!$C$11:$F$11,-1),MATCH(K241+1,'[1]Normy VP'!$C$12:$F$12,-1),MATCH(K241+1,'[1]Normy VP'!$C$13:$F$13,-1),MATCH(K241+1,'[1]Normy VP'!$C$14:$F$14,-1),""))),"O")</f>
        <v/>
      </c>
      <c r="Q241" s="24" t="str">
        <f>IF(OR($J241="",$J241="odešel"),IF($F241="žena","",IF(L241="","",(CHOOSE(_xlfn.ARABIC($H241),MATCH(L241+1,'[1]Normy VP'!$G$10:$J$10,-1),MATCH(L241+1,'[1]Normy VP'!$G$11:$J$11,-1),MATCH(L241+1,'[1]Normy VP'!$G$12:$J$12,-1),MATCH(L241+1,'[1]Normy VP'!$G$13:$J$13,-1),MATCH(L241+1,'[1]Normy VP'!$G$14:$J$14,-1),"")))),"O")</f>
        <v/>
      </c>
      <c r="R241" s="34" t="str">
        <f t="shared" si="13"/>
        <v>N</v>
      </c>
      <c r="S241" s="24" t="str">
        <f>IF(OR($J241="",$J241="odešel"),IF(M241="","N",IF($F241="žena",CHOOSE(_xlfn.ARABIC($H241),MATCH(M241+1,'[1]Normy VP'!$G$25:$J$25,-1),MATCH(M241+1,'[1]Normy VP'!$G$26:$J$26,-1),MATCH(M241+1,'[1]Normy VP'!$G$27:$J$27,-1),MATCH(M241+1,'[1]Normy VP'!$G$28:$J$28,-1),MATCH(M241+1,'[1]Normy VP'!$G$29:$J$29,-1),"muž"),(CHOOSE(_xlfn.ARABIC($H241),MATCH(M241+1,'[1]Normy VP'!$K$10:$N$10,-1),MATCH(M241+1,'[1]Normy VP'!$K$11:$N$11,-1),MATCH(M241+1,'[1]Normy VP'!$K$12:$N$12,-1),MATCH(M241+1,'[1]Normy VP'!$K$13:$N$13,-1),MATCH(M241+1,'[1]Normy VP'!$K$14:$N$14,-1),"")))),"O")</f>
        <v>N</v>
      </c>
      <c r="T241" s="34" t="str">
        <f t="shared" si="14"/>
        <v>N</v>
      </c>
      <c r="U241" s="24" t="str">
        <f>IF(OR($J241="",$J241="odešel"),IF(N241="","N",IF($F241="žena",CHOOSE(_xlfn.ARABIC($H241),MATCH(N241+1,'[1]Normy VP'!$K$25:$N$25,-1),MATCH(N241+1,'[1]Normy VP'!$K$26:$N$26,-1),MATCH(N241+1,'[1]Normy VP'!$K$27:$N$27,-1),MATCH(N241+1,'[1]Normy VP'!$K$28:$N$28,-1),MATCH(N241+1,'[1]Normy VP'!$K$29:$N$29,-1),MATCH(N241+1,'[1]Normy VP'!$K$30:$N$30,-1)),CHOOSE(_xlfn.ARABIC($H241),MATCH(N241+1,'[1]Normy VP'!$O$10:$R$10,-1),MATCH(N241+1,'[1]Normy VP'!$O$11:$R$11,-1),MATCH(N241+1,'[1]Normy VP'!$O$12:$R$12,-1),MATCH(N241+1,'[1]Normy VP'!$O$13:$R$13,-1),MATCH(N241+1,'[1]Normy VP'!$O$14:$R$14,-1),MATCH(N241+1,'[1]Normy VP'!$O$15:$R$15,-1)))),"O")</f>
        <v>N</v>
      </c>
      <c r="V241" s="26" t="str">
        <f>IF(OR($J241="",$J241="odešel"),IF(O241="","N",IF($F241="žena",CHOOSE(_xlfn.ARABIC($H241),MATCH(O241-1,'[1]Normy VP'!$O$25:$R$25),MATCH(O241-1,'[1]Normy VP'!$O$26:$R$26),MATCH(O241-1,'[1]Normy VP'!$O$27:$R$27),MATCH(O241-1,'[1]Normy VP'!$O$28:$R$28),MATCH(O241-1,'[1]Normy VP'!$O$29:$R$29),MATCH(O241-1,'[1]Normy VP'!$O$30:$R$30)),CHOOSE(_xlfn.ARABIC($H241),MATCH(O241-1,'[1]Normy VP'!$S$10:$V$10),MATCH(O241-1,'[1]Normy VP'!$S$11:$V$11),MATCH(O241-1,'[1]Normy VP'!$S$12:$V$12),MATCH(O241-1,'[1]Normy VP'!$S$13:$V$13),MATCH(O241-1,'[1]Normy VP'!$S$14:$V$14),MATCH(O241-1,'[1]Normy VP'!$S$15:$V$15)))),"O")</f>
        <v>N</v>
      </c>
      <c r="W241" s="34" t="str">
        <f t="shared" si="15"/>
        <v>N</v>
      </c>
      <c r="X241" s="27" t="str">
        <f>IF(COUNTIF(B241:G241,"")&gt;0,"",IF(COUNTIF([1]PP!$A:$A,A241)=0,"neni v PP",IF(OR(Y241="odešel",VLOOKUP(A241,[1]PP!$A:$W,22,FALSE)="odešel"),"odešel",IF(OR(Y241="N",VLOOKUP(A241,[1]PP!$A:$W,22,FALSE)="N"),"N",IF(OR(Y241="C",VLOOKUP(A241,[1]PP!$A:$W,22,FALSE)="C"),"C",IF(OR(Y241="DZO",VLOOKUP(A241,[1]PP!$A:$W,22,FALSE)="DZO"),"DZO",IF(OR(Y241="mise",Y241="disp.",Y241="končí",Y241="DSC",VLOOKUP(A241,[1]PP!$A:$W,22,FALSE)="mise",VLOOKUP(A241,[1]PP!$A:$W,22,FALSE)="disp.",VLOOKUP(A241,[1]PP!$A:$W,22,FALSE)="končí",VLOOKUP(A241,[1]PP!$A:$W,22,FALSE)="DSC"),"jiné",IF(OR(Y241=4,VLOOKUP(A241,[1]PP!$A:$W,22,FALSE)=4),4,IF(OR(Y241=3,VLOOKUP(A241,[1]PP!$A:$W,22,FALSE)=3),3,IF(OR(Y241=2,VLOOKUP(A241,[1]PP!$A:$W,22,FALSE)=2),2,IF(AND(Y241=1,VLOOKUP(A241,[1]PP!$A:$W,22,FALSE)=1),1)))))))))))</f>
        <v/>
      </c>
      <c r="Y241" s="28" t="str">
        <f>IF(COUNTIF(B241:G241,"")&gt;0,"",IF(COUNTIF([1]PP!$A:$A,A241)=0,"neni v PP",IF(VLOOKUP(A241,[1]PP!$A:$W,8,FALSE)="odešel","odešel",IF(F241="","",IF(J241="",IF(OR(T241=4,W241=4),4,IF(AND(T241="N",W241="N"),"N",IF(OR(T241="N",W241="N"),4,ROUND(AVERAGE(T241,W241),0)))),J241)))))</f>
        <v/>
      </c>
      <c r="Z241" s="29" t="str">
        <f>IF(COUNTIF(B241:G241,"")=0,IF(X241="neni v PP",CONCATENATE("ID: &lt;",A241,"&gt; se neshoduje s žádným IDem v kartě PP"),IF(COUNTIF($A:$A,A241)&gt;1,CONCATENATE("ID: &lt;",A241,"&gt; se v kartě VP opakuje. Je nutné tyto IDy od sebe odlišit, např. mezerou za příjmením."),IF(COUNTIF([1]PP!A:A,A241)&gt;1,CONCATENATE("ID: &lt;",A241,"&gt; se v kartě PP opakuje. Je nutné tyto IDy od sebe odlišit, např. mezerou za příjmením."),IF(VLOOKUP(A241,[1]PP!$A:$W,5,FALSE)&lt;&gt;E241,CONCATENATE($E$4," &lt;",E241,"&gt; se neshoduje s jednotkou v kartě PP"," &lt;",VLOOKUP(A241,[1]PP!$A:$W,5,FALSE),"&gt;"),IF(AND(COUNTIF(K241:O241,"")&lt;5,J241="",I241=""),CONCATENATE("Doplň: ",$I$4),IF(AND(YEAR(I241)&lt;&gt;$E$2,COUNTIF(I241,"")=0),CONCATENATE("špatně uveden &lt;",$D$2,"&gt; nebo &lt;",$I$4,"&gt;"),IF(OR(AND(OR(COUNTIF(C241,"*a"),COUNTIF(C241,"*ie"),COUNTIF(C241,"*ine"),COUNTIF(D241,"*Á")),F241="muž"),AND(AND(COUNTIF(C241,"&lt;&gt;"&amp;"*a"),COUNTIF(C241,"&lt;&gt;"&amp;"*ie"),COUNTIF(C241,"&lt;&gt;"&amp;"*ine"),COUNTIF(D241,"&lt;&gt;"&amp;"*Á")),F241="žena")),CONCATENATE(C241," ",D241," je ",F241,"?"),""))))))),IF(COUNTIF(B241:O241,"")=14,"",CONCATENATE("Doplň: ",IF(B241="",CONCATENATE($B$4,IF(COUNTIF(C241:G241,"")=0,"",", ")),""),IF(C241="",CONCATENATE($C$4,IF(COUNTIF(D241:G241,"")=0,"",", ")),""),IF(D241="",CONCATENATE($D$4,IF(COUNTIF(E241:G241,"")=0,"",", ")),""),IF(E241="",CONCATENATE($E$4,IF(COUNTIF(F241:G241,"")=0,"",", ")),""),IF(F241="",CONCATENATE($F$4,IF(G241="",", ","")),""),IF(G241="",$G$4,""))))</f>
        <v/>
      </c>
      <c r="AA241" s="30"/>
    </row>
    <row r="242" spans="1:27" ht="16" x14ac:dyDescent="0.35">
      <c r="A242" s="14" t="str">
        <f t="shared" si="12"/>
        <v xml:space="preserve">  </v>
      </c>
      <c r="B242" s="15"/>
      <c r="C242" s="31"/>
      <c r="D242" s="31"/>
      <c r="E242" s="17"/>
      <c r="F242" s="18"/>
      <c r="G242" s="32"/>
      <c r="H242" s="33" t="str">
        <f>IF(G242="","",IF(F242="žena",ROMAN(MATCH(G242+1,'[1]Normy VP'!$Y$27:$Y$33,-1)),ROMAN(MATCH(G242+1,'[1]Normy VP'!$Y$19:$Y$25,-1))))</f>
        <v/>
      </c>
      <c r="I242" s="21"/>
      <c r="J242" s="22"/>
      <c r="K242" s="23"/>
      <c r="L242" s="23"/>
      <c r="M242" s="23"/>
      <c r="N242" s="22"/>
      <c r="O242" s="22"/>
      <c r="P242" s="24" t="str">
        <f>IF(OR($J242="",$J242="odešel"),IF(K242="","",IF($F242="žena",CHOOSE(_xlfn.ARABIC($H242),MATCH(K242+1,'[1]Normy VP'!$C$25:$F$25,-1),MATCH(K242+1,'[1]Normy VP'!$C$26:$F$26,-1),MATCH(K242+1,'[1]Normy VP'!$C$27:$F$27,-1),MATCH(K242+1,'[1]Normy VP'!$C$28:$F$28,-1),MATCH(K242+1,'[1]Normy VP'!$C$29:$F$29,-1),"muž"),CHOOSE(_xlfn.ARABIC($H242),MATCH(K242+1,'[1]Normy VP'!$C$10:$F$10,-1),MATCH(K242+1,'[1]Normy VP'!$C$11:$F$11,-1),MATCH(K242+1,'[1]Normy VP'!$C$12:$F$12,-1),MATCH(K242+1,'[1]Normy VP'!$C$13:$F$13,-1),MATCH(K242+1,'[1]Normy VP'!$C$14:$F$14,-1),""))),"O")</f>
        <v/>
      </c>
      <c r="Q242" s="24" t="str">
        <f>IF(OR($J242="",$J242="odešel"),IF($F242="žena","",IF(L242="","",(CHOOSE(_xlfn.ARABIC($H242),MATCH(L242+1,'[1]Normy VP'!$G$10:$J$10,-1),MATCH(L242+1,'[1]Normy VP'!$G$11:$J$11,-1),MATCH(L242+1,'[1]Normy VP'!$G$12:$J$12,-1),MATCH(L242+1,'[1]Normy VP'!$G$13:$J$13,-1),MATCH(L242+1,'[1]Normy VP'!$G$14:$J$14,-1),"")))),"O")</f>
        <v/>
      </c>
      <c r="R242" s="34" t="str">
        <f t="shared" si="13"/>
        <v>N</v>
      </c>
      <c r="S242" s="24" t="str">
        <f>IF(OR($J242="",$J242="odešel"),IF(M242="","N",IF($F242="žena",CHOOSE(_xlfn.ARABIC($H242),MATCH(M242+1,'[1]Normy VP'!$G$25:$J$25,-1),MATCH(M242+1,'[1]Normy VP'!$G$26:$J$26,-1),MATCH(M242+1,'[1]Normy VP'!$G$27:$J$27,-1),MATCH(M242+1,'[1]Normy VP'!$G$28:$J$28,-1),MATCH(M242+1,'[1]Normy VP'!$G$29:$J$29,-1),"muž"),(CHOOSE(_xlfn.ARABIC($H242),MATCH(M242+1,'[1]Normy VP'!$K$10:$N$10,-1),MATCH(M242+1,'[1]Normy VP'!$K$11:$N$11,-1),MATCH(M242+1,'[1]Normy VP'!$K$12:$N$12,-1),MATCH(M242+1,'[1]Normy VP'!$K$13:$N$13,-1),MATCH(M242+1,'[1]Normy VP'!$K$14:$N$14,-1),"")))),"O")</f>
        <v>N</v>
      </c>
      <c r="T242" s="34" t="str">
        <f t="shared" si="14"/>
        <v>N</v>
      </c>
      <c r="U242" s="24" t="str">
        <f>IF(OR($J242="",$J242="odešel"),IF(N242="","N",IF($F242="žena",CHOOSE(_xlfn.ARABIC($H242),MATCH(N242+1,'[1]Normy VP'!$K$25:$N$25,-1),MATCH(N242+1,'[1]Normy VP'!$K$26:$N$26,-1),MATCH(N242+1,'[1]Normy VP'!$K$27:$N$27,-1),MATCH(N242+1,'[1]Normy VP'!$K$28:$N$28,-1),MATCH(N242+1,'[1]Normy VP'!$K$29:$N$29,-1),MATCH(N242+1,'[1]Normy VP'!$K$30:$N$30,-1)),CHOOSE(_xlfn.ARABIC($H242),MATCH(N242+1,'[1]Normy VP'!$O$10:$R$10,-1),MATCH(N242+1,'[1]Normy VP'!$O$11:$R$11,-1),MATCH(N242+1,'[1]Normy VP'!$O$12:$R$12,-1),MATCH(N242+1,'[1]Normy VP'!$O$13:$R$13,-1),MATCH(N242+1,'[1]Normy VP'!$O$14:$R$14,-1),MATCH(N242+1,'[1]Normy VP'!$O$15:$R$15,-1)))),"O")</f>
        <v>N</v>
      </c>
      <c r="V242" s="26" t="str">
        <f>IF(OR($J242="",$J242="odešel"),IF(O242="","N",IF($F242="žena",CHOOSE(_xlfn.ARABIC($H242),MATCH(O242-1,'[1]Normy VP'!$O$25:$R$25),MATCH(O242-1,'[1]Normy VP'!$O$26:$R$26),MATCH(O242-1,'[1]Normy VP'!$O$27:$R$27),MATCH(O242-1,'[1]Normy VP'!$O$28:$R$28),MATCH(O242-1,'[1]Normy VP'!$O$29:$R$29),MATCH(O242-1,'[1]Normy VP'!$O$30:$R$30)),CHOOSE(_xlfn.ARABIC($H242),MATCH(O242-1,'[1]Normy VP'!$S$10:$V$10),MATCH(O242-1,'[1]Normy VP'!$S$11:$V$11),MATCH(O242-1,'[1]Normy VP'!$S$12:$V$12),MATCH(O242-1,'[1]Normy VP'!$S$13:$V$13),MATCH(O242-1,'[1]Normy VP'!$S$14:$V$14),MATCH(O242-1,'[1]Normy VP'!$S$15:$V$15)))),"O")</f>
        <v>N</v>
      </c>
      <c r="W242" s="34" t="str">
        <f t="shared" si="15"/>
        <v>N</v>
      </c>
      <c r="X242" s="27" t="str">
        <f>IF(COUNTIF(B242:G242,"")&gt;0,"",IF(COUNTIF([1]PP!$A:$A,A242)=0,"neni v PP",IF(OR(Y242="odešel",VLOOKUP(A242,[1]PP!$A:$W,22,FALSE)="odešel"),"odešel",IF(OR(Y242="N",VLOOKUP(A242,[1]PP!$A:$W,22,FALSE)="N"),"N",IF(OR(Y242="C",VLOOKUP(A242,[1]PP!$A:$W,22,FALSE)="C"),"C",IF(OR(Y242="DZO",VLOOKUP(A242,[1]PP!$A:$W,22,FALSE)="DZO"),"DZO",IF(OR(Y242="mise",Y242="disp.",Y242="končí",Y242="DSC",VLOOKUP(A242,[1]PP!$A:$W,22,FALSE)="mise",VLOOKUP(A242,[1]PP!$A:$W,22,FALSE)="disp.",VLOOKUP(A242,[1]PP!$A:$W,22,FALSE)="končí",VLOOKUP(A242,[1]PP!$A:$W,22,FALSE)="DSC"),"jiné",IF(OR(Y242=4,VLOOKUP(A242,[1]PP!$A:$W,22,FALSE)=4),4,IF(OR(Y242=3,VLOOKUP(A242,[1]PP!$A:$W,22,FALSE)=3),3,IF(OR(Y242=2,VLOOKUP(A242,[1]PP!$A:$W,22,FALSE)=2),2,IF(AND(Y242=1,VLOOKUP(A242,[1]PP!$A:$W,22,FALSE)=1),1)))))))))))</f>
        <v/>
      </c>
      <c r="Y242" s="28" t="str">
        <f>IF(COUNTIF(B242:G242,"")&gt;0,"",IF(COUNTIF([1]PP!$A:$A,A242)=0,"neni v PP",IF(VLOOKUP(A242,[1]PP!$A:$W,8,FALSE)="odešel","odešel",IF(F242="","",IF(J242="",IF(OR(T242=4,W242=4),4,IF(AND(T242="N",W242="N"),"N",IF(OR(T242="N",W242="N"),4,ROUND(AVERAGE(T242,W242),0)))),J242)))))</f>
        <v/>
      </c>
      <c r="Z242" s="29"/>
      <c r="AA242" s="30"/>
    </row>
    <row r="243" spans="1:27" ht="16" x14ac:dyDescent="0.35">
      <c r="A243" s="14" t="str">
        <f t="shared" si="12"/>
        <v xml:space="preserve">  </v>
      </c>
      <c r="B243" s="15"/>
      <c r="C243" s="31"/>
      <c r="D243" s="31"/>
      <c r="E243" s="17"/>
      <c r="F243" s="18"/>
      <c r="G243" s="32"/>
      <c r="H243" s="33" t="str">
        <f>IF(G243="","",IF(F243="žena",ROMAN(MATCH(G243+1,'[1]Normy VP'!$Y$27:$Y$33,-1)),ROMAN(MATCH(G243+1,'[1]Normy VP'!$Y$19:$Y$25,-1))))</f>
        <v/>
      </c>
      <c r="I243" s="21"/>
      <c r="J243" s="22"/>
      <c r="K243" s="23"/>
      <c r="L243" s="23"/>
      <c r="M243" s="23"/>
      <c r="N243" s="22"/>
      <c r="O243" s="22"/>
      <c r="P243" s="24" t="str">
        <f>IF(OR($J243="",$J243="odešel"),IF(K243="","",IF($F243="žena",CHOOSE(_xlfn.ARABIC($H243),MATCH(K243+1,'[1]Normy VP'!$C$25:$F$25,-1),MATCH(K243+1,'[1]Normy VP'!$C$26:$F$26,-1),MATCH(K243+1,'[1]Normy VP'!$C$27:$F$27,-1),MATCH(K243+1,'[1]Normy VP'!$C$28:$F$28,-1),MATCH(K243+1,'[1]Normy VP'!$C$29:$F$29,-1),"muž"),CHOOSE(_xlfn.ARABIC($H243),MATCH(K243+1,'[1]Normy VP'!$C$10:$F$10,-1),MATCH(K243+1,'[1]Normy VP'!$C$11:$F$11,-1),MATCH(K243+1,'[1]Normy VP'!$C$12:$F$12,-1),MATCH(K243+1,'[1]Normy VP'!$C$13:$F$13,-1),MATCH(K243+1,'[1]Normy VP'!$C$14:$F$14,-1),""))),"O")</f>
        <v/>
      </c>
      <c r="Q243" s="24" t="str">
        <f>IF(OR($J243="",$J243="odešel"),IF($F243="žena","",IF(L243="","",(CHOOSE(_xlfn.ARABIC($H243),MATCH(L243+1,'[1]Normy VP'!$G$10:$J$10,-1),MATCH(L243+1,'[1]Normy VP'!$G$11:$J$11,-1),MATCH(L243+1,'[1]Normy VP'!$G$12:$J$12,-1),MATCH(L243+1,'[1]Normy VP'!$G$13:$J$13,-1),MATCH(L243+1,'[1]Normy VP'!$G$14:$J$14,-1),"")))),"O")</f>
        <v/>
      </c>
      <c r="R243" s="34" t="str">
        <f t="shared" si="13"/>
        <v>N</v>
      </c>
      <c r="S243" s="24" t="str">
        <f>IF(OR($J243="",$J243="odešel"),IF(M243="","N",IF($F243="žena",CHOOSE(_xlfn.ARABIC($H243),MATCH(M243+1,'[1]Normy VP'!$G$25:$J$25,-1),MATCH(M243+1,'[1]Normy VP'!$G$26:$J$26,-1),MATCH(M243+1,'[1]Normy VP'!$G$27:$J$27,-1),MATCH(M243+1,'[1]Normy VP'!$G$28:$J$28,-1),MATCH(M243+1,'[1]Normy VP'!$G$29:$J$29,-1),"muž"),(CHOOSE(_xlfn.ARABIC($H243),MATCH(M243+1,'[1]Normy VP'!$K$10:$N$10,-1),MATCH(M243+1,'[1]Normy VP'!$K$11:$N$11,-1),MATCH(M243+1,'[1]Normy VP'!$K$12:$N$12,-1),MATCH(M243+1,'[1]Normy VP'!$K$13:$N$13,-1),MATCH(M243+1,'[1]Normy VP'!$K$14:$N$14,-1),"")))),"O")</f>
        <v>N</v>
      </c>
      <c r="T243" s="34" t="str">
        <f t="shared" si="14"/>
        <v>N</v>
      </c>
      <c r="U243" s="24" t="str">
        <f>IF(OR($J243="",$J243="odešel"),IF(N243="","N",IF($F243="žena",CHOOSE(_xlfn.ARABIC($H243),MATCH(N243+1,'[1]Normy VP'!$K$25:$N$25,-1),MATCH(N243+1,'[1]Normy VP'!$K$26:$N$26,-1),MATCH(N243+1,'[1]Normy VP'!$K$27:$N$27,-1),MATCH(N243+1,'[1]Normy VP'!$K$28:$N$28,-1),MATCH(N243+1,'[1]Normy VP'!$K$29:$N$29,-1),MATCH(N243+1,'[1]Normy VP'!$K$30:$N$30,-1)),CHOOSE(_xlfn.ARABIC($H243),MATCH(N243+1,'[1]Normy VP'!$O$10:$R$10,-1),MATCH(N243+1,'[1]Normy VP'!$O$11:$R$11,-1),MATCH(N243+1,'[1]Normy VP'!$O$12:$R$12,-1),MATCH(N243+1,'[1]Normy VP'!$O$13:$R$13,-1),MATCH(N243+1,'[1]Normy VP'!$O$14:$R$14,-1),MATCH(N243+1,'[1]Normy VP'!$O$15:$R$15,-1)))),"O")</f>
        <v>N</v>
      </c>
      <c r="V243" s="26" t="str">
        <f>IF(OR($J243="",$J243="odešel"),IF(O243="","N",IF($F243="žena",CHOOSE(_xlfn.ARABIC($H243),MATCH(O243-1,'[1]Normy VP'!$O$25:$R$25),MATCH(O243-1,'[1]Normy VP'!$O$26:$R$26),MATCH(O243-1,'[1]Normy VP'!$O$27:$R$27),MATCH(O243-1,'[1]Normy VP'!$O$28:$R$28),MATCH(O243-1,'[1]Normy VP'!$O$29:$R$29),MATCH(O243-1,'[1]Normy VP'!$O$30:$R$30)),CHOOSE(_xlfn.ARABIC($H243),MATCH(O243-1,'[1]Normy VP'!$S$10:$V$10),MATCH(O243-1,'[1]Normy VP'!$S$11:$V$11),MATCH(O243-1,'[1]Normy VP'!$S$12:$V$12),MATCH(O243-1,'[1]Normy VP'!$S$13:$V$13),MATCH(O243-1,'[1]Normy VP'!$S$14:$V$14),MATCH(O243-1,'[1]Normy VP'!$S$15:$V$15)))),"O")</f>
        <v>N</v>
      </c>
      <c r="W243" s="34" t="str">
        <f t="shared" si="15"/>
        <v>N</v>
      </c>
      <c r="X243" s="27" t="str">
        <f>IF(COUNTIF(B243:G243,"")&gt;0,"",IF(COUNTIF([1]PP!$A:$A,A243)=0,"neni v PP",IF(OR(Y243="odešel",VLOOKUP(A243,[1]PP!$A:$W,22,FALSE)="odešel"),"odešel",IF(OR(Y243="N",VLOOKUP(A243,[1]PP!$A:$W,22,FALSE)="N"),"N",IF(OR(Y243="C",VLOOKUP(A243,[1]PP!$A:$W,22,FALSE)="C"),"C",IF(OR(Y243="DZO",VLOOKUP(A243,[1]PP!$A:$W,22,FALSE)="DZO"),"DZO",IF(OR(Y243="mise",Y243="disp.",Y243="končí",Y243="DSC",VLOOKUP(A243,[1]PP!$A:$W,22,FALSE)="mise",VLOOKUP(A243,[1]PP!$A:$W,22,FALSE)="disp.",VLOOKUP(A243,[1]PP!$A:$W,22,FALSE)="končí",VLOOKUP(A243,[1]PP!$A:$W,22,FALSE)="DSC"),"jiné",IF(OR(Y243=4,VLOOKUP(A243,[1]PP!$A:$W,22,FALSE)=4),4,IF(OR(Y243=3,VLOOKUP(A243,[1]PP!$A:$W,22,FALSE)=3),3,IF(OR(Y243=2,VLOOKUP(A243,[1]PP!$A:$W,22,FALSE)=2),2,IF(AND(Y243=1,VLOOKUP(A243,[1]PP!$A:$W,22,FALSE)=1),1)))))))))))</f>
        <v/>
      </c>
      <c r="Y243" s="28" t="str">
        <f>IF(COUNTIF(B243:G243,"")&gt;0,"",IF(COUNTIF([1]PP!$A:$A,A243)=0,"neni v PP",IF(VLOOKUP(A243,[1]PP!$A:$W,8,FALSE)="odešel","odešel",IF(F243="","",IF(J243="",IF(OR(T243=4,W243=4),4,IF(AND(T243="N",W243="N"),"N",IF(OR(T243="N",W243="N"),4,ROUND(AVERAGE(T243,W243),0)))),J243)))))</f>
        <v/>
      </c>
      <c r="Z243" s="29" t="str">
        <f>IF(COUNTIF(B243:G243,"")=0,IF(X243="neni v PP",CONCATENATE("ID: &lt;",A243,"&gt; se neshoduje s žádným IDem v kartě PP"),IF(COUNTIF($A:$A,A243)&gt;1,CONCATENATE("ID: &lt;",A243,"&gt; se v kartě VP opakuje. Je nutné tyto IDy od sebe odlišit, např. mezerou za příjmením."),IF(COUNTIF([1]PP!A:A,A243)&gt;1,CONCATENATE("ID: &lt;",A243,"&gt; se v kartě PP opakuje. Je nutné tyto IDy od sebe odlišit, např. mezerou za příjmením."),IF(VLOOKUP(A243,[1]PP!$A:$W,5,FALSE)&lt;&gt;E243,CONCATENATE($E$4," &lt;",E243,"&gt; se neshoduje s jednotkou v kartě PP"," &lt;",VLOOKUP(A243,[1]PP!$A:$W,5,FALSE),"&gt;"),IF(AND(COUNTIF(K243:O243,"")&lt;5,J243="",I243=""),CONCATENATE("Doplň: ",$I$4),IF(AND(YEAR(I243)&lt;&gt;$E$2,COUNTIF(I243,"")=0),CONCATENATE("špatně uveden &lt;",$D$2,"&gt; nebo &lt;",$I$4,"&gt;"),IF(OR(AND(OR(COUNTIF(C243,"*a"),COUNTIF(C243,"*ie"),COUNTIF(C243,"*ine"),COUNTIF(D243,"*Á")),F243="muž"),AND(AND(COUNTIF(C243,"&lt;&gt;"&amp;"*a"),COUNTIF(C243,"&lt;&gt;"&amp;"*ie"),COUNTIF(C243,"&lt;&gt;"&amp;"*ine"),COUNTIF(D243,"&lt;&gt;"&amp;"*Á")),F243="žena")),CONCATENATE(C243," ",D243," je ",F243,"?"),""))))))),IF(COUNTIF(B243:O243,"")=14,"",CONCATENATE("Doplň: ",IF(B243="",CONCATENATE($B$4,IF(COUNTIF(C243:G243,"")=0,"",", ")),""),IF(C243="",CONCATENATE($C$4,IF(COUNTIF(D243:G243,"")=0,"",", ")),""),IF(D243="",CONCATENATE($D$4,IF(COUNTIF(E243:G243,"")=0,"",", ")),""),IF(E243="",CONCATENATE($E$4,IF(COUNTIF(F243:G243,"")=0,"",", ")),""),IF(F243="",CONCATENATE($F$4,IF(G243="",", ","")),""),IF(G243="",$G$4,""))))</f>
        <v/>
      </c>
      <c r="AA243" s="30"/>
    </row>
    <row r="244" spans="1:27" ht="16" x14ac:dyDescent="0.35">
      <c r="A244" s="14" t="str">
        <f t="shared" si="12"/>
        <v xml:space="preserve">  </v>
      </c>
      <c r="B244" s="15"/>
      <c r="C244" s="31"/>
      <c r="D244" s="31"/>
      <c r="E244" s="17"/>
      <c r="F244" s="18"/>
      <c r="G244" s="32"/>
      <c r="H244" s="33" t="str">
        <f>IF(G244="","",IF(F244="žena",ROMAN(MATCH(G244+1,'[1]Normy VP'!$Y$27:$Y$33,-1)),ROMAN(MATCH(G244+1,'[1]Normy VP'!$Y$19:$Y$25,-1))))</f>
        <v/>
      </c>
      <c r="I244" s="21"/>
      <c r="J244" s="22"/>
      <c r="K244" s="23"/>
      <c r="L244" s="23"/>
      <c r="M244" s="23"/>
      <c r="N244" s="22"/>
      <c r="O244" s="22"/>
      <c r="P244" s="24" t="str">
        <f>IF(OR($J244="",$J244="odešel"),IF(K244="","",IF($F244="žena",CHOOSE(_xlfn.ARABIC($H244),MATCH(K244+1,'[1]Normy VP'!$C$25:$F$25,-1),MATCH(K244+1,'[1]Normy VP'!$C$26:$F$26,-1),MATCH(K244+1,'[1]Normy VP'!$C$27:$F$27,-1),MATCH(K244+1,'[1]Normy VP'!$C$28:$F$28,-1),MATCH(K244+1,'[1]Normy VP'!$C$29:$F$29,-1),"muž"),CHOOSE(_xlfn.ARABIC($H244),MATCH(K244+1,'[1]Normy VP'!$C$10:$F$10,-1),MATCH(K244+1,'[1]Normy VP'!$C$11:$F$11,-1),MATCH(K244+1,'[1]Normy VP'!$C$12:$F$12,-1),MATCH(K244+1,'[1]Normy VP'!$C$13:$F$13,-1),MATCH(K244+1,'[1]Normy VP'!$C$14:$F$14,-1),""))),"O")</f>
        <v/>
      </c>
      <c r="Q244" s="24" t="str">
        <f>IF(OR($J244="",$J244="odešel"),IF($F244="žena","",IF(L244="","",(CHOOSE(_xlfn.ARABIC($H244),MATCH(L244+1,'[1]Normy VP'!$G$10:$J$10,-1),MATCH(L244+1,'[1]Normy VP'!$G$11:$J$11,-1),MATCH(L244+1,'[1]Normy VP'!$G$12:$J$12,-1),MATCH(L244+1,'[1]Normy VP'!$G$13:$J$13,-1),MATCH(L244+1,'[1]Normy VP'!$G$14:$J$14,-1),"")))),"O")</f>
        <v/>
      </c>
      <c r="R244" s="34" t="str">
        <f t="shared" si="13"/>
        <v>N</v>
      </c>
      <c r="S244" s="24" t="str">
        <f>IF(OR($J244="",$J244="odešel"),IF(M244="","N",IF($F244="žena",CHOOSE(_xlfn.ARABIC($H244),MATCH(M244+1,'[1]Normy VP'!$G$25:$J$25,-1),MATCH(M244+1,'[1]Normy VP'!$G$26:$J$26,-1),MATCH(M244+1,'[1]Normy VP'!$G$27:$J$27,-1),MATCH(M244+1,'[1]Normy VP'!$G$28:$J$28,-1),MATCH(M244+1,'[1]Normy VP'!$G$29:$J$29,-1),"muž"),(CHOOSE(_xlfn.ARABIC($H244),MATCH(M244+1,'[1]Normy VP'!$K$10:$N$10,-1),MATCH(M244+1,'[1]Normy VP'!$K$11:$N$11,-1),MATCH(M244+1,'[1]Normy VP'!$K$12:$N$12,-1),MATCH(M244+1,'[1]Normy VP'!$K$13:$N$13,-1),MATCH(M244+1,'[1]Normy VP'!$K$14:$N$14,-1),"")))),"O")</f>
        <v>N</v>
      </c>
      <c r="T244" s="34" t="str">
        <f t="shared" si="14"/>
        <v>N</v>
      </c>
      <c r="U244" s="24" t="str">
        <f>IF(OR($J244="",$J244="odešel"),IF(N244="","N",IF($F244="žena",CHOOSE(_xlfn.ARABIC($H244),MATCH(N244+1,'[1]Normy VP'!$K$25:$N$25,-1),MATCH(N244+1,'[1]Normy VP'!$K$26:$N$26,-1),MATCH(N244+1,'[1]Normy VP'!$K$27:$N$27,-1),MATCH(N244+1,'[1]Normy VP'!$K$28:$N$28,-1),MATCH(N244+1,'[1]Normy VP'!$K$29:$N$29,-1),MATCH(N244+1,'[1]Normy VP'!$K$30:$N$30,-1)),CHOOSE(_xlfn.ARABIC($H244),MATCH(N244+1,'[1]Normy VP'!$O$10:$R$10,-1),MATCH(N244+1,'[1]Normy VP'!$O$11:$R$11,-1),MATCH(N244+1,'[1]Normy VP'!$O$12:$R$12,-1),MATCH(N244+1,'[1]Normy VP'!$O$13:$R$13,-1),MATCH(N244+1,'[1]Normy VP'!$O$14:$R$14,-1),MATCH(N244+1,'[1]Normy VP'!$O$15:$R$15,-1)))),"O")</f>
        <v>N</v>
      </c>
      <c r="V244" s="26" t="str">
        <f>IF(OR($J244="",$J244="odešel"),IF(O244="","N",IF($F244="žena",CHOOSE(_xlfn.ARABIC($H244),MATCH(O244-1,'[1]Normy VP'!$O$25:$R$25),MATCH(O244-1,'[1]Normy VP'!$O$26:$R$26),MATCH(O244-1,'[1]Normy VP'!$O$27:$R$27),MATCH(O244-1,'[1]Normy VP'!$O$28:$R$28),MATCH(O244-1,'[1]Normy VP'!$O$29:$R$29),MATCH(O244-1,'[1]Normy VP'!$O$30:$R$30)),CHOOSE(_xlfn.ARABIC($H244),MATCH(O244-1,'[1]Normy VP'!$S$10:$V$10),MATCH(O244-1,'[1]Normy VP'!$S$11:$V$11),MATCH(O244-1,'[1]Normy VP'!$S$12:$V$12),MATCH(O244-1,'[1]Normy VP'!$S$13:$V$13),MATCH(O244-1,'[1]Normy VP'!$S$14:$V$14),MATCH(O244-1,'[1]Normy VP'!$S$15:$V$15)))),"O")</f>
        <v>N</v>
      </c>
      <c r="W244" s="34" t="str">
        <f t="shared" si="15"/>
        <v>N</v>
      </c>
      <c r="X244" s="27" t="str">
        <f>IF(COUNTIF(B244:G244,"")&gt;0,"",IF(COUNTIF([1]PP!$A:$A,A244)=0,"neni v PP",IF(OR(Y244="odešel",VLOOKUP(A244,[1]PP!$A:$W,22,FALSE)="odešel"),"odešel",IF(OR(Y244="N",VLOOKUP(A244,[1]PP!$A:$W,22,FALSE)="N"),"N",IF(OR(Y244="C",VLOOKUP(A244,[1]PP!$A:$W,22,FALSE)="C"),"C",IF(OR(Y244="DZO",VLOOKUP(A244,[1]PP!$A:$W,22,FALSE)="DZO"),"DZO",IF(OR(Y244="mise",Y244="disp.",Y244="končí",Y244="DSC",VLOOKUP(A244,[1]PP!$A:$W,22,FALSE)="mise",VLOOKUP(A244,[1]PP!$A:$W,22,FALSE)="disp.",VLOOKUP(A244,[1]PP!$A:$W,22,FALSE)="končí",VLOOKUP(A244,[1]PP!$A:$W,22,FALSE)="DSC"),"jiné",IF(OR(Y244=4,VLOOKUP(A244,[1]PP!$A:$W,22,FALSE)=4),4,IF(OR(Y244=3,VLOOKUP(A244,[1]PP!$A:$W,22,FALSE)=3),3,IF(OR(Y244=2,VLOOKUP(A244,[1]PP!$A:$W,22,FALSE)=2),2,IF(AND(Y244=1,VLOOKUP(A244,[1]PP!$A:$W,22,FALSE)=1),1)))))))))))</f>
        <v/>
      </c>
      <c r="Y244" s="28" t="str">
        <f>IF(COUNTIF(B244:G244,"")&gt;0,"",IF(COUNTIF([1]PP!$A:$A,A244)=0,"neni v PP",IF(VLOOKUP(A244,[1]PP!$A:$W,8,FALSE)="odešel","odešel",IF(F244="","",IF(J244="",IF(OR(T244=4,W244=4),4,IF(AND(T244="N",W244="N"),"N",IF(OR(T244="N",W244="N"),4,ROUND(AVERAGE(T244,W244),0)))),J244)))))</f>
        <v/>
      </c>
      <c r="Z244" s="29" t="str">
        <f>IF(COUNTIF(B244:G244,"")=0,IF(X244="neni v PP",CONCATENATE("ID: &lt;",A244,"&gt; se neshoduje s žádným IDem v kartě PP"),IF(COUNTIF($A:$A,A244)&gt;1,CONCATENATE("ID: &lt;",A244,"&gt; se v kartě VP opakuje. Je nutné tyto IDy od sebe odlišit, např. mezerou za příjmením."),IF(COUNTIF([1]PP!A:A,A244)&gt;1,CONCATENATE("ID: &lt;",A244,"&gt; se v kartě PP opakuje. Je nutné tyto IDy od sebe odlišit, např. mezerou za příjmením."),IF(VLOOKUP(A244,[1]PP!$A:$W,5,FALSE)&lt;&gt;E244,CONCATENATE($E$4," &lt;",E244,"&gt; se neshoduje s jednotkou v kartě PP"," &lt;",VLOOKUP(A244,[1]PP!$A:$W,5,FALSE),"&gt;"),IF(AND(COUNTIF(K244:O244,"")&lt;5,J244="",I244=""),CONCATENATE("Doplň: ",$I$4),IF(AND(YEAR(I244)&lt;&gt;$E$2,COUNTIF(I244,"")=0),CONCATENATE("špatně uveden &lt;",$D$2,"&gt; nebo &lt;",$I$4,"&gt;"),IF(OR(AND(OR(COUNTIF(C244,"*a"),COUNTIF(C244,"*ie"),COUNTIF(C244,"*ine"),COUNTIF(D244,"*Á")),F244="muž"),AND(AND(COUNTIF(C244,"&lt;&gt;"&amp;"*a"),COUNTIF(C244,"&lt;&gt;"&amp;"*ie"),COUNTIF(C244,"&lt;&gt;"&amp;"*ine"),COUNTIF(D244,"&lt;&gt;"&amp;"*Á")),F244="žena")),CONCATENATE(C244," ",D244," je ",F244,"?"),""))))))),IF(COUNTIF(B244:O244,"")=14,"",CONCATENATE("Doplň: ",IF(B244="",CONCATENATE($B$4,IF(COUNTIF(C244:G244,"")=0,"",", ")),""),IF(C244="",CONCATENATE($C$4,IF(COUNTIF(D244:G244,"")=0,"",", ")),""),IF(D244="",CONCATENATE($D$4,IF(COUNTIF(E244:G244,"")=0,"",", ")),""),IF(E244="",CONCATENATE($E$4,IF(COUNTIF(F244:G244,"")=0,"",", ")),""),IF(F244="",CONCATENATE($F$4,IF(G244="",", ","")),""),IF(G244="",$G$4,""))))</f>
        <v/>
      </c>
      <c r="AA244" s="30"/>
    </row>
    <row r="245" spans="1:27" ht="16" x14ac:dyDescent="0.35">
      <c r="A245" s="14" t="str">
        <f t="shared" si="12"/>
        <v xml:space="preserve">  </v>
      </c>
      <c r="B245" s="15"/>
      <c r="C245" s="31"/>
      <c r="D245" s="31"/>
      <c r="E245" s="17"/>
      <c r="F245" s="18"/>
      <c r="G245" s="32"/>
      <c r="H245" s="33" t="str">
        <f>IF(G245="","",IF(F245="žena",ROMAN(MATCH(G245+1,'[1]Normy VP'!$Y$27:$Y$33,-1)),ROMAN(MATCH(G245+1,'[1]Normy VP'!$Y$19:$Y$25,-1))))</f>
        <v/>
      </c>
      <c r="I245" s="21"/>
      <c r="J245" s="22"/>
      <c r="K245" s="23"/>
      <c r="L245" s="23"/>
      <c r="M245" s="23"/>
      <c r="N245" s="22"/>
      <c r="O245" s="22"/>
      <c r="P245" s="24" t="str">
        <f>IF(OR($J245="",$J245="odešel"),IF(K245="","",IF($F245="žena",CHOOSE(_xlfn.ARABIC($H245),MATCH(K245+1,'[1]Normy VP'!$C$25:$F$25,-1),MATCH(K245+1,'[1]Normy VP'!$C$26:$F$26,-1),MATCH(K245+1,'[1]Normy VP'!$C$27:$F$27,-1),MATCH(K245+1,'[1]Normy VP'!$C$28:$F$28,-1),MATCH(K245+1,'[1]Normy VP'!$C$29:$F$29,-1),"muž"),CHOOSE(_xlfn.ARABIC($H245),MATCH(K245+1,'[1]Normy VP'!$C$10:$F$10,-1),MATCH(K245+1,'[1]Normy VP'!$C$11:$F$11,-1),MATCH(K245+1,'[1]Normy VP'!$C$12:$F$12,-1),MATCH(K245+1,'[1]Normy VP'!$C$13:$F$13,-1),MATCH(K245+1,'[1]Normy VP'!$C$14:$F$14,-1),""))),"O")</f>
        <v/>
      </c>
      <c r="Q245" s="24" t="str">
        <f>IF(OR($J245="",$J245="odešel"),IF($F245="žena","",IF(L245="","",(CHOOSE(_xlfn.ARABIC($H245),MATCH(L245+1,'[1]Normy VP'!$G$10:$J$10,-1),MATCH(L245+1,'[1]Normy VP'!$G$11:$J$11,-1),MATCH(L245+1,'[1]Normy VP'!$G$12:$J$12,-1),MATCH(L245+1,'[1]Normy VP'!$G$13:$J$13,-1),MATCH(L245+1,'[1]Normy VP'!$G$14:$J$14,-1),"")))),"O")</f>
        <v/>
      </c>
      <c r="R245" s="34" t="str">
        <f t="shared" si="13"/>
        <v>N</v>
      </c>
      <c r="S245" s="24" t="str">
        <f>IF(OR($J245="",$J245="odešel"),IF(M245="","N",IF($F245="žena",CHOOSE(_xlfn.ARABIC($H245),MATCH(M245+1,'[1]Normy VP'!$G$25:$J$25,-1),MATCH(M245+1,'[1]Normy VP'!$G$26:$J$26,-1),MATCH(M245+1,'[1]Normy VP'!$G$27:$J$27,-1),MATCH(M245+1,'[1]Normy VP'!$G$28:$J$28,-1),MATCH(M245+1,'[1]Normy VP'!$G$29:$J$29,-1),"muž"),(CHOOSE(_xlfn.ARABIC($H245),MATCH(M245+1,'[1]Normy VP'!$K$10:$N$10,-1),MATCH(M245+1,'[1]Normy VP'!$K$11:$N$11,-1),MATCH(M245+1,'[1]Normy VP'!$K$12:$N$12,-1),MATCH(M245+1,'[1]Normy VP'!$K$13:$N$13,-1),MATCH(M245+1,'[1]Normy VP'!$K$14:$N$14,-1),"")))),"O")</f>
        <v>N</v>
      </c>
      <c r="T245" s="34" t="str">
        <f t="shared" si="14"/>
        <v>N</v>
      </c>
      <c r="U245" s="24" t="str">
        <f>IF(OR($J245="",$J245="odešel"),IF(N245="","N",IF($F245="žena",CHOOSE(_xlfn.ARABIC($H245),MATCH(N245+1,'[1]Normy VP'!$K$25:$N$25,-1),MATCH(N245+1,'[1]Normy VP'!$K$26:$N$26,-1),MATCH(N245+1,'[1]Normy VP'!$K$27:$N$27,-1),MATCH(N245+1,'[1]Normy VP'!$K$28:$N$28,-1),MATCH(N245+1,'[1]Normy VP'!$K$29:$N$29,-1),MATCH(N245+1,'[1]Normy VP'!$K$30:$N$30,-1)),CHOOSE(_xlfn.ARABIC($H245),MATCH(N245+1,'[1]Normy VP'!$O$10:$R$10,-1),MATCH(N245+1,'[1]Normy VP'!$O$11:$R$11,-1),MATCH(N245+1,'[1]Normy VP'!$O$12:$R$12,-1),MATCH(N245+1,'[1]Normy VP'!$O$13:$R$13,-1),MATCH(N245+1,'[1]Normy VP'!$O$14:$R$14,-1),MATCH(N245+1,'[1]Normy VP'!$O$15:$R$15,-1)))),"O")</f>
        <v>N</v>
      </c>
      <c r="V245" s="26" t="str">
        <f>IF(OR($J245="",$J245="odešel"),IF(O245="","N",IF($F245="žena",CHOOSE(_xlfn.ARABIC($H245),MATCH(O245-1,'[1]Normy VP'!$O$25:$R$25),MATCH(O245-1,'[1]Normy VP'!$O$26:$R$26),MATCH(O245-1,'[1]Normy VP'!$O$27:$R$27),MATCH(O245-1,'[1]Normy VP'!$O$28:$R$28),MATCH(O245-1,'[1]Normy VP'!$O$29:$R$29),MATCH(O245-1,'[1]Normy VP'!$O$30:$R$30)),CHOOSE(_xlfn.ARABIC($H245),MATCH(O245-1,'[1]Normy VP'!$S$10:$V$10),MATCH(O245-1,'[1]Normy VP'!$S$11:$V$11),MATCH(O245-1,'[1]Normy VP'!$S$12:$V$12),MATCH(O245-1,'[1]Normy VP'!$S$13:$V$13),MATCH(O245-1,'[1]Normy VP'!$S$14:$V$14),MATCH(O245-1,'[1]Normy VP'!$S$15:$V$15)))),"O")</f>
        <v>N</v>
      </c>
      <c r="W245" s="34" t="str">
        <f t="shared" si="15"/>
        <v>N</v>
      </c>
      <c r="X245" s="27" t="str">
        <f>IF(COUNTIF(B245:G245,"")&gt;0,"",IF(COUNTIF([1]PP!$A:$A,A245)=0,"neni v PP",IF(OR(Y245="odešel",VLOOKUP(A245,[1]PP!$A:$W,22,FALSE)="odešel"),"odešel",IF(OR(Y245="N",VLOOKUP(A245,[1]PP!$A:$W,22,FALSE)="N"),"N",IF(OR(Y245="C",VLOOKUP(A245,[1]PP!$A:$W,22,FALSE)="C"),"C",IF(OR(Y245="DZO",VLOOKUP(A245,[1]PP!$A:$W,22,FALSE)="DZO"),"DZO",IF(OR(Y245="mise",Y245="disp.",Y245="končí",Y245="DSC",VLOOKUP(A245,[1]PP!$A:$W,22,FALSE)="mise",VLOOKUP(A245,[1]PP!$A:$W,22,FALSE)="disp.",VLOOKUP(A245,[1]PP!$A:$W,22,FALSE)="končí",VLOOKUP(A245,[1]PP!$A:$W,22,FALSE)="DSC"),"jiné",IF(OR(Y245=4,VLOOKUP(A245,[1]PP!$A:$W,22,FALSE)=4),4,IF(OR(Y245=3,VLOOKUP(A245,[1]PP!$A:$W,22,FALSE)=3),3,IF(OR(Y245=2,VLOOKUP(A245,[1]PP!$A:$W,22,FALSE)=2),2,IF(AND(Y245=1,VLOOKUP(A245,[1]PP!$A:$W,22,FALSE)=1),1)))))))))))</f>
        <v/>
      </c>
      <c r="Y245" s="28" t="str">
        <f>IF(COUNTIF(B245:G245,"")&gt;0,"",IF(COUNTIF([1]PP!$A:$A,A245)=0,"neni v PP",IF(VLOOKUP(A245,[1]PP!$A:$W,8,FALSE)="odešel","odešel",IF(F245="","",IF(J245="",IF(OR(T245=4,W245=4),4,IF(AND(T245="N",W245="N"),"N",IF(OR(T245="N",W245="N"),4,ROUND(AVERAGE(T245,W245),0)))),J245)))))</f>
        <v/>
      </c>
      <c r="Z245" s="29" t="str">
        <f>IF(COUNTIF(B245:G245,"")=0,IF(X245="neni v PP",CONCATENATE("ID: &lt;",A245,"&gt; se neshoduje s žádným IDem v kartě PP"),IF(COUNTIF($A:$A,A245)&gt;1,CONCATENATE("ID: &lt;",A245,"&gt; se v kartě VP opakuje. Je nutné tyto IDy od sebe odlišit, např. mezerou za příjmením."),IF(COUNTIF([1]PP!A:A,A245)&gt;1,CONCATENATE("ID: &lt;",A245,"&gt; se v kartě PP opakuje. Je nutné tyto IDy od sebe odlišit, např. mezerou za příjmením."),IF(VLOOKUP(A245,[1]PP!$A:$W,5,FALSE)&lt;&gt;E245,CONCATENATE($E$4," &lt;",E245,"&gt; se neshoduje s jednotkou v kartě PP"," &lt;",VLOOKUP(A245,[1]PP!$A:$W,5,FALSE),"&gt;"),IF(AND(COUNTIF(K245:O245,"")&lt;5,J245="",I245=""),CONCATENATE("Doplň: ",$I$4),IF(AND(YEAR(I245)&lt;&gt;$E$2,COUNTIF(I245,"")=0),CONCATENATE("špatně uveden &lt;",$D$2,"&gt; nebo &lt;",$I$4,"&gt;"),IF(OR(AND(OR(COUNTIF(C245,"*a"),COUNTIF(C245,"*ie"),COUNTIF(C245,"*ine"),COUNTIF(D245,"*Á")),F245="muž"),AND(AND(COUNTIF(C245,"&lt;&gt;"&amp;"*a"),COUNTIF(C245,"&lt;&gt;"&amp;"*ie"),COUNTIF(C245,"&lt;&gt;"&amp;"*ine"),COUNTIF(D245,"&lt;&gt;"&amp;"*Á")),F245="žena")),CONCATENATE(C245," ",D245," je ",F245,"?"),""))))))),IF(COUNTIF(B245:O245,"")=14,"",CONCATENATE("Doplň: ",IF(B245="",CONCATENATE($B$4,IF(COUNTIF(C245:G245,"")=0,"",", ")),""),IF(C245="",CONCATENATE($C$4,IF(COUNTIF(D245:G245,"")=0,"",", ")),""),IF(D245="",CONCATENATE($D$4,IF(COUNTIF(E245:G245,"")=0,"",", ")),""),IF(E245="",CONCATENATE($E$4,IF(COUNTIF(F245:G245,"")=0,"",", ")),""),IF(F245="",CONCATENATE($F$4,IF(G245="",", ","")),""),IF(G245="",$G$4,""))))</f>
        <v/>
      </c>
      <c r="AA245" s="30"/>
    </row>
    <row r="246" spans="1:27" ht="16" x14ac:dyDescent="0.35">
      <c r="A246" s="14" t="str">
        <f t="shared" si="12"/>
        <v xml:space="preserve">  </v>
      </c>
      <c r="B246" s="15"/>
      <c r="C246" s="31"/>
      <c r="D246" s="31"/>
      <c r="E246" s="17"/>
      <c r="F246" s="18"/>
      <c r="G246" s="32"/>
      <c r="H246" s="33" t="str">
        <f>IF(G246="","",IF(F246="žena",ROMAN(MATCH(G246+1,'[1]Normy VP'!$Y$27:$Y$33,-1)),ROMAN(MATCH(G246+1,'[1]Normy VP'!$Y$19:$Y$25,-1))))</f>
        <v/>
      </c>
      <c r="I246" s="21"/>
      <c r="J246" s="22"/>
      <c r="K246" s="23"/>
      <c r="L246" s="23"/>
      <c r="M246" s="23"/>
      <c r="N246" s="22"/>
      <c r="O246" s="22"/>
      <c r="P246" s="24" t="str">
        <f>IF(OR($J246="",$J246="odešel"),IF(K246="","",IF($F246="žena",CHOOSE(_xlfn.ARABIC($H246),MATCH(K246+1,'[1]Normy VP'!$C$25:$F$25,-1),MATCH(K246+1,'[1]Normy VP'!$C$26:$F$26,-1),MATCH(K246+1,'[1]Normy VP'!$C$27:$F$27,-1),MATCH(K246+1,'[1]Normy VP'!$C$28:$F$28,-1),MATCH(K246+1,'[1]Normy VP'!$C$29:$F$29,-1),"muž"),CHOOSE(_xlfn.ARABIC($H246),MATCH(K246+1,'[1]Normy VP'!$C$10:$F$10,-1),MATCH(K246+1,'[1]Normy VP'!$C$11:$F$11,-1),MATCH(K246+1,'[1]Normy VP'!$C$12:$F$12,-1),MATCH(K246+1,'[1]Normy VP'!$C$13:$F$13,-1),MATCH(K246+1,'[1]Normy VP'!$C$14:$F$14,-1),""))),"O")</f>
        <v/>
      </c>
      <c r="Q246" s="24" t="str">
        <f>IF(OR($J246="",$J246="odešel"),IF($F246="žena","",IF(L246="","",(CHOOSE(_xlfn.ARABIC($H246),MATCH(L246+1,'[1]Normy VP'!$G$10:$J$10,-1),MATCH(L246+1,'[1]Normy VP'!$G$11:$J$11,-1),MATCH(L246+1,'[1]Normy VP'!$G$12:$J$12,-1),MATCH(L246+1,'[1]Normy VP'!$G$13:$J$13,-1),MATCH(L246+1,'[1]Normy VP'!$G$14:$J$14,-1),"")))),"O")</f>
        <v/>
      </c>
      <c r="R246" s="34" t="str">
        <f t="shared" si="13"/>
        <v>N</v>
      </c>
      <c r="S246" s="24" t="str">
        <f>IF(OR($J246="",$J246="odešel"),IF(M246="","N",IF($F246="žena",CHOOSE(_xlfn.ARABIC($H246),MATCH(M246+1,'[1]Normy VP'!$G$25:$J$25,-1),MATCH(M246+1,'[1]Normy VP'!$G$26:$J$26,-1),MATCH(M246+1,'[1]Normy VP'!$G$27:$J$27,-1),MATCH(M246+1,'[1]Normy VP'!$G$28:$J$28,-1),MATCH(M246+1,'[1]Normy VP'!$G$29:$J$29,-1),"muž"),(CHOOSE(_xlfn.ARABIC($H246),MATCH(M246+1,'[1]Normy VP'!$K$10:$N$10,-1),MATCH(M246+1,'[1]Normy VP'!$K$11:$N$11,-1),MATCH(M246+1,'[1]Normy VP'!$K$12:$N$12,-1),MATCH(M246+1,'[1]Normy VP'!$K$13:$N$13,-1),MATCH(M246+1,'[1]Normy VP'!$K$14:$N$14,-1),"")))),"O")</f>
        <v>N</v>
      </c>
      <c r="T246" s="34" t="str">
        <f t="shared" si="14"/>
        <v>N</v>
      </c>
      <c r="U246" s="24" t="str">
        <f>IF(OR($J246="",$J246="odešel"),IF(N246="","N",IF($F246="žena",CHOOSE(_xlfn.ARABIC($H246),MATCH(N246+1,'[1]Normy VP'!$K$25:$N$25,-1),MATCH(N246+1,'[1]Normy VP'!$K$26:$N$26,-1),MATCH(N246+1,'[1]Normy VP'!$K$27:$N$27,-1),MATCH(N246+1,'[1]Normy VP'!$K$28:$N$28,-1),MATCH(N246+1,'[1]Normy VP'!$K$29:$N$29,-1),MATCH(N246+1,'[1]Normy VP'!$K$30:$N$30,-1)),CHOOSE(_xlfn.ARABIC($H246),MATCH(N246+1,'[1]Normy VP'!$O$10:$R$10,-1),MATCH(N246+1,'[1]Normy VP'!$O$11:$R$11,-1),MATCH(N246+1,'[1]Normy VP'!$O$12:$R$12,-1),MATCH(N246+1,'[1]Normy VP'!$O$13:$R$13,-1),MATCH(N246+1,'[1]Normy VP'!$O$14:$R$14,-1),MATCH(N246+1,'[1]Normy VP'!$O$15:$R$15,-1)))),"O")</f>
        <v>N</v>
      </c>
      <c r="V246" s="26" t="str">
        <f>IF(OR($J246="",$J246="odešel"),IF(O246="","N",IF($F246="žena",CHOOSE(_xlfn.ARABIC($H246),MATCH(O246-1,'[1]Normy VP'!$O$25:$R$25),MATCH(O246-1,'[1]Normy VP'!$O$26:$R$26),MATCH(O246-1,'[1]Normy VP'!$O$27:$R$27),MATCH(O246-1,'[1]Normy VP'!$O$28:$R$28),MATCH(O246-1,'[1]Normy VP'!$O$29:$R$29),MATCH(O246-1,'[1]Normy VP'!$O$30:$R$30)),CHOOSE(_xlfn.ARABIC($H246),MATCH(O246-1,'[1]Normy VP'!$S$10:$V$10),MATCH(O246-1,'[1]Normy VP'!$S$11:$V$11),MATCH(O246-1,'[1]Normy VP'!$S$12:$V$12),MATCH(O246-1,'[1]Normy VP'!$S$13:$V$13),MATCH(O246-1,'[1]Normy VP'!$S$14:$V$14),MATCH(O246-1,'[1]Normy VP'!$S$15:$V$15)))),"O")</f>
        <v>N</v>
      </c>
      <c r="W246" s="34" t="str">
        <f t="shared" si="15"/>
        <v>N</v>
      </c>
      <c r="X246" s="27" t="str">
        <f>IF(COUNTIF(B246:G246,"")&gt;0,"",IF(COUNTIF([1]PP!$A:$A,A246)=0,"neni v PP",IF(OR(Y246="odešel",VLOOKUP(A246,[1]PP!$A:$W,22,FALSE)="odešel"),"odešel",IF(OR(Y246="N",VLOOKUP(A246,[1]PP!$A:$W,22,FALSE)="N"),"N",IF(OR(Y246="C",VLOOKUP(A246,[1]PP!$A:$W,22,FALSE)="C"),"C",IF(OR(Y246="DZO",VLOOKUP(A246,[1]PP!$A:$W,22,FALSE)="DZO"),"DZO",IF(OR(Y246="mise",Y246="disp.",Y246="končí",Y246="DSC",VLOOKUP(A246,[1]PP!$A:$W,22,FALSE)="mise",VLOOKUP(A246,[1]PP!$A:$W,22,FALSE)="disp.",VLOOKUP(A246,[1]PP!$A:$W,22,FALSE)="končí",VLOOKUP(A246,[1]PP!$A:$W,22,FALSE)="DSC"),"jiné",IF(OR(Y246=4,VLOOKUP(A246,[1]PP!$A:$W,22,FALSE)=4),4,IF(OR(Y246=3,VLOOKUP(A246,[1]PP!$A:$W,22,FALSE)=3),3,IF(OR(Y246=2,VLOOKUP(A246,[1]PP!$A:$W,22,FALSE)=2),2,IF(AND(Y246=1,VLOOKUP(A246,[1]PP!$A:$W,22,FALSE)=1),1)))))))))))</f>
        <v/>
      </c>
      <c r="Y246" s="28" t="str">
        <f>IF(COUNTIF(B246:G246,"")&gt;0,"",IF(COUNTIF([1]PP!$A:$A,A246)=0,"neni v PP",IF(VLOOKUP(A246,[1]PP!$A:$W,8,FALSE)="odešel","odešel",IF(F246="","",IF(J246="",IF(OR(T246=4,W246=4),4,IF(AND(T246="N",W246="N"),"N",IF(OR(T246="N",W246="N"),4,ROUND(AVERAGE(T246,W246),0)))),J246)))))</f>
        <v/>
      </c>
      <c r="Z246" s="29" t="str">
        <f>IF(COUNTIF(B246:G246,"")=0,IF(X246="neni v PP",CONCATENATE("ID: &lt;",A246,"&gt; se neshoduje s žádným IDem v kartě PP"),IF(COUNTIF($A:$A,A246)&gt;1,CONCATENATE("ID: &lt;",A246,"&gt; se v kartě VP opakuje. Je nutné tyto IDy od sebe odlišit, např. mezerou za příjmením."),IF(COUNTIF([1]PP!A:A,A246)&gt;1,CONCATENATE("ID: &lt;",A246,"&gt; se v kartě PP opakuje. Je nutné tyto IDy od sebe odlišit, např. mezerou za příjmením."),IF(VLOOKUP(A246,[1]PP!$A:$W,5,FALSE)&lt;&gt;E246,CONCATENATE($E$4," &lt;",E246,"&gt; se neshoduje s jednotkou v kartě PP"," &lt;",VLOOKUP(A246,[1]PP!$A:$W,5,FALSE),"&gt;"),IF(AND(COUNTIF(K246:O246,"")&lt;5,J246="",I246=""),CONCATENATE("Doplň: ",$I$4),IF(AND(YEAR(I246)&lt;&gt;$E$2,COUNTIF(I246,"")=0),CONCATENATE("špatně uveden &lt;",$D$2,"&gt; nebo &lt;",$I$4,"&gt;"),IF(OR(AND(OR(COUNTIF(C246,"*a"),COUNTIF(C246,"*ie"),COUNTIF(C246,"*ine"),COUNTIF(D246,"*Á")),F246="muž"),AND(AND(COUNTIF(C246,"&lt;&gt;"&amp;"*a"),COUNTIF(C246,"&lt;&gt;"&amp;"*ie"),COUNTIF(C246,"&lt;&gt;"&amp;"*ine"),COUNTIF(D246,"&lt;&gt;"&amp;"*Á")),F246="žena")),CONCATENATE(C246," ",D246," je ",F246,"?"),""))))))),IF(COUNTIF(B246:O246,"")=14,"",CONCATENATE("Doplň: ",IF(B246="",CONCATENATE($B$4,IF(COUNTIF(C246:G246,"")=0,"",", ")),""),IF(C246="",CONCATENATE($C$4,IF(COUNTIF(D246:G246,"")=0,"",", ")),""),IF(D246="",CONCATENATE($D$4,IF(COUNTIF(E246:G246,"")=0,"",", ")),""),IF(E246="",CONCATENATE($E$4,IF(COUNTIF(F246:G246,"")=0,"",", ")),""),IF(F246="",CONCATENATE($F$4,IF(G246="",", ","")),""),IF(G246="",$G$4,""))))</f>
        <v/>
      </c>
      <c r="AA246" s="30"/>
    </row>
    <row r="247" spans="1:27" ht="16" x14ac:dyDescent="0.35">
      <c r="A247" s="14" t="str">
        <f t="shared" si="12"/>
        <v xml:space="preserve">  </v>
      </c>
      <c r="B247" s="15"/>
      <c r="C247" s="31"/>
      <c r="D247" s="31"/>
      <c r="E247" s="17"/>
      <c r="F247" s="18"/>
      <c r="G247" s="32"/>
      <c r="H247" s="33" t="str">
        <f>IF(G247="","",IF(F247="žena",ROMAN(MATCH(G247+1,'[1]Normy VP'!$Y$27:$Y$33,-1)),ROMAN(MATCH(G247+1,'[1]Normy VP'!$Y$19:$Y$25,-1))))</f>
        <v/>
      </c>
      <c r="I247" s="21"/>
      <c r="J247" s="22"/>
      <c r="K247" s="23"/>
      <c r="L247" s="23"/>
      <c r="M247" s="23"/>
      <c r="N247" s="22"/>
      <c r="O247" s="22"/>
      <c r="P247" s="24" t="str">
        <f>IF(OR($J247="",$J247="odešel"),IF(K247="","",IF($F247="žena",CHOOSE(_xlfn.ARABIC($H247),MATCH(K247+1,'[1]Normy VP'!$C$25:$F$25,-1),MATCH(K247+1,'[1]Normy VP'!$C$26:$F$26,-1),MATCH(K247+1,'[1]Normy VP'!$C$27:$F$27,-1),MATCH(K247+1,'[1]Normy VP'!$C$28:$F$28,-1),MATCH(K247+1,'[1]Normy VP'!$C$29:$F$29,-1),"muž"),CHOOSE(_xlfn.ARABIC($H247),MATCH(K247+1,'[1]Normy VP'!$C$10:$F$10,-1),MATCH(K247+1,'[1]Normy VP'!$C$11:$F$11,-1),MATCH(K247+1,'[1]Normy VP'!$C$12:$F$12,-1),MATCH(K247+1,'[1]Normy VP'!$C$13:$F$13,-1),MATCH(K247+1,'[1]Normy VP'!$C$14:$F$14,-1),""))),"O")</f>
        <v/>
      </c>
      <c r="Q247" s="24" t="str">
        <f>IF(OR($J247="",$J247="odešel"),IF($F247="žena","",IF(L247="","",(CHOOSE(_xlfn.ARABIC($H247),MATCH(L247+1,'[1]Normy VP'!$G$10:$J$10,-1),MATCH(L247+1,'[1]Normy VP'!$G$11:$J$11,-1),MATCH(L247+1,'[1]Normy VP'!$G$12:$J$12,-1),MATCH(L247+1,'[1]Normy VP'!$G$13:$J$13,-1),MATCH(L247+1,'[1]Normy VP'!$G$14:$J$14,-1),"")))),"O")</f>
        <v/>
      </c>
      <c r="R247" s="34" t="str">
        <f t="shared" si="13"/>
        <v>N</v>
      </c>
      <c r="S247" s="24" t="str">
        <f>IF(OR($J247="",$J247="odešel"),IF(M247="","N",IF($F247="žena",CHOOSE(_xlfn.ARABIC($H247),MATCH(M247+1,'[1]Normy VP'!$G$25:$J$25,-1),MATCH(M247+1,'[1]Normy VP'!$G$26:$J$26,-1),MATCH(M247+1,'[1]Normy VP'!$G$27:$J$27,-1),MATCH(M247+1,'[1]Normy VP'!$G$28:$J$28,-1),MATCH(M247+1,'[1]Normy VP'!$G$29:$J$29,-1),"muž"),(CHOOSE(_xlfn.ARABIC($H247),MATCH(M247+1,'[1]Normy VP'!$K$10:$N$10,-1),MATCH(M247+1,'[1]Normy VP'!$K$11:$N$11,-1),MATCH(M247+1,'[1]Normy VP'!$K$12:$N$12,-1),MATCH(M247+1,'[1]Normy VP'!$K$13:$N$13,-1),MATCH(M247+1,'[1]Normy VP'!$K$14:$N$14,-1),"")))),"O")</f>
        <v>N</v>
      </c>
      <c r="T247" s="34" t="str">
        <f t="shared" si="14"/>
        <v>N</v>
      </c>
      <c r="U247" s="24" t="str">
        <f>IF(OR($J247="",$J247="odešel"),IF(N247="","N",IF($F247="žena",CHOOSE(_xlfn.ARABIC($H247),MATCH(N247+1,'[1]Normy VP'!$K$25:$N$25,-1),MATCH(N247+1,'[1]Normy VP'!$K$26:$N$26,-1),MATCH(N247+1,'[1]Normy VP'!$K$27:$N$27,-1),MATCH(N247+1,'[1]Normy VP'!$K$28:$N$28,-1),MATCH(N247+1,'[1]Normy VP'!$K$29:$N$29,-1),MATCH(N247+1,'[1]Normy VP'!$K$30:$N$30,-1)),CHOOSE(_xlfn.ARABIC($H247),MATCH(N247+1,'[1]Normy VP'!$O$10:$R$10,-1),MATCH(N247+1,'[1]Normy VP'!$O$11:$R$11,-1),MATCH(N247+1,'[1]Normy VP'!$O$12:$R$12,-1),MATCH(N247+1,'[1]Normy VP'!$O$13:$R$13,-1),MATCH(N247+1,'[1]Normy VP'!$O$14:$R$14,-1),MATCH(N247+1,'[1]Normy VP'!$O$15:$R$15,-1)))),"O")</f>
        <v>N</v>
      </c>
      <c r="V247" s="26" t="str">
        <f>IF(OR($J247="",$J247="odešel"),IF(O247="","N",IF($F247="žena",CHOOSE(_xlfn.ARABIC($H247),MATCH(O247-1,'[1]Normy VP'!$O$25:$R$25),MATCH(O247-1,'[1]Normy VP'!$O$26:$R$26),MATCH(O247-1,'[1]Normy VP'!$O$27:$R$27),MATCH(O247-1,'[1]Normy VP'!$O$28:$R$28),MATCH(O247-1,'[1]Normy VP'!$O$29:$R$29),MATCH(O247-1,'[1]Normy VP'!$O$30:$R$30)),CHOOSE(_xlfn.ARABIC($H247),MATCH(O247-1,'[1]Normy VP'!$S$10:$V$10),MATCH(O247-1,'[1]Normy VP'!$S$11:$V$11),MATCH(O247-1,'[1]Normy VP'!$S$12:$V$12),MATCH(O247-1,'[1]Normy VP'!$S$13:$V$13),MATCH(O247-1,'[1]Normy VP'!$S$14:$V$14),MATCH(O247-1,'[1]Normy VP'!$S$15:$V$15)))),"O")</f>
        <v>N</v>
      </c>
      <c r="W247" s="34" t="str">
        <f t="shared" si="15"/>
        <v>N</v>
      </c>
      <c r="X247" s="27" t="str">
        <f>IF(COUNTIF(B247:G247,"")&gt;0,"",IF(COUNTIF([1]PP!$A:$A,A247)=0,"neni v PP",IF(OR(Y247="odešel",VLOOKUP(A247,[1]PP!$A:$W,22,FALSE)="odešel"),"odešel",IF(OR(Y247="N",VLOOKUP(A247,[1]PP!$A:$W,22,FALSE)="N"),"N",IF(OR(Y247="C",VLOOKUP(A247,[1]PP!$A:$W,22,FALSE)="C"),"C",IF(OR(Y247="DZO",VLOOKUP(A247,[1]PP!$A:$W,22,FALSE)="DZO"),"DZO",IF(OR(Y247="mise",Y247="disp.",Y247="končí",Y247="DSC",VLOOKUP(A247,[1]PP!$A:$W,22,FALSE)="mise",VLOOKUP(A247,[1]PP!$A:$W,22,FALSE)="disp.",VLOOKUP(A247,[1]PP!$A:$W,22,FALSE)="končí",VLOOKUP(A247,[1]PP!$A:$W,22,FALSE)="DSC"),"jiné",IF(OR(Y247=4,VLOOKUP(A247,[1]PP!$A:$W,22,FALSE)=4),4,IF(OR(Y247=3,VLOOKUP(A247,[1]PP!$A:$W,22,FALSE)=3),3,IF(OR(Y247=2,VLOOKUP(A247,[1]PP!$A:$W,22,FALSE)=2),2,IF(AND(Y247=1,VLOOKUP(A247,[1]PP!$A:$W,22,FALSE)=1),1)))))))))))</f>
        <v/>
      </c>
      <c r="Y247" s="28" t="str">
        <f>IF(COUNTIF(B247:G247,"")&gt;0,"",IF(COUNTIF([1]PP!$A:$A,A247)=0,"neni v PP",IF(VLOOKUP(A247,[1]PP!$A:$W,8,FALSE)="odešel","odešel",IF(F247="","",IF(J247="",IF(OR(T247=4,W247=4),4,IF(AND(T247="N",W247="N"),"N",IF(OR(T247="N",W247="N"),4,ROUND(AVERAGE(T247,W247),0)))),J247)))))</f>
        <v/>
      </c>
      <c r="Z247" s="29" t="str">
        <f>IF(COUNTIF(B247:G247,"")=0,IF(X247="neni v PP",CONCATENATE("ID: &lt;",A247,"&gt; se neshoduje s žádným IDem v kartě PP"),IF(COUNTIF($A:$A,A247)&gt;1,CONCATENATE("ID: &lt;",A247,"&gt; se v kartě VP opakuje. Je nutné tyto IDy od sebe odlišit, např. mezerou za příjmením."),IF(COUNTIF([1]PP!A:A,A247)&gt;1,CONCATENATE("ID: &lt;",A247,"&gt; se v kartě PP opakuje. Je nutné tyto IDy od sebe odlišit, např. mezerou za příjmením."),IF(VLOOKUP(A247,[1]PP!$A:$W,5,FALSE)&lt;&gt;E247,CONCATENATE($E$4," &lt;",E247,"&gt; se neshoduje s jednotkou v kartě PP"," &lt;",VLOOKUP(A247,[1]PP!$A:$W,5,FALSE),"&gt;"),IF(AND(COUNTIF(K247:O247,"")&lt;5,J247="",I247=""),CONCATENATE("Doplň: ",$I$4),IF(AND(YEAR(I247)&lt;&gt;$E$2,COUNTIF(I247,"")=0),CONCATENATE("špatně uveden &lt;",$D$2,"&gt; nebo &lt;",$I$4,"&gt;"),IF(OR(AND(OR(COUNTIF(C247,"*a"),COUNTIF(C247,"*ie"),COUNTIF(C247,"*ine"),COUNTIF(D247,"*Á")),F247="muž"),AND(AND(COUNTIF(C247,"&lt;&gt;"&amp;"*a"),COUNTIF(C247,"&lt;&gt;"&amp;"*ie"),COUNTIF(C247,"&lt;&gt;"&amp;"*ine"),COUNTIF(D247,"&lt;&gt;"&amp;"*Á")),F247="žena")),CONCATENATE(C247," ",D247," je ",F247,"?"),""))))))),IF(COUNTIF(B247:O247,"")=14,"",CONCATENATE("Doplň: ",IF(B247="",CONCATENATE($B$4,IF(COUNTIF(C247:G247,"")=0,"",", ")),""),IF(C247="",CONCATENATE($C$4,IF(COUNTIF(D247:G247,"")=0,"",", ")),""),IF(D247="",CONCATENATE($D$4,IF(COUNTIF(E247:G247,"")=0,"",", ")),""),IF(E247="",CONCATENATE($E$4,IF(COUNTIF(F247:G247,"")=0,"",", ")),""),IF(F247="",CONCATENATE($F$4,IF(G247="",", ","")),""),IF(G247="",$G$4,""))))</f>
        <v/>
      </c>
      <c r="AA247" s="30"/>
    </row>
    <row r="248" spans="1:27" ht="16" x14ac:dyDescent="0.35">
      <c r="A248" s="14" t="str">
        <f t="shared" si="12"/>
        <v xml:space="preserve">  </v>
      </c>
      <c r="B248" s="15"/>
      <c r="C248" s="31"/>
      <c r="D248" s="31"/>
      <c r="E248" s="17"/>
      <c r="F248" s="18"/>
      <c r="G248" s="32"/>
      <c r="H248" s="33" t="str">
        <f>IF(G248="","",IF(F248="žena",ROMAN(MATCH(G248+1,'[1]Normy VP'!$Y$27:$Y$33,-1)),ROMAN(MATCH(G248+1,'[1]Normy VP'!$Y$19:$Y$25,-1))))</f>
        <v/>
      </c>
      <c r="I248" s="21"/>
      <c r="J248" s="22"/>
      <c r="K248" s="23"/>
      <c r="L248" s="23"/>
      <c r="M248" s="23"/>
      <c r="N248" s="22"/>
      <c r="O248" s="22"/>
      <c r="P248" s="24" t="str">
        <f>IF(OR($J248="",$J248="odešel"),IF(K248="","",IF($F248="žena",CHOOSE(_xlfn.ARABIC($H248),MATCH(K248+1,'[1]Normy VP'!$C$25:$F$25,-1),MATCH(K248+1,'[1]Normy VP'!$C$26:$F$26,-1),MATCH(K248+1,'[1]Normy VP'!$C$27:$F$27,-1),MATCH(K248+1,'[1]Normy VP'!$C$28:$F$28,-1),MATCH(K248+1,'[1]Normy VP'!$C$29:$F$29,-1),"muž"),CHOOSE(_xlfn.ARABIC($H248),MATCH(K248+1,'[1]Normy VP'!$C$10:$F$10,-1),MATCH(K248+1,'[1]Normy VP'!$C$11:$F$11,-1),MATCH(K248+1,'[1]Normy VP'!$C$12:$F$12,-1),MATCH(K248+1,'[1]Normy VP'!$C$13:$F$13,-1),MATCH(K248+1,'[1]Normy VP'!$C$14:$F$14,-1),""))),"O")</f>
        <v/>
      </c>
      <c r="Q248" s="24" t="str">
        <f>IF(OR($J248="",$J248="odešel"),IF($F248="žena","",IF(L248="","",(CHOOSE(_xlfn.ARABIC($H248),MATCH(L248+1,'[1]Normy VP'!$G$10:$J$10,-1),MATCH(L248+1,'[1]Normy VP'!$G$11:$J$11,-1),MATCH(L248+1,'[1]Normy VP'!$G$12:$J$12,-1),MATCH(L248+1,'[1]Normy VP'!$G$13:$J$13,-1),MATCH(L248+1,'[1]Normy VP'!$G$14:$J$14,-1),"")))),"O")</f>
        <v/>
      </c>
      <c r="R248" s="34" t="str">
        <f t="shared" si="13"/>
        <v>N</v>
      </c>
      <c r="S248" s="24" t="str">
        <f>IF(OR($J248="",$J248="odešel"),IF(M248="","N",IF($F248="žena",CHOOSE(_xlfn.ARABIC($H248),MATCH(M248+1,'[1]Normy VP'!$G$25:$J$25,-1),MATCH(M248+1,'[1]Normy VP'!$G$26:$J$26,-1),MATCH(M248+1,'[1]Normy VP'!$G$27:$J$27,-1),MATCH(M248+1,'[1]Normy VP'!$G$28:$J$28,-1),MATCH(M248+1,'[1]Normy VP'!$G$29:$J$29,-1),"muž"),(CHOOSE(_xlfn.ARABIC($H248),MATCH(M248+1,'[1]Normy VP'!$K$10:$N$10,-1),MATCH(M248+1,'[1]Normy VP'!$K$11:$N$11,-1),MATCH(M248+1,'[1]Normy VP'!$K$12:$N$12,-1),MATCH(M248+1,'[1]Normy VP'!$K$13:$N$13,-1),MATCH(M248+1,'[1]Normy VP'!$K$14:$N$14,-1),"")))),"O")</f>
        <v>N</v>
      </c>
      <c r="T248" s="34" t="str">
        <f t="shared" si="14"/>
        <v>N</v>
      </c>
      <c r="U248" s="24" t="str">
        <f>IF(OR($J248="",$J248="odešel"),IF(N248="","N",IF($F248="žena",CHOOSE(_xlfn.ARABIC($H248),MATCH(N248+1,'[1]Normy VP'!$K$25:$N$25,-1),MATCH(N248+1,'[1]Normy VP'!$K$26:$N$26,-1),MATCH(N248+1,'[1]Normy VP'!$K$27:$N$27,-1),MATCH(N248+1,'[1]Normy VP'!$K$28:$N$28,-1),MATCH(N248+1,'[1]Normy VP'!$K$29:$N$29,-1),MATCH(N248+1,'[1]Normy VP'!$K$30:$N$30,-1)),CHOOSE(_xlfn.ARABIC($H248),MATCH(N248+1,'[1]Normy VP'!$O$10:$R$10,-1),MATCH(N248+1,'[1]Normy VP'!$O$11:$R$11,-1),MATCH(N248+1,'[1]Normy VP'!$O$12:$R$12,-1),MATCH(N248+1,'[1]Normy VP'!$O$13:$R$13,-1),MATCH(N248+1,'[1]Normy VP'!$O$14:$R$14,-1),MATCH(N248+1,'[1]Normy VP'!$O$15:$R$15,-1)))),"O")</f>
        <v>N</v>
      </c>
      <c r="V248" s="26" t="str">
        <f>IF(OR($J248="",$J248="odešel"),IF(O248="","N",IF($F248="žena",CHOOSE(_xlfn.ARABIC($H248),MATCH(O248-1,'[1]Normy VP'!$O$25:$R$25),MATCH(O248-1,'[1]Normy VP'!$O$26:$R$26),MATCH(O248-1,'[1]Normy VP'!$O$27:$R$27),MATCH(O248-1,'[1]Normy VP'!$O$28:$R$28),MATCH(O248-1,'[1]Normy VP'!$O$29:$R$29),MATCH(O248-1,'[1]Normy VP'!$O$30:$R$30)),CHOOSE(_xlfn.ARABIC($H248),MATCH(O248-1,'[1]Normy VP'!$S$10:$V$10),MATCH(O248-1,'[1]Normy VP'!$S$11:$V$11),MATCH(O248-1,'[1]Normy VP'!$S$12:$V$12),MATCH(O248-1,'[1]Normy VP'!$S$13:$V$13),MATCH(O248-1,'[1]Normy VP'!$S$14:$V$14),MATCH(O248-1,'[1]Normy VP'!$S$15:$V$15)))),"O")</f>
        <v>N</v>
      </c>
      <c r="W248" s="34" t="str">
        <f t="shared" si="15"/>
        <v>N</v>
      </c>
      <c r="X248" s="27" t="str">
        <f>IF(COUNTIF(B248:G248,"")&gt;0,"",IF(COUNTIF([1]PP!$A:$A,A248)=0,"neni v PP",IF(OR(Y248="odešel",VLOOKUP(A248,[1]PP!$A:$W,22,FALSE)="odešel"),"odešel",IF(OR(Y248="N",VLOOKUP(A248,[1]PP!$A:$W,22,FALSE)="N"),"N",IF(OR(Y248="C",VLOOKUP(A248,[1]PP!$A:$W,22,FALSE)="C"),"C",IF(OR(Y248="DZO",VLOOKUP(A248,[1]PP!$A:$W,22,FALSE)="DZO"),"DZO",IF(OR(Y248="mise",Y248="disp.",Y248="končí",Y248="DSC",VLOOKUP(A248,[1]PP!$A:$W,22,FALSE)="mise",VLOOKUP(A248,[1]PP!$A:$W,22,FALSE)="disp.",VLOOKUP(A248,[1]PP!$A:$W,22,FALSE)="končí",VLOOKUP(A248,[1]PP!$A:$W,22,FALSE)="DSC"),"jiné",IF(OR(Y248=4,VLOOKUP(A248,[1]PP!$A:$W,22,FALSE)=4),4,IF(OR(Y248=3,VLOOKUP(A248,[1]PP!$A:$W,22,FALSE)=3),3,IF(OR(Y248=2,VLOOKUP(A248,[1]PP!$A:$W,22,FALSE)=2),2,IF(AND(Y248=1,VLOOKUP(A248,[1]PP!$A:$W,22,FALSE)=1),1)))))))))))</f>
        <v/>
      </c>
      <c r="Y248" s="28" t="str">
        <f>IF(COUNTIF(B248:G248,"")&gt;0,"",IF(COUNTIF([1]PP!$A:$A,A248)=0,"neni v PP",IF(VLOOKUP(A248,[1]PP!$A:$W,8,FALSE)="odešel","odešel",IF(F248="","",IF(J248="",IF(OR(T248=4,W248=4),4,IF(AND(T248="N",W248="N"),"N",IF(OR(T248="N",W248="N"),4,ROUND(AVERAGE(T248,W248),0)))),J248)))))</f>
        <v/>
      </c>
      <c r="Z248" s="29" t="str">
        <f>IF(COUNTIF(B248:G248,"")=0,IF(X248="neni v PP",CONCATENATE("ID: &lt;",A248,"&gt; se neshoduje s žádným IDem v kartě PP"),IF(COUNTIF($A:$A,A248)&gt;1,CONCATENATE("ID: &lt;",A248,"&gt; se v kartě VP opakuje. Je nutné tyto IDy od sebe odlišit, např. mezerou za příjmením."),IF(COUNTIF([1]PP!A:A,A248)&gt;1,CONCATENATE("ID: &lt;",A248,"&gt; se v kartě PP opakuje. Je nutné tyto IDy od sebe odlišit, např. mezerou za příjmením."),IF(VLOOKUP(A248,[1]PP!$A:$W,5,FALSE)&lt;&gt;E248,CONCATENATE($E$4," &lt;",E248,"&gt; se neshoduje s jednotkou v kartě PP"," &lt;",VLOOKUP(A248,[1]PP!$A:$W,5,FALSE),"&gt;"),IF(AND(COUNTIF(K248:O248,"")&lt;5,J248="",I248=""),CONCATENATE("Doplň: ",$I$4),IF(AND(YEAR(I248)&lt;&gt;$E$2,COUNTIF(I248,"")=0),CONCATENATE("špatně uveden &lt;",$D$2,"&gt; nebo &lt;",$I$4,"&gt;"),IF(OR(AND(OR(COUNTIF(C248,"*a"),COUNTIF(C248,"*ie"),COUNTIF(C248,"*ine"),COUNTIF(D248,"*Á")),F248="muž"),AND(AND(COUNTIF(C248,"&lt;&gt;"&amp;"*a"),COUNTIF(C248,"&lt;&gt;"&amp;"*ie"),COUNTIF(C248,"&lt;&gt;"&amp;"*ine"),COUNTIF(D248,"&lt;&gt;"&amp;"*Á")),F248="žena")),CONCATENATE(C248," ",D248," je ",F248,"?"),""))))))),IF(COUNTIF(B248:O248,"")=14,"",CONCATENATE("Doplň: ",IF(B248="",CONCATENATE($B$4,IF(COUNTIF(C248:G248,"")=0,"",", ")),""),IF(C248="",CONCATENATE($C$4,IF(COUNTIF(D248:G248,"")=0,"",", ")),""),IF(D248="",CONCATENATE($D$4,IF(COUNTIF(E248:G248,"")=0,"",", ")),""),IF(E248="",CONCATENATE($E$4,IF(COUNTIF(F248:G248,"")=0,"",", ")),""),IF(F248="",CONCATENATE($F$4,IF(G248="",", ","")),""),IF(G248="",$G$4,""))))</f>
        <v/>
      </c>
      <c r="AA248" s="30"/>
    </row>
    <row r="249" spans="1:27" ht="16" x14ac:dyDescent="0.35">
      <c r="A249" s="14" t="str">
        <f t="shared" si="12"/>
        <v xml:space="preserve">  </v>
      </c>
      <c r="B249" s="15"/>
      <c r="C249" s="31"/>
      <c r="D249" s="31"/>
      <c r="E249" s="17"/>
      <c r="F249" s="18"/>
      <c r="G249" s="32"/>
      <c r="H249" s="33" t="str">
        <f>IF(G249="","",IF(F249="žena",ROMAN(MATCH(G249+1,'[1]Normy VP'!$Y$27:$Y$33,-1)),ROMAN(MATCH(G249+1,'[1]Normy VP'!$Y$19:$Y$25,-1))))</f>
        <v/>
      </c>
      <c r="I249" s="21"/>
      <c r="J249" s="22"/>
      <c r="K249" s="23"/>
      <c r="L249" s="23"/>
      <c r="M249" s="23"/>
      <c r="N249" s="22"/>
      <c r="O249" s="22"/>
      <c r="P249" s="24" t="str">
        <f>IF(OR($J249="",$J249="odešel"),IF(K249="","",IF($F249="žena",CHOOSE(_xlfn.ARABIC($H249),MATCH(K249+1,'[1]Normy VP'!$C$25:$F$25,-1),MATCH(K249+1,'[1]Normy VP'!$C$26:$F$26,-1),MATCH(K249+1,'[1]Normy VP'!$C$27:$F$27,-1),MATCH(K249+1,'[1]Normy VP'!$C$28:$F$28,-1),MATCH(K249+1,'[1]Normy VP'!$C$29:$F$29,-1),"muž"),CHOOSE(_xlfn.ARABIC($H249),MATCH(K249+1,'[1]Normy VP'!$C$10:$F$10,-1),MATCH(K249+1,'[1]Normy VP'!$C$11:$F$11,-1),MATCH(K249+1,'[1]Normy VP'!$C$12:$F$12,-1),MATCH(K249+1,'[1]Normy VP'!$C$13:$F$13,-1),MATCH(K249+1,'[1]Normy VP'!$C$14:$F$14,-1),""))),"O")</f>
        <v/>
      </c>
      <c r="Q249" s="24" t="str">
        <f>IF(OR($J249="",$J249="odešel"),IF($F249="žena","",IF(L249="","",(CHOOSE(_xlfn.ARABIC($H249),MATCH(L249+1,'[1]Normy VP'!$G$10:$J$10,-1),MATCH(L249+1,'[1]Normy VP'!$G$11:$J$11,-1),MATCH(L249+1,'[1]Normy VP'!$G$12:$J$12,-1),MATCH(L249+1,'[1]Normy VP'!$G$13:$J$13,-1),MATCH(L249+1,'[1]Normy VP'!$G$14:$J$14,-1),"")))),"O")</f>
        <v/>
      </c>
      <c r="R249" s="34" t="str">
        <f t="shared" si="13"/>
        <v>N</v>
      </c>
      <c r="S249" s="24" t="str">
        <f>IF(OR($J249="",$J249="odešel"),IF(M249="","N",IF($F249="žena",CHOOSE(_xlfn.ARABIC($H249),MATCH(M249+1,'[1]Normy VP'!$G$25:$J$25,-1),MATCH(M249+1,'[1]Normy VP'!$G$26:$J$26,-1),MATCH(M249+1,'[1]Normy VP'!$G$27:$J$27,-1),MATCH(M249+1,'[1]Normy VP'!$G$28:$J$28,-1),MATCH(M249+1,'[1]Normy VP'!$G$29:$J$29,-1),"muž"),(CHOOSE(_xlfn.ARABIC($H249),MATCH(M249+1,'[1]Normy VP'!$K$10:$N$10,-1),MATCH(M249+1,'[1]Normy VP'!$K$11:$N$11,-1),MATCH(M249+1,'[1]Normy VP'!$K$12:$N$12,-1),MATCH(M249+1,'[1]Normy VP'!$K$13:$N$13,-1),MATCH(M249+1,'[1]Normy VP'!$K$14:$N$14,-1),"")))),"O")</f>
        <v>N</v>
      </c>
      <c r="T249" s="34" t="str">
        <f t="shared" si="14"/>
        <v>N</v>
      </c>
      <c r="U249" s="24" t="str">
        <f>IF(OR($J249="",$J249="odešel"),IF(N249="","N",IF($F249="žena",CHOOSE(_xlfn.ARABIC($H249),MATCH(N249+1,'[1]Normy VP'!$K$25:$N$25,-1),MATCH(N249+1,'[1]Normy VP'!$K$26:$N$26,-1),MATCH(N249+1,'[1]Normy VP'!$K$27:$N$27,-1),MATCH(N249+1,'[1]Normy VP'!$K$28:$N$28,-1),MATCH(N249+1,'[1]Normy VP'!$K$29:$N$29,-1),MATCH(N249+1,'[1]Normy VP'!$K$30:$N$30,-1)),CHOOSE(_xlfn.ARABIC($H249),MATCH(N249+1,'[1]Normy VP'!$O$10:$R$10,-1),MATCH(N249+1,'[1]Normy VP'!$O$11:$R$11,-1),MATCH(N249+1,'[1]Normy VP'!$O$12:$R$12,-1),MATCH(N249+1,'[1]Normy VP'!$O$13:$R$13,-1),MATCH(N249+1,'[1]Normy VP'!$O$14:$R$14,-1),MATCH(N249+1,'[1]Normy VP'!$O$15:$R$15,-1)))),"O")</f>
        <v>N</v>
      </c>
      <c r="V249" s="26" t="str">
        <f>IF(OR($J249="",$J249="odešel"),IF(O249="","N",IF($F249="žena",CHOOSE(_xlfn.ARABIC($H249),MATCH(O249-1,'[1]Normy VP'!$O$25:$R$25),MATCH(O249-1,'[1]Normy VP'!$O$26:$R$26),MATCH(O249-1,'[1]Normy VP'!$O$27:$R$27),MATCH(O249-1,'[1]Normy VP'!$O$28:$R$28),MATCH(O249-1,'[1]Normy VP'!$O$29:$R$29),MATCH(O249-1,'[1]Normy VP'!$O$30:$R$30)),CHOOSE(_xlfn.ARABIC($H249),MATCH(O249-1,'[1]Normy VP'!$S$10:$V$10),MATCH(O249-1,'[1]Normy VP'!$S$11:$V$11),MATCH(O249-1,'[1]Normy VP'!$S$12:$V$12),MATCH(O249-1,'[1]Normy VP'!$S$13:$V$13),MATCH(O249-1,'[1]Normy VP'!$S$14:$V$14),MATCH(O249-1,'[1]Normy VP'!$S$15:$V$15)))),"O")</f>
        <v>N</v>
      </c>
      <c r="W249" s="34" t="str">
        <f t="shared" si="15"/>
        <v>N</v>
      </c>
      <c r="X249" s="27" t="str">
        <f>IF(COUNTIF(B249:G249,"")&gt;0,"",IF(COUNTIF([1]PP!$A:$A,A249)=0,"neni v PP",IF(OR(Y249="odešel",VLOOKUP(A249,[1]PP!$A:$W,22,FALSE)="odešel"),"odešel",IF(OR(Y249="N",VLOOKUP(A249,[1]PP!$A:$W,22,FALSE)="N"),"N",IF(OR(Y249="C",VLOOKUP(A249,[1]PP!$A:$W,22,FALSE)="C"),"C",IF(OR(Y249="DZO",VLOOKUP(A249,[1]PP!$A:$W,22,FALSE)="DZO"),"DZO",IF(OR(Y249="mise",Y249="disp.",Y249="končí",Y249="DSC",VLOOKUP(A249,[1]PP!$A:$W,22,FALSE)="mise",VLOOKUP(A249,[1]PP!$A:$W,22,FALSE)="disp.",VLOOKUP(A249,[1]PP!$A:$W,22,FALSE)="končí",VLOOKUP(A249,[1]PP!$A:$W,22,FALSE)="DSC"),"jiné",IF(OR(Y249=4,VLOOKUP(A249,[1]PP!$A:$W,22,FALSE)=4),4,IF(OR(Y249=3,VLOOKUP(A249,[1]PP!$A:$W,22,FALSE)=3),3,IF(OR(Y249=2,VLOOKUP(A249,[1]PP!$A:$W,22,FALSE)=2),2,IF(AND(Y249=1,VLOOKUP(A249,[1]PP!$A:$W,22,FALSE)=1),1)))))))))))</f>
        <v/>
      </c>
      <c r="Y249" s="28" t="str">
        <f>IF(COUNTIF(B249:G249,"")&gt;0,"",IF(COUNTIF([1]PP!$A:$A,A249)=0,"neni v PP",IF(VLOOKUP(A249,[1]PP!$A:$W,8,FALSE)="odešel","odešel",IF(F249="","",IF(J249="",IF(OR(T249=4,W249=4),4,IF(AND(T249="N",W249="N"),"N",IF(OR(T249="N",W249="N"),4,ROUND(AVERAGE(T249,W249),0)))),J249)))))</f>
        <v/>
      </c>
      <c r="Z249" s="29" t="str">
        <f>IF(COUNTIF(B249:G249,"")=0,IF(X249="neni v PP",CONCATENATE("ID: &lt;",A249,"&gt; se neshoduje s žádným IDem v kartě PP"),IF(COUNTIF($A:$A,A249)&gt;1,CONCATENATE("ID: &lt;",A249,"&gt; se v kartě VP opakuje. Je nutné tyto IDy od sebe odlišit, např. mezerou za příjmením."),IF(COUNTIF([1]PP!A:A,A249)&gt;1,CONCATENATE("ID: &lt;",A249,"&gt; se v kartě PP opakuje. Je nutné tyto IDy od sebe odlišit, např. mezerou za příjmením."),IF(VLOOKUP(A249,[1]PP!$A:$W,5,FALSE)&lt;&gt;E249,CONCATENATE($E$4," &lt;",E249,"&gt; se neshoduje s jednotkou v kartě PP"," &lt;",VLOOKUP(A249,[1]PP!$A:$W,5,FALSE),"&gt;"),IF(AND(COUNTIF(K249:O249,"")&lt;5,J249="",I249=""),CONCATENATE("Doplň: ",$I$4),IF(AND(YEAR(I249)&lt;&gt;$E$2,COUNTIF(I249,"")=0),CONCATENATE("špatně uveden &lt;",$D$2,"&gt; nebo &lt;",$I$4,"&gt;"),IF(OR(AND(OR(COUNTIF(C249,"*a"),COUNTIF(C249,"*ie"),COUNTIF(C249,"*ine"),COUNTIF(D249,"*Á")),F249="muž"),AND(AND(COUNTIF(C249,"&lt;&gt;"&amp;"*a"),COUNTIF(C249,"&lt;&gt;"&amp;"*ie"),COUNTIF(C249,"&lt;&gt;"&amp;"*ine"),COUNTIF(D249,"&lt;&gt;"&amp;"*Á")),F249="žena")),CONCATENATE(C249," ",D249," je ",F249,"?"),""))))))),IF(COUNTIF(B249:O249,"")=14,"",CONCATENATE("Doplň: ",IF(B249="",CONCATENATE($B$4,IF(COUNTIF(C249:G249,"")=0,"",", ")),""),IF(C249="",CONCATENATE($C$4,IF(COUNTIF(D249:G249,"")=0,"",", ")),""),IF(D249="",CONCATENATE($D$4,IF(COUNTIF(E249:G249,"")=0,"",", ")),""),IF(E249="",CONCATENATE($E$4,IF(COUNTIF(F249:G249,"")=0,"",", ")),""),IF(F249="",CONCATENATE($F$4,IF(G249="",", ","")),""),IF(G249="",$G$4,""))))</f>
        <v/>
      </c>
      <c r="AA249" s="30"/>
    </row>
    <row r="250" spans="1:27" ht="16" x14ac:dyDescent="0.35">
      <c r="A250" s="14" t="str">
        <f t="shared" si="12"/>
        <v xml:space="preserve">  </v>
      </c>
      <c r="B250" s="15"/>
      <c r="C250" s="31"/>
      <c r="D250" s="31"/>
      <c r="E250" s="17"/>
      <c r="F250" s="18"/>
      <c r="G250" s="32"/>
      <c r="H250" s="33" t="str">
        <f>IF(G250="","",IF(F250="žena",ROMAN(MATCH(G250+1,'[1]Normy VP'!$Y$27:$Y$33,-1)),ROMAN(MATCH(G250+1,'[1]Normy VP'!$Y$19:$Y$25,-1))))</f>
        <v/>
      </c>
      <c r="I250" s="21"/>
      <c r="J250" s="22"/>
      <c r="K250" s="23"/>
      <c r="L250" s="23"/>
      <c r="M250" s="23"/>
      <c r="N250" s="22"/>
      <c r="O250" s="22"/>
      <c r="P250" s="24" t="str">
        <f>IF(OR($J250="",$J250="odešel"),IF(K250="","",IF($F250="žena",CHOOSE(_xlfn.ARABIC($H250),MATCH(K250+1,'[1]Normy VP'!$C$25:$F$25,-1),MATCH(K250+1,'[1]Normy VP'!$C$26:$F$26,-1),MATCH(K250+1,'[1]Normy VP'!$C$27:$F$27,-1),MATCH(K250+1,'[1]Normy VP'!$C$28:$F$28,-1),MATCH(K250+1,'[1]Normy VP'!$C$29:$F$29,-1),"muž"),CHOOSE(_xlfn.ARABIC($H250),MATCH(K250+1,'[1]Normy VP'!$C$10:$F$10,-1),MATCH(K250+1,'[1]Normy VP'!$C$11:$F$11,-1),MATCH(K250+1,'[1]Normy VP'!$C$12:$F$12,-1),MATCH(K250+1,'[1]Normy VP'!$C$13:$F$13,-1),MATCH(K250+1,'[1]Normy VP'!$C$14:$F$14,-1),""))),"O")</f>
        <v/>
      </c>
      <c r="Q250" s="24" t="str">
        <f>IF(OR($J250="",$J250="odešel"),IF($F250="žena","",IF(L250="","",(CHOOSE(_xlfn.ARABIC($H250),MATCH(L250+1,'[1]Normy VP'!$G$10:$J$10,-1),MATCH(L250+1,'[1]Normy VP'!$G$11:$J$11,-1),MATCH(L250+1,'[1]Normy VP'!$G$12:$J$12,-1),MATCH(L250+1,'[1]Normy VP'!$G$13:$J$13,-1),MATCH(L250+1,'[1]Normy VP'!$G$14:$J$14,-1),"")))),"O")</f>
        <v/>
      </c>
      <c r="R250" s="34" t="str">
        <f t="shared" si="13"/>
        <v>N</v>
      </c>
      <c r="S250" s="24" t="str">
        <f>IF(OR($J250="",$J250="odešel"),IF(M250="","N",IF($F250="žena",CHOOSE(_xlfn.ARABIC($H250),MATCH(M250+1,'[1]Normy VP'!$G$25:$J$25,-1),MATCH(M250+1,'[1]Normy VP'!$G$26:$J$26,-1),MATCH(M250+1,'[1]Normy VP'!$G$27:$J$27,-1),MATCH(M250+1,'[1]Normy VP'!$G$28:$J$28,-1),MATCH(M250+1,'[1]Normy VP'!$G$29:$J$29,-1),"muž"),(CHOOSE(_xlfn.ARABIC($H250),MATCH(M250+1,'[1]Normy VP'!$K$10:$N$10,-1),MATCH(M250+1,'[1]Normy VP'!$K$11:$N$11,-1),MATCH(M250+1,'[1]Normy VP'!$K$12:$N$12,-1),MATCH(M250+1,'[1]Normy VP'!$K$13:$N$13,-1),MATCH(M250+1,'[1]Normy VP'!$K$14:$N$14,-1),"")))),"O")</f>
        <v>N</v>
      </c>
      <c r="T250" s="34" t="str">
        <f t="shared" si="14"/>
        <v>N</v>
      </c>
      <c r="U250" s="24" t="str">
        <f>IF(OR($J250="",$J250="odešel"),IF(N250="","N",IF($F250="žena",CHOOSE(_xlfn.ARABIC($H250),MATCH(N250+1,'[1]Normy VP'!$K$25:$N$25,-1),MATCH(N250+1,'[1]Normy VP'!$K$26:$N$26,-1),MATCH(N250+1,'[1]Normy VP'!$K$27:$N$27,-1),MATCH(N250+1,'[1]Normy VP'!$K$28:$N$28,-1),MATCH(N250+1,'[1]Normy VP'!$K$29:$N$29,-1),MATCH(N250+1,'[1]Normy VP'!$K$30:$N$30,-1)),CHOOSE(_xlfn.ARABIC($H250),MATCH(N250+1,'[1]Normy VP'!$O$10:$R$10,-1),MATCH(N250+1,'[1]Normy VP'!$O$11:$R$11,-1),MATCH(N250+1,'[1]Normy VP'!$O$12:$R$12,-1),MATCH(N250+1,'[1]Normy VP'!$O$13:$R$13,-1),MATCH(N250+1,'[1]Normy VP'!$O$14:$R$14,-1),MATCH(N250+1,'[1]Normy VP'!$O$15:$R$15,-1)))),"O")</f>
        <v>N</v>
      </c>
      <c r="V250" s="26" t="str">
        <f>IF(OR($J250="",$J250="odešel"),IF(O250="","N",IF($F250="žena",CHOOSE(_xlfn.ARABIC($H250),MATCH(O250-1,'[1]Normy VP'!$O$25:$R$25),MATCH(O250-1,'[1]Normy VP'!$O$26:$R$26),MATCH(O250-1,'[1]Normy VP'!$O$27:$R$27),MATCH(O250-1,'[1]Normy VP'!$O$28:$R$28),MATCH(O250-1,'[1]Normy VP'!$O$29:$R$29),MATCH(O250-1,'[1]Normy VP'!$O$30:$R$30)),CHOOSE(_xlfn.ARABIC($H250),MATCH(O250-1,'[1]Normy VP'!$S$10:$V$10),MATCH(O250-1,'[1]Normy VP'!$S$11:$V$11),MATCH(O250-1,'[1]Normy VP'!$S$12:$V$12),MATCH(O250-1,'[1]Normy VP'!$S$13:$V$13),MATCH(O250-1,'[1]Normy VP'!$S$14:$V$14),MATCH(O250-1,'[1]Normy VP'!$S$15:$V$15)))),"O")</f>
        <v>N</v>
      </c>
      <c r="W250" s="34" t="str">
        <f t="shared" si="15"/>
        <v>N</v>
      </c>
      <c r="X250" s="27" t="str">
        <f>IF(COUNTIF(B250:G250,"")&gt;0,"",IF(COUNTIF([1]PP!$A:$A,A250)=0,"neni v PP",IF(OR(Y250="odešel",VLOOKUP(A250,[1]PP!$A:$W,22,FALSE)="odešel"),"odešel",IF(OR(Y250="N",VLOOKUP(A250,[1]PP!$A:$W,22,FALSE)="N"),"N",IF(OR(Y250="C",VLOOKUP(A250,[1]PP!$A:$W,22,FALSE)="C"),"C",IF(OR(Y250="DZO",VLOOKUP(A250,[1]PP!$A:$W,22,FALSE)="DZO"),"DZO",IF(OR(Y250="mise",Y250="disp.",Y250="končí",Y250="DSC",VLOOKUP(A250,[1]PP!$A:$W,22,FALSE)="mise",VLOOKUP(A250,[1]PP!$A:$W,22,FALSE)="disp.",VLOOKUP(A250,[1]PP!$A:$W,22,FALSE)="končí",VLOOKUP(A250,[1]PP!$A:$W,22,FALSE)="DSC"),"jiné",IF(OR(Y250=4,VLOOKUP(A250,[1]PP!$A:$W,22,FALSE)=4),4,IF(OR(Y250=3,VLOOKUP(A250,[1]PP!$A:$W,22,FALSE)=3),3,IF(OR(Y250=2,VLOOKUP(A250,[1]PP!$A:$W,22,FALSE)=2),2,IF(AND(Y250=1,VLOOKUP(A250,[1]PP!$A:$W,22,FALSE)=1),1)))))))))))</f>
        <v/>
      </c>
      <c r="Y250" s="28" t="str">
        <f>IF(COUNTIF(B250:G250,"")&gt;0,"",IF(COUNTIF([1]PP!$A:$A,A250)=0,"neni v PP",IF(VLOOKUP(A250,[1]PP!$A:$W,8,FALSE)="odešel","odešel",IF(F250="","",IF(J250="",IF(OR(T250=4,W250=4),4,IF(AND(T250="N",W250="N"),"N",IF(OR(T250="N",W250="N"),4,ROUND(AVERAGE(T250,W250),0)))),J250)))))</f>
        <v/>
      </c>
      <c r="Z250" s="29" t="str">
        <f>IF(COUNTIF(B250:G250,"")=0,IF(X250="neni v PP",CONCATENATE("ID: &lt;",A250,"&gt; se neshoduje s žádným IDem v kartě PP"),IF(COUNTIF($A:$A,A250)&gt;1,CONCATENATE("ID: &lt;",A250,"&gt; se v kartě VP opakuje. Je nutné tyto IDy od sebe odlišit, např. mezerou za příjmením."),IF(COUNTIF([1]PP!A:A,A250)&gt;1,CONCATENATE("ID: &lt;",A250,"&gt; se v kartě PP opakuje. Je nutné tyto IDy od sebe odlišit, např. mezerou za příjmením."),IF(VLOOKUP(A250,[1]PP!$A:$W,5,FALSE)&lt;&gt;E250,CONCATENATE($E$4," &lt;",E250,"&gt; se neshoduje s jednotkou v kartě PP"," &lt;",VLOOKUP(A250,[1]PP!$A:$W,5,FALSE),"&gt;"),IF(AND(COUNTIF(K250:O250,"")&lt;5,J250="",I250=""),CONCATENATE("Doplň: ",$I$4),IF(AND(YEAR(I250)&lt;&gt;$E$2,COUNTIF(I250,"")=0),CONCATENATE("špatně uveden &lt;",$D$2,"&gt; nebo &lt;",$I$4,"&gt;"),IF(OR(AND(OR(COUNTIF(C250,"*a"),COUNTIF(C250,"*ie"),COUNTIF(C250,"*ine"),COUNTIF(D250,"*Á")),F250="muž"),AND(AND(COUNTIF(C250,"&lt;&gt;"&amp;"*a"),COUNTIF(C250,"&lt;&gt;"&amp;"*ie"),COUNTIF(C250,"&lt;&gt;"&amp;"*ine"),COUNTIF(D250,"&lt;&gt;"&amp;"*Á")),F250="žena")),CONCATENATE(C250," ",D250," je ",F250,"?"),""))))))),IF(COUNTIF(B250:O250,"")=14,"",CONCATENATE("Doplň: ",IF(B250="",CONCATENATE($B$4,IF(COUNTIF(C250:G250,"")=0,"",", ")),""),IF(C250="",CONCATENATE($C$4,IF(COUNTIF(D250:G250,"")=0,"",", ")),""),IF(D250="",CONCATENATE($D$4,IF(COUNTIF(E250:G250,"")=0,"",", ")),""),IF(E250="",CONCATENATE($E$4,IF(COUNTIF(F250:G250,"")=0,"",", ")),""),IF(F250="",CONCATENATE($F$4,IF(G250="",", ","")),""),IF(G250="",$G$4,""))))</f>
        <v/>
      </c>
      <c r="AA250" s="30"/>
    </row>
    <row r="251" spans="1:27" ht="16" x14ac:dyDescent="0.35">
      <c r="A251" s="14" t="str">
        <f t="shared" si="12"/>
        <v xml:space="preserve">  </v>
      </c>
      <c r="B251" s="15"/>
      <c r="C251" s="31"/>
      <c r="D251" s="31"/>
      <c r="E251" s="17"/>
      <c r="F251" s="18"/>
      <c r="G251" s="32"/>
      <c r="H251" s="33" t="str">
        <f>IF(G251="","",IF(F251="žena",ROMAN(MATCH(G251+1,'[1]Normy VP'!$Y$27:$Y$33,-1)),ROMAN(MATCH(G251+1,'[1]Normy VP'!$Y$19:$Y$25,-1))))</f>
        <v/>
      </c>
      <c r="I251" s="21"/>
      <c r="J251" s="22"/>
      <c r="K251" s="23"/>
      <c r="L251" s="23"/>
      <c r="M251" s="23"/>
      <c r="N251" s="22"/>
      <c r="O251" s="22"/>
      <c r="P251" s="24" t="str">
        <f>IF(OR($J251="",$J251="odešel"),IF(K251="","",IF($F251="žena",CHOOSE(_xlfn.ARABIC($H251),MATCH(K251+1,'[1]Normy VP'!$C$25:$F$25,-1),MATCH(K251+1,'[1]Normy VP'!$C$26:$F$26,-1),MATCH(K251+1,'[1]Normy VP'!$C$27:$F$27,-1),MATCH(K251+1,'[1]Normy VP'!$C$28:$F$28,-1),MATCH(K251+1,'[1]Normy VP'!$C$29:$F$29,-1),"muž"),CHOOSE(_xlfn.ARABIC($H251),MATCH(K251+1,'[1]Normy VP'!$C$10:$F$10,-1),MATCH(K251+1,'[1]Normy VP'!$C$11:$F$11,-1),MATCH(K251+1,'[1]Normy VP'!$C$12:$F$12,-1),MATCH(K251+1,'[1]Normy VP'!$C$13:$F$13,-1),MATCH(K251+1,'[1]Normy VP'!$C$14:$F$14,-1),""))),"O")</f>
        <v/>
      </c>
      <c r="Q251" s="24" t="str">
        <f>IF(OR($J251="",$J251="odešel"),IF($F251="žena","",IF(L251="","",(CHOOSE(_xlfn.ARABIC($H251),MATCH(L251+1,'[1]Normy VP'!$G$10:$J$10,-1),MATCH(L251+1,'[1]Normy VP'!$G$11:$J$11,-1),MATCH(L251+1,'[1]Normy VP'!$G$12:$J$12,-1),MATCH(L251+1,'[1]Normy VP'!$G$13:$J$13,-1),MATCH(L251+1,'[1]Normy VP'!$G$14:$J$14,-1),"")))),"O")</f>
        <v/>
      </c>
      <c r="R251" s="34" t="str">
        <f t="shared" si="13"/>
        <v>N</v>
      </c>
      <c r="S251" s="24" t="str">
        <f>IF(OR($J251="",$J251="odešel"),IF(M251="","N",IF($F251="žena",CHOOSE(_xlfn.ARABIC($H251),MATCH(M251+1,'[1]Normy VP'!$G$25:$J$25,-1),MATCH(M251+1,'[1]Normy VP'!$G$26:$J$26,-1),MATCH(M251+1,'[1]Normy VP'!$G$27:$J$27,-1),MATCH(M251+1,'[1]Normy VP'!$G$28:$J$28,-1),MATCH(M251+1,'[1]Normy VP'!$G$29:$J$29,-1),"muž"),(CHOOSE(_xlfn.ARABIC($H251),MATCH(M251+1,'[1]Normy VP'!$K$10:$N$10,-1),MATCH(M251+1,'[1]Normy VP'!$K$11:$N$11,-1),MATCH(M251+1,'[1]Normy VP'!$K$12:$N$12,-1),MATCH(M251+1,'[1]Normy VP'!$K$13:$N$13,-1),MATCH(M251+1,'[1]Normy VP'!$K$14:$N$14,-1),"")))),"O")</f>
        <v>N</v>
      </c>
      <c r="T251" s="34" t="str">
        <f t="shared" si="14"/>
        <v>N</v>
      </c>
      <c r="U251" s="24" t="str">
        <f>IF(OR($J251="",$J251="odešel"),IF(N251="","N",IF($F251="žena",CHOOSE(_xlfn.ARABIC($H251),MATCH(N251+1,'[1]Normy VP'!$K$25:$N$25,-1),MATCH(N251+1,'[1]Normy VP'!$K$26:$N$26,-1),MATCH(N251+1,'[1]Normy VP'!$K$27:$N$27,-1),MATCH(N251+1,'[1]Normy VP'!$K$28:$N$28,-1),MATCH(N251+1,'[1]Normy VP'!$K$29:$N$29,-1),MATCH(N251+1,'[1]Normy VP'!$K$30:$N$30,-1)),CHOOSE(_xlfn.ARABIC($H251),MATCH(N251+1,'[1]Normy VP'!$O$10:$R$10,-1),MATCH(N251+1,'[1]Normy VP'!$O$11:$R$11,-1),MATCH(N251+1,'[1]Normy VP'!$O$12:$R$12,-1),MATCH(N251+1,'[1]Normy VP'!$O$13:$R$13,-1),MATCH(N251+1,'[1]Normy VP'!$O$14:$R$14,-1),MATCH(N251+1,'[1]Normy VP'!$O$15:$R$15,-1)))),"O")</f>
        <v>N</v>
      </c>
      <c r="V251" s="26" t="str">
        <f>IF(OR($J251="",$J251="odešel"),IF(O251="","N",IF($F251="žena",CHOOSE(_xlfn.ARABIC($H251),MATCH(O251-1,'[1]Normy VP'!$O$25:$R$25),MATCH(O251-1,'[1]Normy VP'!$O$26:$R$26),MATCH(O251-1,'[1]Normy VP'!$O$27:$R$27),MATCH(O251-1,'[1]Normy VP'!$O$28:$R$28),MATCH(O251-1,'[1]Normy VP'!$O$29:$R$29),MATCH(O251-1,'[1]Normy VP'!$O$30:$R$30)),CHOOSE(_xlfn.ARABIC($H251),MATCH(O251-1,'[1]Normy VP'!$S$10:$V$10),MATCH(O251-1,'[1]Normy VP'!$S$11:$V$11),MATCH(O251-1,'[1]Normy VP'!$S$12:$V$12),MATCH(O251-1,'[1]Normy VP'!$S$13:$V$13),MATCH(O251-1,'[1]Normy VP'!$S$14:$V$14),MATCH(O251-1,'[1]Normy VP'!$S$15:$V$15)))),"O")</f>
        <v>N</v>
      </c>
      <c r="W251" s="34" t="str">
        <f t="shared" si="15"/>
        <v>N</v>
      </c>
      <c r="X251" s="27" t="str">
        <f>IF(COUNTIF(B251:G251,"")&gt;0,"",IF(COUNTIF([1]PP!$A:$A,A251)=0,"neni v PP",IF(OR(Y251="odešel",VLOOKUP(A251,[1]PP!$A:$W,22,FALSE)="odešel"),"odešel",IF(OR(Y251="N",VLOOKUP(A251,[1]PP!$A:$W,22,FALSE)="N"),"N",IF(OR(Y251="C",VLOOKUP(A251,[1]PP!$A:$W,22,FALSE)="C"),"C",IF(OR(Y251="DZO",VLOOKUP(A251,[1]PP!$A:$W,22,FALSE)="DZO"),"DZO",IF(OR(Y251="mise",Y251="disp.",Y251="končí",Y251="DSC",VLOOKUP(A251,[1]PP!$A:$W,22,FALSE)="mise",VLOOKUP(A251,[1]PP!$A:$W,22,FALSE)="disp.",VLOOKUP(A251,[1]PP!$A:$W,22,FALSE)="končí",VLOOKUP(A251,[1]PP!$A:$W,22,FALSE)="DSC"),"jiné",IF(OR(Y251=4,VLOOKUP(A251,[1]PP!$A:$W,22,FALSE)=4),4,IF(OR(Y251=3,VLOOKUP(A251,[1]PP!$A:$W,22,FALSE)=3),3,IF(OR(Y251=2,VLOOKUP(A251,[1]PP!$A:$W,22,FALSE)=2),2,IF(AND(Y251=1,VLOOKUP(A251,[1]PP!$A:$W,22,FALSE)=1),1)))))))))))</f>
        <v/>
      </c>
      <c r="Y251" s="28" t="str">
        <f>IF(COUNTIF(B251:G251,"")&gt;0,"",IF(COUNTIF([1]PP!$A:$A,A251)=0,"neni v PP",IF(VLOOKUP(A251,[1]PP!$A:$W,8,FALSE)="odešel","odešel",IF(F251="","",IF(J251="",IF(OR(T251=4,W251=4),4,IF(AND(T251="N",W251="N"),"N",IF(OR(T251="N",W251="N"),4,ROUND(AVERAGE(T251,W251),0)))),J251)))))</f>
        <v/>
      </c>
      <c r="Z251" s="29" t="str">
        <f>IF(COUNTIF(B251:G251,"")=0,IF(X251="neni v PP",CONCATENATE("ID: &lt;",A251,"&gt; se neshoduje s žádným IDem v kartě PP"),IF(COUNTIF($A:$A,A251)&gt;1,CONCATENATE("ID: &lt;",A251,"&gt; se v kartě VP opakuje. Je nutné tyto IDy od sebe odlišit, např. mezerou za příjmením."),IF(COUNTIF([1]PP!A:A,A251)&gt;1,CONCATENATE("ID: &lt;",A251,"&gt; se v kartě PP opakuje. Je nutné tyto IDy od sebe odlišit, např. mezerou za příjmením."),IF(VLOOKUP(A251,[1]PP!$A:$W,5,FALSE)&lt;&gt;E251,CONCATENATE($E$4," &lt;",E251,"&gt; se neshoduje s jednotkou v kartě PP"," &lt;",VLOOKUP(A251,[1]PP!$A:$W,5,FALSE),"&gt;"),IF(AND(COUNTIF(K251:O251,"")&lt;5,J251="",I251=""),CONCATENATE("Doplň: ",$I$4),IF(AND(YEAR(I251)&lt;&gt;$E$2,COUNTIF(I251,"")=0),CONCATENATE("špatně uveden &lt;",$D$2,"&gt; nebo &lt;",$I$4,"&gt;"),IF(OR(AND(OR(COUNTIF(C251,"*a"),COUNTIF(C251,"*ie"),COUNTIF(C251,"*ine"),COUNTIF(D251,"*Á")),F251="muž"),AND(AND(COUNTIF(C251,"&lt;&gt;"&amp;"*a"),COUNTIF(C251,"&lt;&gt;"&amp;"*ie"),COUNTIF(C251,"&lt;&gt;"&amp;"*ine"),COUNTIF(D251,"&lt;&gt;"&amp;"*Á")),F251="žena")),CONCATENATE(C251," ",D251," je ",F251,"?"),""))))))),IF(COUNTIF(B251:O251,"")=14,"",CONCATENATE("Doplň: ",IF(B251="",CONCATENATE($B$4,IF(COUNTIF(C251:G251,"")=0,"",", ")),""),IF(C251="",CONCATENATE($C$4,IF(COUNTIF(D251:G251,"")=0,"",", ")),""),IF(D251="",CONCATENATE($D$4,IF(COUNTIF(E251:G251,"")=0,"",", ")),""),IF(E251="",CONCATENATE($E$4,IF(COUNTIF(F251:G251,"")=0,"",", ")),""),IF(F251="",CONCATENATE($F$4,IF(G251="",", ","")),""),IF(G251="",$G$4,""))))</f>
        <v/>
      </c>
      <c r="AA251" s="30"/>
    </row>
    <row r="252" spans="1:27" ht="16" x14ac:dyDescent="0.35">
      <c r="A252" s="14" t="str">
        <f t="shared" si="12"/>
        <v xml:space="preserve">  </v>
      </c>
      <c r="B252" s="15"/>
      <c r="C252" s="31"/>
      <c r="D252" s="31"/>
      <c r="E252" s="17"/>
      <c r="F252" s="18"/>
      <c r="G252" s="32"/>
      <c r="H252" s="33" t="str">
        <f>IF(G252="","",IF(F252="žena",ROMAN(MATCH(G252+1,'[1]Normy VP'!$Y$27:$Y$33,-1)),ROMAN(MATCH(G252+1,'[1]Normy VP'!$Y$19:$Y$25,-1))))</f>
        <v/>
      </c>
      <c r="I252" s="21"/>
      <c r="J252" s="22"/>
      <c r="K252" s="23"/>
      <c r="L252" s="23"/>
      <c r="M252" s="23"/>
      <c r="N252" s="22"/>
      <c r="O252" s="22"/>
      <c r="P252" s="24" t="str">
        <f>IF(OR($J252="",$J252="odešel"),IF(K252="","",IF($F252="žena",CHOOSE(_xlfn.ARABIC($H252),MATCH(K252+1,'[1]Normy VP'!$C$25:$F$25,-1),MATCH(K252+1,'[1]Normy VP'!$C$26:$F$26,-1),MATCH(K252+1,'[1]Normy VP'!$C$27:$F$27,-1),MATCH(K252+1,'[1]Normy VP'!$C$28:$F$28,-1),MATCH(K252+1,'[1]Normy VP'!$C$29:$F$29,-1),"muž"),CHOOSE(_xlfn.ARABIC($H252),MATCH(K252+1,'[1]Normy VP'!$C$10:$F$10,-1),MATCH(K252+1,'[1]Normy VP'!$C$11:$F$11,-1),MATCH(K252+1,'[1]Normy VP'!$C$12:$F$12,-1),MATCH(K252+1,'[1]Normy VP'!$C$13:$F$13,-1),MATCH(K252+1,'[1]Normy VP'!$C$14:$F$14,-1),""))),"O")</f>
        <v/>
      </c>
      <c r="Q252" s="24" t="str">
        <f>IF(OR($J252="",$J252="odešel"),IF($F252="žena","",IF(L252="","",(CHOOSE(_xlfn.ARABIC($H252),MATCH(L252+1,'[1]Normy VP'!$G$10:$J$10,-1),MATCH(L252+1,'[1]Normy VP'!$G$11:$J$11,-1),MATCH(L252+1,'[1]Normy VP'!$G$12:$J$12,-1),MATCH(L252+1,'[1]Normy VP'!$G$13:$J$13,-1),MATCH(L252+1,'[1]Normy VP'!$G$14:$J$14,-1),"")))),"O")</f>
        <v/>
      </c>
      <c r="R252" s="34" t="str">
        <f t="shared" si="13"/>
        <v>N</v>
      </c>
      <c r="S252" s="24" t="str">
        <f>IF(OR($J252="",$J252="odešel"),IF(M252="","N",IF($F252="žena",CHOOSE(_xlfn.ARABIC($H252),MATCH(M252+1,'[1]Normy VP'!$G$25:$J$25,-1),MATCH(M252+1,'[1]Normy VP'!$G$26:$J$26,-1),MATCH(M252+1,'[1]Normy VP'!$G$27:$J$27,-1),MATCH(M252+1,'[1]Normy VP'!$G$28:$J$28,-1),MATCH(M252+1,'[1]Normy VP'!$G$29:$J$29,-1),"muž"),(CHOOSE(_xlfn.ARABIC($H252),MATCH(M252+1,'[1]Normy VP'!$K$10:$N$10,-1),MATCH(M252+1,'[1]Normy VP'!$K$11:$N$11,-1),MATCH(M252+1,'[1]Normy VP'!$K$12:$N$12,-1),MATCH(M252+1,'[1]Normy VP'!$K$13:$N$13,-1),MATCH(M252+1,'[1]Normy VP'!$K$14:$N$14,-1),"")))),"O")</f>
        <v>N</v>
      </c>
      <c r="T252" s="34" t="str">
        <f t="shared" si="14"/>
        <v>N</v>
      </c>
      <c r="U252" s="24" t="str">
        <f>IF(OR($J252="",$J252="odešel"),IF(N252="","N",IF($F252="žena",CHOOSE(_xlfn.ARABIC($H252),MATCH(N252+1,'[1]Normy VP'!$K$25:$N$25,-1),MATCH(N252+1,'[1]Normy VP'!$K$26:$N$26,-1),MATCH(N252+1,'[1]Normy VP'!$K$27:$N$27,-1),MATCH(N252+1,'[1]Normy VP'!$K$28:$N$28,-1),MATCH(N252+1,'[1]Normy VP'!$K$29:$N$29,-1),MATCH(N252+1,'[1]Normy VP'!$K$30:$N$30,-1)),CHOOSE(_xlfn.ARABIC($H252),MATCH(N252+1,'[1]Normy VP'!$O$10:$R$10,-1),MATCH(N252+1,'[1]Normy VP'!$O$11:$R$11,-1),MATCH(N252+1,'[1]Normy VP'!$O$12:$R$12,-1),MATCH(N252+1,'[1]Normy VP'!$O$13:$R$13,-1),MATCH(N252+1,'[1]Normy VP'!$O$14:$R$14,-1),MATCH(N252+1,'[1]Normy VP'!$O$15:$R$15,-1)))),"O")</f>
        <v>N</v>
      </c>
      <c r="V252" s="26" t="str">
        <f>IF(OR($J252="",$J252="odešel"),IF(O252="","N",IF($F252="žena",CHOOSE(_xlfn.ARABIC($H252),MATCH(O252-1,'[1]Normy VP'!$O$25:$R$25),MATCH(O252-1,'[1]Normy VP'!$O$26:$R$26),MATCH(O252-1,'[1]Normy VP'!$O$27:$R$27),MATCH(O252-1,'[1]Normy VP'!$O$28:$R$28),MATCH(O252-1,'[1]Normy VP'!$O$29:$R$29),MATCH(O252-1,'[1]Normy VP'!$O$30:$R$30)),CHOOSE(_xlfn.ARABIC($H252),MATCH(O252-1,'[1]Normy VP'!$S$10:$V$10),MATCH(O252-1,'[1]Normy VP'!$S$11:$V$11),MATCH(O252-1,'[1]Normy VP'!$S$12:$V$12),MATCH(O252-1,'[1]Normy VP'!$S$13:$V$13),MATCH(O252-1,'[1]Normy VP'!$S$14:$V$14),MATCH(O252-1,'[1]Normy VP'!$S$15:$V$15)))),"O")</f>
        <v>N</v>
      </c>
      <c r="W252" s="34" t="str">
        <f t="shared" si="15"/>
        <v>N</v>
      </c>
      <c r="X252" s="27" t="str">
        <f>IF(COUNTIF(B252:G252,"")&gt;0,"",IF(COUNTIF([1]PP!$A:$A,A252)=0,"neni v PP",IF(OR(Y252="odešel",VLOOKUP(A252,[1]PP!$A:$W,22,FALSE)="odešel"),"odešel",IF(OR(Y252="N",VLOOKUP(A252,[1]PP!$A:$W,22,FALSE)="N"),"N",IF(OR(Y252="C",VLOOKUP(A252,[1]PP!$A:$W,22,FALSE)="C"),"C",IF(OR(Y252="DZO",VLOOKUP(A252,[1]PP!$A:$W,22,FALSE)="DZO"),"DZO",IF(OR(Y252="mise",Y252="disp.",Y252="končí",Y252="DSC",VLOOKUP(A252,[1]PP!$A:$W,22,FALSE)="mise",VLOOKUP(A252,[1]PP!$A:$W,22,FALSE)="disp.",VLOOKUP(A252,[1]PP!$A:$W,22,FALSE)="končí",VLOOKUP(A252,[1]PP!$A:$W,22,FALSE)="DSC"),"jiné",IF(OR(Y252=4,VLOOKUP(A252,[1]PP!$A:$W,22,FALSE)=4),4,IF(OR(Y252=3,VLOOKUP(A252,[1]PP!$A:$W,22,FALSE)=3),3,IF(OR(Y252=2,VLOOKUP(A252,[1]PP!$A:$W,22,FALSE)=2),2,IF(AND(Y252=1,VLOOKUP(A252,[1]PP!$A:$W,22,FALSE)=1),1)))))))))))</f>
        <v/>
      </c>
      <c r="Y252" s="28" t="str">
        <f>IF(COUNTIF(B252:G252,"")&gt;0,"",IF(COUNTIF([1]PP!$A:$A,A252)=0,"neni v PP",IF(VLOOKUP(A252,[1]PP!$A:$W,8,FALSE)="odešel","odešel",IF(F252="","",IF(J252="",IF(OR(T252=4,W252=4),4,IF(AND(T252="N",W252="N"),"N",IF(OR(T252="N",W252="N"),4,ROUND(AVERAGE(T252,W252),0)))),J252)))))</f>
        <v/>
      </c>
      <c r="Z252" s="29" t="str">
        <f>IF(COUNTIF(B252:G252,"")=0,IF(X252="neni v PP",CONCATENATE("ID: &lt;",A252,"&gt; se neshoduje s žádným IDem v kartě PP"),IF(COUNTIF($A:$A,A252)&gt;1,CONCATENATE("ID: &lt;",A252,"&gt; se v kartě VP opakuje. Je nutné tyto IDy od sebe odlišit, např. mezerou za příjmením."),IF(COUNTIF([1]PP!A:A,A252)&gt;1,CONCATENATE("ID: &lt;",A252,"&gt; se v kartě PP opakuje. Je nutné tyto IDy od sebe odlišit, např. mezerou za příjmením."),IF(VLOOKUP(A252,[1]PP!$A:$W,5,FALSE)&lt;&gt;E252,CONCATENATE($E$4," &lt;",E252,"&gt; se neshoduje s jednotkou v kartě PP"," &lt;",VLOOKUP(A252,[1]PP!$A:$W,5,FALSE),"&gt;"),IF(AND(COUNTIF(K252:O252,"")&lt;5,J252="",I252=""),CONCATENATE("Doplň: ",$I$4),IF(AND(YEAR(I252)&lt;&gt;$E$2,COUNTIF(I252,"")=0),CONCATENATE("špatně uveden &lt;",$D$2,"&gt; nebo &lt;",$I$4,"&gt;"),IF(OR(AND(OR(COUNTIF(C252,"*a"),COUNTIF(C252,"*ie"),COUNTIF(C252,"*ine"),COUNTIF(D252,"*Á")),F252="muž"),AND(AND(COUNTIF(C252,"&lt;&gt;"&amp;"*a"),COUNTIF(C252,"&lt;&gt;"&amp;"*ie"),COUNTIF(C252,"&lt;&gt;"&amp;"*ine"),COUNTIF(D252,"&lt;&gt;"&amp;"*Á")),F252="žena")),CONCATENATE(C252," ",D252," je ",F252,"?"),""))))))),IF(COUNTIF(B252:O252,"")=14,"",CONCATENATE("Doplň: ",IF(B252="",CONCATENATE($B$4,IF(COUNTIF(C252:G252,"")=0,"",", ")),""),IF(C252="",CONCATENATE($C$4,IF(COUNTIF(D252:G252,"")=0,"",", ")),""),IF(D252="",CONCATENATE($D$4,IF(COUNTIF(E252:G252,"")=0,"",", ")),""),IF(E252="",CONCATENATE($E$4,IF(COUNTIF(F252:G252,"")=0,"",", ")),""),IF(F252="",CONCATENATE($F$4,IF(G252="",", ","")),""),IF(G252="",$G$4,""))))</f>
        <v/>
      </c>
      <c r="AA252" s="30"/>
    </row>
    <row r="253" spans="1:27" ht="16" x14ac:dyDescent="0.35">
      <c r="A253" s="14" t="str">
        <f t="shared" si="12"/>
        <v xml:space="preserve">  </v>
      </c>
      <c r="B253" s="15"/>
      <c r="C253" s="31"/>
      <c r="D253" s="31"/>
      <c r="E253" s="17"/>
      <c r="F253" s="18"/>
      <c r="G253" s="32"/>
      <c r="H253" s="33" t="str">
        <f>IF(G253="","",IF(F253="žena",ROMAN(MATCH(G253+1,'[1]Normy VP'!$Y$27:$Y$33,-1)),ROMAN(MATCH(G253+1,'[1]Normy VP'!$Y$19:$Y$25,-1))))</f>
        <v/>
      </c>
      <c r="I253" s="21"/>
      <c r="J253" s="22"/>
      <c r="K253" s="23"/>
      <c r="L253" s="23"/>
      <c r="M253" s="23"/>
      <c r="N253" s="22"/>
      <c r="O253" s="22"/>
      <c r="P253" s="24" t="str">
        <f>IF(OR($J253="",$J253="odešel"),IF(K253="","",IF($F253="žena",CHOOSE(_xlfn.ARABIC($H253),MATCH(K253+1,'[1]Normy VP'!$C$25:$F$25,-1),MATCH(K253+1,'[1]Normy VP'!$C$26:$F$26,-1),MATCH(K253+1,'[1]Normy VP'!$C$27:$F$27,-1),MATCH(K253+1,'[1]Normy VP'!$C$28:$F$28,-1),MATCH(K253+1,'[1]Normy VP'!$C$29:$F$29,-1),"muž"),CHOOSE(_xlfn.ARABIC($H253),MATCH(K253+1,'[1]Normy VP'!$C$10:$F$10,-1),MATCH(K253+1,'[1]Normy VP'!$C$11:$F$11,-1),MATCH(K253+1,'[1]Normy VP'!$C$12:$F$12,-1),MATCH(K253+1,'[1]Normy VP'!$C$13:$F$13,-1),MATCH(K253+1,'[1]Normy VP'!$C$14:$F$14,-1),""))),"O")</f>
        <v/>
      </c>
      <c r="Q253" s="24" t="str">
        <f>IF(OR($J253="",$J253="odešel"),IF($F253="žena","",IF(L253="","",(CHOOSE(_xlfn.ARABIC($H253),MATCH(L253+1,'[1]Normy VP'!$G$10:$J$10,-1),MATCH(L253+1,'[1]Normy VP'!$G$11:$J$11,-1),MATCH(L253+1,'[1]Normy VP'!$G$12:$J$12,-1),MATCH(L253+1,'[1]Normy VP'!$G$13:$J$13,-1),MATCH(L253+1,'[1]Normy VP'!$G$14:$J$14,-1),"")))),"O")</f>
        <v/>
      </c>
      <c r="R253" s="34" t="str">
        <f t="shared" si="13"/>
        <v>N</v>
      </c>
      <c r="S253" s="24" t="str">
        <f>IF(OR($J253="",$J253="odešel"),IF(M253="","N",IF($F253="žena",CHOOSE(_xlfn.ARABIC($H253),MATCH(M253+1,'[1]Normy VP'!$G$25:$J$25,-1),MATCH(M253+1,'[1]Normy VP'!$G$26:$J$26,-1),MATCH(M253+1,'[1]Normy VP'!$G$27:$J$27,-1),MATCH(M253+1,'[1]Normy VP'!$G$28:$J$28,-1),MATCH(M253+1,'[1]Normy VP'!$G$29:$J$29,-1),"muž"),(CHOOSE(_xlfn.ARABIC($H253),MATCH(M253+1,'[1]Normy VP'!$K$10:$N$10,-1),MATCH(M253+1,'[1]Normy VP'!$K$11:$N$11,-1),MATCH(M253+1,'[1]Normy VP'!$K$12:$N$12,-1),MATCH(M253+1,'[1]Normy VP'!$K$13:$N$13,-1),MATCH(M253+1,'[1]Normy VP'!$K$14:$N$14,-1),"")))),"O")</f>
        <v>N</v>
      </c>
      <c r="T253" s="34" t="str">
        <f t="shared" si="14"/>
        <v>N</v>
      </c>
      <c r="U253" s="24" t="str">
        <f>IF(OR($J253="",$J253="odešel"),IF(N253="","N",IF($F253="žena",CHOOSE(_xlfn.ARABIC($H253),MATCH(N253+1,'[1]Normy VP'!$K$25:$N$25,-1),MATCH(N253+1,'[1]Normy VP'!$K$26:$N$26,-1),MATCH(N253+1,'[1]Normy VP'!$K$27:$N$27,-1),MATCH(N253+1,'[1]Normy VP'!$K$28:$N$28,-1),MATCH(N253+1,'[1]Normy VP'!$K$29:$N$29,-1),MATCH(N253+1,'[1]Normy VP'!$K$30:$N$30,-1)),CHOOSE(_xlfn.ARABIC($H253),MATCH(N253+1,'[1]Normy VP'!$O$10:$R$10,-1),MATCH(N253+1,'[1]Normy VP'!$O$11:$R$11,-1),MATCH(N253+1,'[1]Normy VP'!$O$12:$R$12,-1),MATCH(N253+1,'[1]Normy VP'!$O$13:$R$13,-1),MATCH(N253+1,'[1]Normy VP'!$O$14:$R$14,-1),MATCH(N253+1,'[1]Normy VP'!$O$15:$R$15,-1)))),"O")</f>
        <v>N</v>
      </c>
      <c r="V253" s="26" t="str">
        <f>IF(OR($J253="",$J253="odešel"),IF(O253="","N",IF($F253="žena",CHOOSE(_xlfn.ARABIC($H253),MATCH(O253-1,'[1]Normy VP'!$O$25:$R$25),MATCH(O253-1,'[1]Normy VP'!$O$26:$R$26),MATCH(O253-1,'[1]Normy VP'!$O$27:$R$27),MATCH(O253-1,'[1]Normy VP'!$O$28:$R$28),MATCH(O253-1,'[1]Normy VP'!$O$29:$R$29),MATCH(O253-1,'[1]Normy VP'!$O$30:$R$30)),CHOOSE(_xlfn.ARABIC($H253),MATCH(O253-1,'[1]Normy VP'!$S$10:$V$10),MATCH(O253-1,'[1]Normy VP'!$S$11:$V$11),MATCH(O253-1,'[1]Normy VP'!$S$12:$V$12),MATCH(O253-1,'[1]Normy VP'!$S$13:$V$13),MATCH(O253-1,'[1]Normy VP'!$S$14:$V$14),MATCH(O253-1,'[1]Normy VP'!$S$15:$V$15)))),"O")</f>
        <v>N</v>
      </c>
      <c r="W253" s="34" t="str">
        <f t="shared" si="15"/>
        <v>N</v>
      </c>
      <c r="X253" s="27" t="str">
        <f>IF(COUNTIF(B253:G253,"")&gt;0,"",IF(COUNTIF([1]PP!$A:$A,A253)=0,"neni v PP",IF(OR(Y253="odešel",VLOOKUP(A253,[1]PP!$A:$W,22,FALSE)="odešel"),"odešel",IF(OR(Y253="N",VLOOKUP(A253,[1]PP!$A:$W,22,FALSE)="N"),"N",IF(OR(Y253="C",VLOOKUP(A253,[1]PP!$A:$W,22,FALSE)="C"),"C",IF(OR(Y253="DZO",VLOOKUP(A253,[1]PP!$A:$W,22,FALSE)="DZO"),"DZO",IF(OR(Y253="mise",Y253="disp.",Y253="končí",Y253="DSC",VLOOKUP(A253,[1]PP!$A:$W,22,FALSE)="mise",VLOOKUP(A253,[1]PP!$A:$W,22,FALSE)="disp.",VLOOKUP(A253,[1]PP!$A:$W,22,FALSE)="končí",VLOOKUP(A253,[1]PP!$A:$W,22,FALSE)="DSC"),"jiné",IF(OR(Y253=4,VLOOKUP(A253,[1]PP!$A:$W,22,FALSE)=4),4,IF(OR(Y253=3,VLOOKUP(A253,[1]PP!$A:$W,22,FALSE)=3),3,IF(OR(Y253=2,VLOOKUP(A253,[1]PP!$A:$W,22,FALSE)=2),2,IF(AND(Y253=1,VLOOKUP(A253,[1]PP!$A:$W,22,FALSE)=1),1)))))))))))</f>
        <v/>
      </c>
      <c r="Y253" s="28" t="str">
        <f>IF(COUNTIF(B253:G253,"")&gt;0,"",IF(COUNTIF([1]PP!$A:$A,A253)=0,"neni v PP",IF(VLOOKUP(A253,[1]PP!$A:$W,8,FALSE)="odešel","odešel",IF(F253="","",IF(J253="",IF(OR(T253=4,W253=4),4,IF(AND(T253="N",W253="N"),"N",IF(OR(T253="N",W253="N"),4,ROUND(AVERAGE(T253,W253),0)))),J253)))))</f>
        <v/>
      </c>
      <c r="Z253" s="29" t="str">
        <f>IF(COUNTIF(B253:G253,"")=0,IF(X253="neni v PP",CONCATENATE("ID: &lt;",A253,"&gt; se neshoduje s žádným IDem v kartě PP"),IF(COUNTIF($A:$A,A253)&gt;1,CONCATENATE("ID: &lt;",A253,"&gt; se v kartě VP opakuje. Je nutné tyto IDy od sebe odlišit, např. mezerou za příjmením."),IF(COUNTIF([1]PP!A:A,A253)&gt;1,CONCATENATE("ID: &lt;",A253,"&gt; se v kartě PP opakuje. Je nutné tyto IDy od sebe odlišit, např. mezerou za příjmením."),IF(VLOOKUP(A253,[1]PP!$A:$W,5,FALSE)&lt;&gt;E253,CONCATENATE($E$4," &lt;",E253,"&gt; se neshoduje s jednotkou v kartě PP"," &lt;",VLOOKUP(A253,[1]PP!$A:$W,5,FALSE),"&gt;"),IF(AND(COUNTIF(K253:O253,"")&lt;5,J253="",I253=""),CONCATENATE("Doplň: ",$I$4),IF(AND(YEAR(I253)&lt;&gt;$E$2,COUNTIF(I253,"")=0),CONCATENATE("špatně uveden &lt;",$D$2,"&gt; nebo &lt;",$I$4,"&gt;"),IF(OR(AND(OR(COUNTIF(C253,"*a"),COUNTIF(C253,"*ie"),COUNTIF(C253,"*ine"),COUNTIF(D253,"*Á")),F253="muž"),AND(AND(COUNTIF(C253,"&lt;&gt;"&amp;"*a"),COUNTIF(C253,"&lt;&gt;"&amp;"*ie"),COUNTIF(C253,"&lt;&gt;"&amp;"*ine"),COUNTIF(D253,"&lt;&gt;"&amp;"*Á")),F253="žena")),CONCATENATE(C253," ",D253," je ",F253,"?"),""))))))),IF(COUNTIF(B253:O253,"")=14,"",CONCATENATE("Doplň: ",IF(B253="",CONCATENATE($B$4,IF(COUNTIF(C253:G253,"")=0,"",", ")),""),IF(C253="",CONCATENATE($C$4,IF(COUNTIF(D253:G253,"")=0,"",", ")),""),IF(D253="",CONCATENATE($D$4,IF(COUNTIF(E253:G253,"")=0,"",", ")),""),IF(E253="",CONCATENATE($E$4,IF(COUNTIF(F253:G253,"")=0,"",", ")),""),IF(F253="",CONCATENATE($F$4,IF(G253="",", ","")),""),IF(G253="",$G$4,""))))</f>
        <v/>
      </c>
      <c r="AA253" s="30"/>
    </row>
    <row r="254" spans="1:27" ht="16" x14ac:dyDescent="0.35">
      <c r="A254" s="14" t="str">
        <f t="shared" si="12"/>
        <v xml:space="preserve">  </v>
      </c>
      <c r="B254" s="15"/>
      <c r="C254" s="31"/>
      <c r="D254" s="31"/>
      <c r="E254" s="17"/>
      <c r="F254" s="18"/>
      <c r="G254" s="32"/>
      <c r="H254" s="33" t="str">
        <f>IF(G254="","",IF(F254="žena",ROMAN(MATCH(G254+1,'[1]Normy VP'!$Y$27:$Y$33,-1)),ROMAN(MATCH(G254+1,'[1]Normy VP'!$Y$19:$Y$25,-1))))</f>
        <v/>
      </c>
      <c r="I254" s="21"/>
      <c r="J254" s="22"/>
      <c r="K254" s="23"/>
      <c r="L254" s="23"/>
      <c r="M254" s="23"/>
      <c r="N254" s="22"/>
      <c r="O254" s="22"/>
      <c r="P254" s="24" t="str">
        <f>IF(OR($J254="",$J254="odešel"),IF(K254="","",IF($F254="žena",CHOOSE(_xlfn.ARABIC($H254),MATCH(K254+1,'[1]Normy VP'!$C$25:$F$25,-1),MATCH(K254+1,'[1]Normy VP'!$C$26:$F$26,-1),MATCH(K254+1,'[1]Normy VP'!$C$27:$F$27,-1),MATCH(K254+1,'[1]Normy VP'!$C$28:$F$28,-1),MATCH(K254+1,'[1]Normy VP'!$C$29:$F$29,-1),"muž"),CHOOSE(_xlfn.ARABIC($H254),MATCH(K254+1,'[1]Normy VP'!$C$10:$F$10,-1),MATCH(K254+1,'[1]Normy VP'!$C$11:$F$11,-1),MATCH(K254+1,'[1]Normy VP'!$C$12:$F$12,-1),MATCH(K254+1,'[1]Normy VP'!$C$13:$F$13,-1),MATCH(K254+1,'[1]Normy VP'!$C$14:$F$14,-1),""))),"O")</f>
        <v/>
      </c>
      <c r="Q254" s="24" t="str">
        <f>IF(OR($J254="",$J254="odešel"),IF($F254="žena","",IF(L254="","",(CHOOSE(_xlfn.ARABIC($H254),MATCH(L254+1,'[1]Normy VP'!$G$10:$J$10,-1),MATCH(L254+1,'[1]Normy VP'!$G$11:$J$11,-1),MATCH(L254+1,'[1]Normy VP'!$G$12:$J$12,-1),MATCH(L254+1,'[1]Normy VP'!$G$13:$J$13,-1),MATCH(L254+1,'[1]Normy VP'!$G$14:$J$14,-1),"")))),"O")</f>
        <v/>
      </c>
      <c r="R254" s="34" t="str">
        <f t="shared" si="13"/>
        <v>N</v>
      </c>
      <c r="S254" s="24" t="str">
        <f>IF(OR($J254="",$J254="odešel"),IF(M254="","N",IF($F254="žena",CHOOSE(_xlfn.ARABIC($H254),MATCH(M254+1,'[1]Normy VP'!$G$25:$J$25,-1),MATCH(M254+1,'[1]Normy VP'!$G$26:$J$26,-1),MATCH(M254+1,'[1]Normy VP'!$G$27:$J$27,-1),MATCH(M254+1,'[1]Normy VP'!$G$28:$J$28,-1),MATCH(M254+1,'[1]Normy VP'!$G$29:$J$29,-1),"muž"),(CHOOSE(_xlfn.ARABIC($H254),MATCH(M254+1,'[1]Normy VP'!$K$10:$N$10,-1),MATCH(M254+1,'[1]Normy VP'!$K$11:$N$11,-1),MATCH(M254+1,'[1]Normy VP'!$K$12:$N$12,-1),MATCH(M254+1,'[1]Normy VP'!$K$13:$N$13,-1),MATCH(M254+1,'[1]Normy VP'!$K$14:$N$14,-1),"")))),"O")</f>
        <v>N</v>
      </c>
      <c r="T254" s="34" t="str">
        <f t="shared" si="14"/>
        <v>N</v>
      </c>
      <c r="U254" s="24" t="str">
        <f>IF(OR($J254="",$J254="odešel"),IF(N254="","N",IF($F254="žena",CHOOSE(_xlfn.ARABIC($H254),MATCH(N254+1,'[1]Normy VP'!$K$25:$N$25,-1),MATCH(N254+1,'[1]Normy VP'!$K$26:$N$26,-1),MATCH(N254+1,'[1]Normy VP'!$K$27:$N$27,-1),MATCH(N254+1,'[1]Normy VP'!$K$28:$N$28,-1),MATCH(N254+1,'[1]Normy VP'!$K$29:$N$29,-1),MATCH(N254+1,'[1]Normy VP'!$K$30:$N$30,-1)),CHOOSE(_xlfn.ARABIC($H254),MATCH(N254+1,'[1]Normy VP'!$O$10:$R$10,-1),MATCH(N254+1,'[1]Normy VP'!$O$11:$R$11,-1),MATCH(N254+1,'[1]Normy VP'!$O$12:$R$12,-1),MATCH(N254+1,'[1]Normy VP'!$O$13:$R$13,-1),MATCH(N254+1,'[1]Normy VP'!$O$14:$R$14,-1),MATCH(N254+1,'[1]Normy VP'!$O$15:$R$15,-1)))),"O")</f>
        <v>N</v>
      </c>
      <c r="V254" s="26" t="str">
        <f>IF(OR($J254="",$J254="odešel"),IF(O254="","N",IF($F254="žena",CHOOSE(_xlfn.ARABIC($H254),MATCH(O254-1,'[1]Normy VP'!$O$25:$R$25),MATCH(O254-1,'[1]Normy VP'!$O$26:$R$26),MATCH(O254-1,'[1]Normy VP'!$O$27:$R$27),MATCH(O254-1,'[1]Normy VP'!$O$28:$R$28),MATCH(O254-1,'[1]Normy VP'!$O$29:$R$29),MATCH(O254-1,'[1]Normy VP'!$O$30:$R$30)),CHOOSE(_xlfn.ARABIC($H254),MATCH(O254-1,'[1]Normy VP'!$S$10:$V$10),MATCH(O254-1,'[1]Normy VP'!$S$11:$V$11),MATCH(O254-1,'[1]Normy VP'!$S$12:$V$12),MATCH(O254-1,'[1]Normy VP'!$S$13:$V$13),MATCH(O254-1,'[1]Normy VP'!$S$14:$V$14),MATCH(O254-1,'[1]Normy VP'!$S$15:$V$15)))),"O")</f>
        <v>N</v>
      </c>
      <c r="W254" s="34" t="str">
        <f t="shared" si="15"/>
        <v>N</v>
      </c>
      <c r="X254" s="27" t="str">
        <f>IF(COUNTIF(B254:G254,"")&gt;0,"",IF(COUNTIF([1]PP!$A:$A,A254)=0,"neni v PP",IF(OR(Y254="odešel",VLOOKUP(A254,[1]PP!$A:$W,22,FALSE)="odešel"),"odešel",IF(OR(Y254="N",VLOOKUP(A254,[1]PP!$A:$W,22,FALSE)="N"),"N",IF(OR(Y254="C",VLOOKUP(A254,[1]PP!$A:$W,22,FALSE)="C"),"C",IF(OR(Y254="DZO",VLOOKUP(A254,[1]PP!$A:$W,22,FALSE)="DZO"),"DZO",IF(OR(Y254="mise",Y254="disp.",Y254="končí",Y254="DSC",VLOOKUP(A254,[1]PP!$A:$W,22,FALSE)="mise",VLOOKUP(A254,[1]PP!$A:$W,22,FALSE)="disp.",VLOOKUP(A254,[1]PP!$A:$W,22,FALSE)="končí",VLOOKUP(A254,[1]PP!$A:$W,22,FALSE)="DSC"),"jiné",IF(OR(Y254=4,VLOOKUP(A254,[1]PP!$A:$W,22,FALSE)=4),4,IF(OR(Y254=3,VLOOKUP(A254,[1]PP!$A:$W,22,FALSE)=3),3,IF(OR(Y254=2,VLOOKUP(A254,[1]PP!$A:$W,22,FALSE)=2),2,IF(AND(Y254=1,VLOOKUP(A254,[1]PP!$A:$W,22,FALSE)=1),1)))))))))))</f>
        <v/>
      </c>
      <c r="Y254" s="28" t="str">
        <f>IF(COUNTIF(B254:G254,"")&gt;0,"",IF(COUNTIF([1]PP!$A:$A,A254)=0,"neni v PP",IF(VLOOKUP(A254,[1]PP!$A:$W,8,FALSE)="odešel","odešel",IF(F254="","",IF(J254="",IF(OR(T254=4,W254=4),4,IF(AND(T254="N",W254="N"),"N",IF(OR(T254="N",W254="N"),4,ROUND(AVERAGE(T254,W254),0)))),J254)))))</f>
        <v/>
      </c>
      <c r="Z254" s="29" t="str">
        <f>IF(COUNTIF(B254:G254,"")=0,IF(X254="neni v PP",CONCATENATE("ID: &lt;",A254,"&gt; se neshoduje s žádným IDem v kartě PP"),IF(COUNTIF($A:$A,A254)&gt;1,CONCATENATE("ID: &lt;",A254,"&gt; se v kartě VP opakuje. Je nutné tyto IDy od sebe odlišit, např. mezerou za příjmením."),IF(COUNTIF([1]PP!A:A,A254)&gt;1,CONCATENATE("ID: &lt;",A254,"&gt; se v kartě PP opakuje. Je nutné tyto IDy od sebe odlišit, např. mezerou za příjmením."),IF(VLOOKUP(A254,[1]PP!$A:$W,5,FALSE)&lt;&gt;E254,CONCATENATE($E$4," &lt;",E254,"&gt; se neshoduje s jednotkou v kartě PP"," &lt;",VLOOKUP(A254,[1]PP!$A:$W,5,FALSE),"&gt;"),IF(AND(COUNTIF(K254:O254,"")&lt;5,J254="",I254=""),CONCATENATE("Doplň: ",$I$4),IF(AND(YEAR(I254)&lt;&gt;$E$2,COUNTIF(I254,"")=0),CONCATENATE("špatně uveden &lt;",$D$2,"&gt; nebo &lt;",$I$4,"&gt;"),IF(OR(AND(OR(COUNTIF(C254,"*a"),COUNTIF(C254,"*ie"),COUNTIF(C254,"*ine"),COUNTIF(D254,"*Á")),F254="muž"),AND(AND(COUNTIF(C254,"&lt;&gt;"&amp;"*a"),COUNTIF(C254,"&lt;&gt;"&amp;"*ie"),COUNTIF(C254,"&lt;&gt;"&amp;"*ine"),COUNTIF(D254,"&lt;&gt;"&amp;"*Á")),F254="žena")),CONCATENATE(C254," ",D254," je ",F254,"?"),""))))))),IF(COUNTIF(B254:O254,"")=14,"",CONCATENATE("Doplň: ",IF(B254="",CONCATENATE($B$4,IF(COUNTIF(C254:G254,"")=0,"",", ")),""),IF(C254="",CONCATENATE($C$4,IF(COUNTIF(D254:G254,"")=0,"",", ")),""),IF(D254="",CONCATENATE($D$4,IF(COUNTIF(E254:G254,"")=0,"",", ")),""),IF(E254="",CONCATENATE($E$4,IF(COUNTIF(F254:G254,"")=0,"",", ")),""),IF(F254="",CONCATENATE($F$4,IF(G254="",", ","")),""),IF(G254="",$G$4,""))))</f>
        <v/>
      </c>
      <c r="AA254" s="30"/>
    </row>
    <row r="255" spans="1:27" ht="16" x14ac:dyDescent="0.35">
      <c r="A255" s="14" t="str">
        <f t="shared" si="12"/>
        <v xml:space="preserve">  </v>
      </c>
      <c r="B255" s="15"/>
      <c r="C255" s="31"/>
      <c r="D255" s="31"/>
      <c r="E255" s="17"/>
      <c r="F255" s="18"/>
      <c r="G255" s="32"/>
      <c r="H255" s="33" t="str">
        <f>IF(G255="","",IF(F255="žena",ROMAN(MATCH(G255+1,'[1]Normy VP'!$Y$27:$Y$33,-1)),ROMAN(MATCH(G255+1,'[1]Normy VP'!$Y$19:$Y$25,-1))))</f>
        <v/>
      </c>
      <c r="I255" s="21"/>
      <c r="J255" s="22"/>
      <c r="K255" s="23"/>
      <c r="L255" s="23"/>
      <c r="M255" s="23"/>
      <c r="N255" s="22"/>
      <c r="O255" s="22"/>
      <c r="P255" s="24" t="str">
        <f>IF(OR($J255="",$J255="odešel"),IF(K255="","",IF($F255="žena",CHOOSE(_xlfn.ARABIC($H255),MATCH(K255+1,'[1]Normy VP'!$C$25:$F$25,-1),MATCH(K255+1,'[1]Normy VP'!$C$26:$F$26,-1),MATCH(K255+1,'[1]Normy VP'!$C$27:$F$27,-1),MATCH(K255+1,'[1]Normy VP'!$C$28:$F$28,-1),MATCH(K255+1,'[1]Normy VP'!$C$29:$F$29,-1),"muž"),CHOOSE(_xlfn.ARABIC($H255),MATCH(K255+1,'[1]Normy VP'!$C$10:$F$10,-1),MATCH(K255+1,'[1]Normy VP'!$C$11:$F$11,-1),MATCH(K255+1,'[1]Normy VP'!$C$12:$F$12,-1),MATCH(K255+1,'[1]Normy VP'!$C$13:$F$13,-1),MATCH(K255+1,'[1]Normy VP'!$C$14:$F$14,-1),""))),"O")</f>
        <v/>
      </c>
      <c r="Q255" s="24" t="str">
        <f>IF(OR($J255="",$J255="odešel"),IF($F255="žena","",IF(L255="","",(CHOOSE(_xlfn.ARABIC($H255),MATCH(L255+1,'[1]Normy VP'!$G$10:$J$10,-1),MATCH(L255+1,'[1]Normy VP'!$G$11:$J$11,-1),MATCH(L255+1,'[1]Normy VP'!$G$12:$J$12,-1),MATCH(L255+1,'[1]Normy VP'!$G$13:$J$13,-1),MATCH(L255+1,'[1]Normy VP'!$G$14:$J$14,-1),"")))),"O")</f>
        <v/>
      </c>
      <c r="R255" s="34" t="str">
        <f t="shared" si="13"/>
        <v>N</v>
      </c>
      <c r="S255" s="24" t="str">
        <f>IF(OR($J255="",$J255="odešel"),IF(M255="","N",IF($F255="žena",CHOOSE(_xlfn.ARABIC($H255),MATCH(M255+1,'[1]Normy VP'!$G$25:$J$25,-1),MATCH(M255+1,'[1]Normy VP'!$G$26:$J$26,-1),MATCH(M255+1,'[1]Normy VP'!$G$27:$J$27,-1),MATCH(M255+1,'[1]Normy VP'!$G$28:$J$28,-1),MATCH(M255+1,'[1]Normy VP'!$G$29:$J$29,-1),"muž"),(CHOOSE(_xlfn.ARABIC($H255),MATCH(M255+1,'[1]Normy VP'!$K$10:$N$10,-1),MATCH(M255+1,'[1]Normy VP'!$K$11:$N$11,-1),MATCH(M255+1,'[1]Normy VP'!$K$12:$N$12,-1),MATCH(M255+1,'[1]Normy VP'!$K$13:$N$13,-1),MATCH(M255+1,'[1]Normy VP'!$K$14:$N$14,-1),"")))),"O")</f>
        <v>N</v>
      </c>
      <c r="T255" s="34" t="str">
        <f t="shared" si="14"/>
        <v>N</v>
      </c>
      <c r="U255" s="24" t="str">
        <f>IF(OR($J255="",$J255="odešel"),IF(N255="","N",IF($F255="žena",CHOOSE(_xlfn.ARABIC($H255),MATCH(N255+1,'[1]Normy VP'!$K$25:$N$25,-1),MATCH(N255+1,'[1]Normy VP'!$K$26:$N$26,-1),MATCH(N255+1,'[1]Normy VP'!$K$27:$N$27,-1),MATCH(N255+1,'[1]Normy VP'!$K$28:$N$28,-1),MATCH(N255+1,'[1]Normy VP'!$K$29:$N$29,-1),MATCH(N255+1,'[1]Normy VP'!$K$30:$N$30,-1)),CHOOSE(_xlfn.ARABIC($H255),MATCH(N255+1,'[1]Normy VP'!$O$10:$R$10,-1),MATCH(N255+1,'[1]Normy VP'!$O$11:$R$11,-1),MATCH(N255+1,'[1]Normy VP'!$O$12:$R$12,-1),MATCH(N255+1,'[1]Normy VP'!$O$13:$R$13,-1),MATCH(N255+1,'[1]Normy VP'!$O$14:$R$14,-1),MATCH(N255+1,'[1]Normy VP'!$O$15:$R$15,-1)))),"O")</f>
        <v>N</v>
      </c>
      <c r="V255" s="26" t="str">
        <f>IF(OR($J255="",$J255="odešel"),IF(O255="","N",IF($F255="žena",CHOOSE(_xlfn.ARABIC($H255),MATCH(O255-1,'[1]Normy VP'!$O$25:$R$25),MATCH(O255-1,'[1]Normy VP'!$O$26:$R$26),MATCH(O255-1,'[1]Normy VP'!$O$27:$R$27),MATCH(O255-1,'[1]Normy VP'!$O$28:$R$28),MATCH(O255-1,'[1]Normy VP'!$O$29:$R$29),MATCH(O255-1,'[1]Normy VP'!$O$30:$R$30)),CHOOSE(_xlfn.ARABIC($H255),MATCH(O255-1,'[1]Normy VP'!$S$10:$V$10),MATCH(O255-1,'[1]Normy VP'!$S$11:$V$11),MATCH(O255-1,'[1]Normy VP'!$S$12:$V$12),MATCH(O255-1,'[1]Normy VP'!$S$13:$V$13),MATCH(O255-1,'[1]Normy VP'!$S$14:$V$14),MATCH(O255-1,'[1]Normy VP'!$S$15:$V$15)))),"O")</f>
        <v>N</v>
      </c>
      <c r="W255" s="34" t="str">
        <f t="shared" si="15"/>
        <v>N</v>
      </c>
      <c r="X255" s="27" t="str">
        <f>IF(COUNTIF(B255:G255,"")&gt;0,"",IF(COUNTIF([1]PP!$A:$A,A255)=0,"neni v PP",IF(OR(Y255="odešel",VLOOKUP(A255,[1]PP!$A:$W,22,FALSE)="odešel"),"odešel",IF(OR(Y255="N",VLOOKUP(A255,[1]PP!$A:$W,22,FALSE)="N"),"N",IF(OR(Y255="C",VLOOKUP(A255,[1]PP!$A:$W,22,FALSE)="C"),"C",IF(OR(Y255="DZO",VLOOKUP(A255,[1]PP!$A:$W,22,FALSE)="DZO"),"DZO",IF(OR(Y255="mise",Y255="disp.",Y255="končí",Y255="DSC",VLOOKUP(A255,[1]PP!$A:$W,22,FALSE)="mise",VLOOKUP(A255,[1]PP!$A:$W,22,FALSE)="disp.",VLOOKUP(A255,[1]PP!$A:$W,22,FALSE)="končí",VLOOKUP(A255,[1]PP!$A:$W,22,FALSE)="DSC"),"jiné",IF(OR(Y255=4,VLOOKUP(A255,[1]PP!$A:$W,22,FALSE)=4),4,IF(OR(Y255=3,VLOOKUP(A255,[1]PP!$A:$W,22,FALSE)=3),3,IF(OR(Y255=2,VLOOKUP(A255,[1]PP!$A:$W,22,FALSE)=2),2,IF(AND(Y255=1,VLOOKUP(A255,[1]PP!$A:$W,22,FALSE)=1),1)))))))))))</f>
        <v/>
      </c>
      <c r="Y255" s="28" t="str">
        <f>IF(COUNTIF(B255:G255,"")&gt;0,"",IF(COUNTIF([1]PP!$A:$A,A255)=0,"neni v PP",IF(VLOOKUP(A255,[1]PP!$A:$W,8,FALSE)="odešel","odešel",IF(F255="","",IF(J255="",IF(OR(T255=4,W255=4),4,IF(AND(T255="N",W255="N"),"N",IF(OR(T255="N",W255="N"),4,ROUND(AVERAGE(T255,W255),0)))),J255)))))</f>
        <v/>
      </c>
      <c r="Z255" s="29" t="str">
        <f>IF(COUNTIF(B255:G255,"")=0,IF(X255="neni v PP",CONCATENATE("ID: &lt;",A255,"&gt; se neshoduje s žádným IDem v kartě PP"),IF(COUNTIF($A:$A,A255)&gt;1,CONCATENATE("ID: &lt;",A255,"&gt; se v kartě VP opakuje. Je nutné tyto IDy od sebe odlišit, např. mezerou za příjmením."),IF(COUNTIF([1]PP!A:A,A255)&gt;1,CONCATENATE("ID: &lt;",A255,"&gt; se v kartě PP opakuje. Je nutné tyto IDy od sebe odlišit, např. mezerou za příjmením."),IF(VLOOKUP(A255,[1]PP!$A:$W,5,FALSE)&lt;&gt;E255,CONCATENATE($E$4," &lt;",E255,"&gt; se neshoduje s jednotkou v kartě PP"," &lt;",VLOOKUP(A255,[1]PP!$A:$W,5,FALSE),"&gt;"),IF(AND(COUNTIF(K255:O255,"")&lt;5,J255="",I255=""),CONCATENATE("Doplň: ",$I$4),IF(AND(YEAR(I255)&lt;&gt;$E$2,COUNTIF(I255,"")=0),CONCATENATE("špatně uveden &lt;",$D$2,"&gt; nebo &lt;",$I$4,"&gt;"),IF(OR(AND(OR(COUNTIF(C255,"*a"),COUNTIF(C255,"*ie"),COUNTIF(C255,"*ine"),COUNTIF(D255,"*Á")),F255="muž"),AND(AND(COUNTIF(C255,"&lt;&gt;"&amp;"*a"),COUNTIF(C255,"&lt;&gt;"&amp;"*ie"),COUNTIF(C255,"&lt;&gt;"&amp;"*ine"),COUNTIF(D255,"&lt;&gt;"&amp;"*Á")),F255="žena")),CONCATENATE(C255," ",D255," je ",F255,"?"),""))))))),IF(COUNTIF(B255:O255,"")=14,"",CONCATENATE("Doplň: ",IF(B255="",CONCATENATE($B$4,IF(COUNTIF(C255:G255,"")=0,"",", ")),""),IF(C255="",CONCATENATE($C$4,IF(COUNTIF(D255:G255,"")=0,"",", ")),""),IF(D255="",CONCATENATE($D$4,IF(COUNTIF(E255:G255,"")=0,"",", ")),""),IF(E255="",CONCATENATE($E$4,IF(COUNTIF(F255:G255,"")=0,"",", ")),""),IF(F255="",CONCATENATE($F$4,IF(G255="",", ","")),""),IF(G255="",$G$4,""))))</f>
        <v/>
      </c>
      <c r="AA255" s="30"/>
    </row>
    <row r="256" spans="1:27" ht="16" x14ac:dyDescent="0.35">
      <c r="A256" s="14" t="str">
        <f t="shared" si="12"/>
        <v xml:space="preserve">  </v>
      </c>
      <c r="B256" s="15"/>
      <c r="C256" s="31"/>
      <c r="D256" s="31"/>
      <c r="E256" s="17"/>
      <c r="F256" s="18"/>
      <c r="G256" s="32"/>
      <c r="H256" s="33" t="str">
        <f>IF(G256="","",IF(F256="žena",ROMAN(MATCH(G256+1,'[1]Normy VP'!$Y$27:$Y$33,-1)),ROMAN(MATCH(G256+1,'[1]Normy VP'!$Y$19:$Y$25,-1))))</f>
        <v/>
      </c>
      <c r="I256" s="21"/>
      <c r="J256" s="22"/>
      <c r="K256" s="23"/>
      <c r="L256" s="23"/>
      <c r="M256" s="23"/>
      <c r="N256" s="22"/>
      <c r="O256" s="22"/>
      <c r="P256" s="24" t="str">
        <f>IF(OR($J256="",$J256="odešel"),IF(K256="","",IF($F256="žena",CHOOSE(_xlfn.ARABIC($H256),MATCH(K256+1,'[1]Normy VP'!$C$25:$F$25,-1),MATCH(K256+1,'[1]Normy VP'!$C$26:$F$26,-1),MATCH(K256+1,'[1]Normy VP'!$C$27:$F$27,-1),MATCH(K256+1,'[1]Normy VP'!$C$28:$F$28,-1),MATCH(K256+1,'[1]Normy VP'!$C$29:$F$29,-1),"muž"),CHOOSE(_xlfn.ARABIC($H256),MATCH(K256+1,'[1]Normy VP'!$C$10:$F$10,-1),MATCH(K256+1,'[1]Normy VP'!$C$11:$F$11,-1),MATCH(K256+1,'[1]Normy VP'!$C$12:$F$12,-1),MATCH(K256+1,'[1]Normy VP'!$C$13:$F$13,-1),MATCH(K256+1,'[1]Normy VP'!$C$14:$F$14,-1),""))),"O")</f>
        <v/>
      </c>
      <c r="Q256" s="24" t="str">
        <f>IF(OR($J256="",$J256="odešel"),IF($F256="žena","",IF(L256="","",(CHOOSE(_xlfn.ARABIC($H256),MATCH(L256+1,'[1]Normy VP'!$G$10:$J$10,-1),MATCH(L256+1,'[1]Normy VP'!$G$11:$J$11,-1),MATCH(L256+1,'[1]Normy VP'!$G$12:$J$12,-1),MATCH(L256+1,'[1]Normy VP'!$G$13:$J$13,-1),MATCH(L256+1,'[1]Normy VP'!$G$14:$J$14,-1),"")))),"O")</f>
        <v/>
      </c>
      <c r="R256" s="34" t="str">
        <f t="shared" si="13"/>
        <v>N</v>
      </c>
      <c r="S256" s="24" t="str">
        <f>IF(OR($J256="",$J256="odešel"),IF(M256="","N",IF($F256="žena",CHOOSE(_xlfn.ARABIC($H256),MATCH(M256+1,'[1]Normy VP'!$G$25:$J$25,-1),MATCH(M256+1,'[1]Normy VP'!$G$26:$J$26,-1),MATCH(M256+1,'[1]Normy VP'!$G$27:$J$27,-1),MATCH(M256+1,'[1]Normy VP'!$G$28:$J$28,-1),MATCH(M256+1,'[1]Normy VP'!$G$29:$J$29,-1),"muž"),(CHOOSE(_xlfn.ARABIC($H256),MATCH(M256+1,'[1]Normy VP'!$K$10:$N$10,-1),MATCH(M256+1,'[1]Normy VP'!$K$11:$N$11,-1),MATCH(M256+1,'[1]Normy VP'!$K$12:$N$12,-1),MATCH(M256+1,'[1]Normy VP'!$K$13:$N$13,-1),MATCH(M256+1,'[1]Normy VP'!$K$14:$N$14,-1),"")))),"O")</f>
        <v>N</v>
      </c>
      <c r="T256" s="34" t="str">
        <f t="shared" si="14"/>
        <v>N</v>
      </c>
      <c r="U256" s="24" t="str">
        <f>IF(OR($J256="",$J256="odešel"),IF(N256="","N",IF($F256="žena",CHOOSE(_xlfn.ARABIC($H256),MATCH(N256+1,'[1]Normy VP'!$K$25:$N$25,-1),MATCH(N256+1,'[1]Normy VP'!$K$26:$N$26,-1),MATCH(N256+1,'[1]Normy VP'!$K$27:$N$27,-1),MATCH(N256+1,'[1]Normy VP'!$K$28:$N$28,-1),MATCH(N256+1,'[1]Normy VP'!$K$29:$N$29,-1),MATCH(N256+1,'[1]Normy VP'!$K$30:$N$30,-1)),CHOOSE(_xlfn.ARABIC($H256),MATCH(N256+1,'[1]Normy VP'!$O$10:$R$10,-1),MATCH(N256+1,'[1]Normy VP'!$O$11:$R$11,-1),MATCH(N256+1,'[1]Normy VP'!$O$12:$R$12,-1),MATCH(N256+1,'[1]Normy VP'!$O$13:$R$13,-1),MATCH(N256+1,'[1]Normy VP'!$O$14:$R$14,-1),MATCH(N256+1,'[1]Normy VP'!$O$15:$R$15,-1)))),"O")</f>
        <v>N</v>
      </c>
      <c r="V256" s="26" t="str">
        <f>IF(OR($J256="",$J256="odešel"),IF(O256="","N",IF($F256="žena",CHOOSE(_xlfn.ARABIC($H256),MATCH(O256-1,'[1]Normy VP'!$O$25:$R$25),MATCH(O256-1,'[1]Normy VP'!$O$26:$R$26),MATCH(O256-1,'[1]Normy VP'!$O$27:$R$27),MATCH(O256-1,'[1]Normy VP'!$O$28:$R$28),MATCH(O256-1,'[1]Normy VP'!$O$29:$R$29),MATCH(O256-1,'[1]Normy VP'!$O$30:$R$30)),CHOOSE(_xlfn.ARABIC($H256),MATCH(O256-1,'[1]Normy VP'!$S$10:$V$10),MATCH(O256-1,'[1]Normy VP'!$S$11:$V$11),MATCH(O256-1,'[1]Normy VP'!$S$12:$V$12),MATCH(O256-1,'[1]Normy VP'!$S$13:$V$13),MATCH(O256-1,'[1]Normy VP'!$S$14:$V$14),MATCH(O256-1,'[1]Normy VP'!$S$15:$V$15)))),"O")</f>
        <v>N</v>
      </c>
      <c r="W256" s="34" t="str">
        <f t="shared" si="15"/>
        <v>N</v>
      </c>
      <c r="X256" s="27" t="str">
        <f>IF(COUNTIF(B256:G256,"")&gt;0,"",IF(COUNTIF([1]PP!$A:$A,A256)=0,"neni v PP",IF(OR(Y256="odešel",VLOOKUP(A256,[1]PP!$A:$W,22,FALSE)="odešel"),"odešel",IF(OR(Y256="N",VLOOKUP(A256,[1]PP!$A:$W,22,FALSE)="N"),"N",IF(OR(Y256="C",VLOOKUP(A256,[1]PP!$A:$W,22,FALSE)="C"),"C",IF(OR(Y256="DZO",VLOOKUP(A256,[1]PP!$A:$W,22,FALSE)="DZO"),"DZO",IF(OR(Y256="mise",Y256="disp.",Y256="končí",Y256="DSC",VLOOKUP(A256,[1]PP!$A:$W,22,FALSE)="mise",VLOOKUP(A256,[1]PP!$A:$W,22,FALSE)="disp.",VLOOKUP(A256,[1]PP!$A:$W,22,FALSE)="končí",VLOOKUP(A256,[1]PP!$A:$W,22,FALSE)="DSC"),"jiné",IF(OR(Y256=4,VLOOKUP(A256,[1]PP!$A:$W,22,FALSE)=4),4,IF(OR(Y256=3,VLOOKUP(A256,[1]PP!$A:$W,22,FALSE)=3),3,IF(OR(Y256=2,VLOOKUP(A256,[1]PP!$A:$W,22,FALSE)=2),2,IF(AND(Y256=1,VLOOKUP(A256,[1]PP!$A:$W,22,FALSE)=1),1)))))))))))</f>
        <v/>
      </c>
      <c r="Y256" s="28" t="str">
        <f>IF(COUNTIF(B256:G256,"")&gt;0,"",IF(COUNTIF([1]PP!$A:$A,A256)=0,"neni v PP",IF(VLOOKUP(A256,[1]PP!$A:$W,8,FALSE)="odešel","odešel",IF(F256="","",IF(J256="",IF(OR(T256=4,W256=4),4,IF(AND(T256="N",W256="N"),"N",IF(OR(T256="N",W256="N"),4,ROUND(AVERAGE(T256,W256),0)))),J256)))))</f>
        <v/>
      </c>
      <c r="Z256" s="29" t="str">
        <f>IF(COUNTIF(B256:G256,"")=0,IF(X256="neni v PP",CONCATENATE("ID: &lt;",A256,"&gt; se neshoduje s žádným IDem v kartě PP"),IF(COUNTIF($A:$A,A256)&gt;1,CONCATENATE("ID: &lt;",A256,"&gt; se v kartě VP opakuje. Je nutné tyto IDy od sebe odlišit, např. mezerou za příjmením."),IF(COUNTIF([1]PP!A:A,A256)&gt;1,CONCATENATE("ID: &lt;",A256,"&gt; se v kartě PP opakuje. Je nutné tyto IDy od sebe odlišit, např. mezerou za příjmením."),IF(VLOOKUP(A256,[1]PP!$A:$W,5,FALSE)&lt;&gt;E256,CONCATENATE($E$4," &lt;",E256,"&gt; se neshoduje s jednotkou v kartě PP"," &lt;",VLOOKUP(A256,[1]PP!$A:$W,5,FALSE),"&gt;"),IF(AND(COUNTIF(K256:O256,"")&lt;5,J256="",I256=""),CONCATENATE("Doplň: ",$I$4),IF(AND(YEAR(I256)&lt;&gt;$E$2,COUNTIF(I256,"")=0),CONCATENATE("špatně uveden &lt;",$D$2,"&gt; nebo &lt;",$I$4,"&gt;"),IF(OR(AND(OR(COUNTIF(C256,"*a"),COUNTIF(C256,"*ie"),COUNTIF(C256,"*ine"),COUNTIF(D256,"*Á")),F256="muž"),AND(AND(COUNTIF(C256,"&lt;&gt;"&amp;"*a"),COUNTIF(C256,"&lt;&gt;"&amp;"*ie"),COUNTIF(C256,"&lt;&gt;"&amp;"*ine"),COUNTIF(D256,"&lt;&gt;"&amp;"*Á")),F256="žena")),CONCATENATE(C256," ",D256," je ",F256,"?"),""))))))),IF(COUNTIF(B256:O256,"")=14,"",CONCATENATE("Doplň: ",IF(B256="",CONCATENATE($B$4,IF(COUNTIF(C256:G256,"")=0,"",", ")),""),IF(C256="",CONCATENATE($C$4,IF(COUNTIF(D256:G256,"")=0,"",", ")),""),IF(D256="",CONCATENATE($D$4,IF(COUNTIF(E256:G256,"")=0,"",", ")),""),IF(E256="",CONCATENATE($E$4,IF(COUNTIF(F256:G256,"")=0,"",", ")),""),IF(F256="",CONCATENATE($F$4,IF(G256="",", ","")),""),IF(G256="",$G$4,""))))</f>
        <v/>
      </c>
      <c r="AA256" s="30"/>
    </row>
    <row r="257" spans="1:27" ht="16" x14ac:dyDescent="0.35">
      <c r="A257" s="14" t="str">
        <f t="shared" si="12"/>
        <v xml:space="preserve">  </v>
      </c>
      <c r="B257" s="15"/>
      <c r="C257" s="31"/>
      <c r="D257" s="31"/>
      <c r="E257" s="17"/>
      <c r="F257" s="18"/>
      <c r="G257" s="32"/>
      <c r="H257" s="33" t="str">
        <f>IF(G257="","",IF(F257="žena",ROMAN(MATCH(G257+1,'[1]Normy VP'!$Y$27:$Y$33,-1)),ROMAN(MATCH(G257+1,'[1]Normy VP'!$Y$19:$Y$25,-1))))</f>
        <v/>
      </c>
      <c r="I257" s="21"/>
      <c r="J257" s="22"/>
      <c r="K257" s="23"/>
      <c r="L257" s="23"/>
      <c r="M257" s="23"/>
      <c r="N257" s="22"/>
      <c r="O257" s="22"/>
      <c r="P257" s="24" t="str">
        <f>IF(OR($J257="",$J257="odešel"),IF(K257="","",IF($F257="žena",CHOOSE(_xlfn.ARABIC($H257),MATCH(K257+1,'[1]Normy VP'!$C$25:$F$25,-1),MATCH(K257+1,'[1]Normy VP'!$C$26:$F$26,-1),MATCH(K257+1,'[1]Normy VP'!$C$27:$F$27,-1),MATCH(K257+1,'[1]Normy VP'!$C$28:$F$28,-1),MATCH(K257+1,'[1]Normy VP'!$C$29:$F$29,-1),"muž"),CHOOSE(_xlfn.ARABIC($H257),MATCH(K257+1,'[1]Normy VP'!$C$10:$F$10,-1),MATCH(K257+1,'[1]Normy VP'!$C$11:$F$11,-1),MATCH(K257+1,'[1]Normy VP'!$C$12:$F$12,-1),MATCH(K257+1,'[1]Normy VP'!$C$13:$F$13,-1),MATCH(K257+1,'[1]Normy VP'!$C$14:$F$14,-1),""))),"O")</f>
        <v/>
      </c>
      <c r="Q257" s="24" t="str">
        <f>IF(OR($J257="",$J257="odešel"),IF($F257="žena","",IF(L257="","",(CHOOSE(_xlfn.ARABIC($H257),MATCH(L257+1,'[1]Normy VP'!$G$10:$J$10,-1),MATCH(L257+1,'[1]Normy VP'!$G$11:$J$11,-1),MATCH(L257+1,'[1]Normy VP'!$G$12:$J$12,-1),MATCH(L257+1,'[1]Normy VP'!$G$13:$J$13,-1),MATCH(L257+1,'[1]Normy VP'!$G$14:$J$14,-1),"")))),"O")</f>
        <v/>
      </c>
      <c r="R257" s="34" t="str">
        <f t="shared" si="13"/>
        <v>N</v>
      </c>
      <c r="S257" s="24" t="str">
        <f>IF(OR($J257="",$J257="odešel"),IF(M257="","N",IF($F257="žena",CHOOSE(_xlfn.ARABIC($H257),MATCH(M257+1,'[1]Normy VP'!$G$25:$J$25,-1),MATCH(M257+1,'[1]Normy VP'!$G$26:$J$26,-1),MATCH(M257+1,'[1]Normy VP'!$G$27:$J$27,-1),MATCH(M257+1,'[1]Normy VP'!$G$28:$J$28,-1),MATCH(M257+1,'[1]Normy VP'!$G$29:$J$29,-1),"muž"),(CHOOSE(_xlfn.ARABIC($H257),MATCH(M257+1,'[1]Normy VP'!$K$10:$N$10,-1),MATCH(M257+1,'[1]Normy VP'!$K$11:$N$11,-1),MATCH(M257+1,'[1]Normy VP'!$K$12:$N$12,-1),MATCH(M257+1,'[1]Normy VP'!$K$13:$N$13,-1),MATCH(M257+1,'[1]Normy VP'!$K$14:$N$14,-1),"")))),"O")</f>
        <v>N</v>
      </c>
      <c r="T257" s="34" t="str">
        <f t="shared" si="14"/>
        <v>N</v>
      </c>
      <c r="U257" s="24" t="str">
        <f>IF(OR($J257="",$J257="odešel"),IF(N257="","N",IF($F257="žena",CHOOSE(_xlfn.ARABIC($H257),MATCH(N257+1,'[1]Normy VP'!$K$25:$N$25,-1),MATCH(N257+1,'[1]Normy VP'!$K$26:$N$26,-1),MATCH(N257+1,'[1]Normy VP'!$K$27:$N$27,-1),MATCH(N257+1,'[1]Normy VP'!$K$28:$N$28,-1),MATCH(N257+1,'[1]Normy VP'!$K$29:$N$29,-1),MATCH(N257+1,'[1]Normy VP'!$K$30:$N$30,-1)),CHOOSE(_xlfn.ARABIC($H257),MATCH(N257+1,'[1]Normy VP'!$O$10:$R$10,-1),MATCH(N257+1,'[1]Normy VP'!$O$11:$R$11,-1),MATCH(N257+1,'[1]Normy VP'!$O$12:$R$12,-1),MATCH(N257+1,'[1]Normy VP'!$O$13:$R$13,-1),MATCH(N257+1,'[1]Normy VP'!$O$14:$R$14,-1),MATCH(N257+1,'[1]Normy VP'!$O$15:$R$15,-1)))),"O")</f>
        <v>N</v>
      </c>
      <c r="V257" s="26" t="str">
        <f>IF(OR($J257="",$J257="odešel"),IF(O257="","N",IF($F257="žena",CHOOSE(_xlfn.ARABIC($H257),MATCH(O257-1,'[1]Normy VP'!$O$25:$R$25),MATCH(O257-1,'[1]Normy VP'!$O$26:$R$26),MATCH(O257-1,'[1]Normy VP'!$O$27:$R$27),MATCH(O257-1,'[1]Normy VP'!$O$28:$R$28),MATCH(O257-1,'[1]Normy VP'!$O$29:$R$29),MATCH(O257-1,'[1]Normy VP'!$O$30:$R$30)),CHOOSE(_xlfn.ARABIC($H257),MATCH(O257-1,'[1]Normy VP'!$S$10:$V$10),MATCH(O257-1,'[1]Normy VP'!$S$11:$V$11),MATCH(O257-1,'[1]Normy VP'!$S$12:$V$12),MATCH(O257-1,'[1]Normy VP'!$S$13:$V$13),MATCH(O257-1,'[1]Normy VP'!$S$14:$V$14),MATCH(O257-1,'[1]Normy VP'!$S$15:$V$15)))),"O")</f>
        <v>N</v>
      </c>
      <c r="W257" s="34" t="str">
        <f t="shared" si="15"/>
        <v>N</v>
      </c>
      <c r="X257" s="27" t="str">
        <f>IF(COUNTIF(B257:G257,"")&gt;0,"",IF(COUNTIF([1]PP!$A:$A,A257)=0,"neni v PP",IF(OR(Y257="odešel",VLOOKUP(A257,[1]PP!$A:$W,22,FALSE)="odešel"),"odešel",IF(OR(Y257="N",VLOOKUP(A257,[1]PP!$A:$W,22,FALSE)="N"),"N",IF(OR(Y257="C",VLOOKUP(A257,[1]PP!$A:$W,22,FALSE)="C"),"C",IF(OR(Y257="DZO",VLOOKUP(A257,[1]PP!$A:$W,22,FALSE)="DZO"),"DZO",IF(OR(Y257="mise",Y257="disp.",Y257="končí",Y257="DSC",VLOOKUP(A257,[1]PP!$A:$W,22,FALSE)="mise",VLOOKUP(A257,[1]PP!$A:$W,22,FALSE)="disp.",VLOOKUP(A257,[1]PP!$A:$W,22,FALSE)="končí",VLOOKUP(A257,[1]PP!$A:$W,22,FALSE)="DSC"),"jiné",IF(OR(Y257=4,VLOOKUP(A257,[1]PP!$A:$W,22,FALSE)=4),4,IF(OR(Y257=3,VLOOKUP(A257,[1]PP!$A:$W,22,FALSE)=3),3,IF(OR(Y257=2,VLOOKUP(A257,[1]PP!$A:$W,22,FALSE)=2),2,IF(AND(Y257=1,VLOOKUP(A257,[1]PP!$A:$W,22,FALSE)=1),1)))))))))))</f>
        <v/>
      </c>
      <c r="Y257" s="28" t="str">
        <f>IF(COUNTIF(B257:G257,"")&gt;0,"",IF(COUNTIF([1]PP!$A:$A,A257)=0,"neni v PP",IF(VLOOKUP(A257,[1]PP!$A:$W,8,FALSE)="odešel","odešel",IF(F257="","",IF(J257="",IF(OR(T257=4,W257=4),4,IF(AND(T257="N",W257="N"),"N",IF(OR(T257="N",W257="N"),4,ROUND(AVERAGE(T257,W257),0)))),J257)))))</f>
        <v/>
      </c>
      <c r="Z257" s="29" t="str">
        <f>IF(COUNTIF(B257:G257,"")=0,IF(X257="neni v PP",CONCATENATE("ID: &lt;",A257,"&gt; se neshoduje s žádným IDem v kartě PP"),IF(COUNTIF($A:$A,A257)&gt;1,CONCATENATE("ID: &lt;",A257,"&gt; se v kartě VP opakuje. Je nutné tyto IDy od sebe odlišit, např. mezerou za příjmením."),IF(COUNTIF([1]PP!A:A,A257)&gt;1,CONCATENATE("ID: &lt;",A257,"&gt; se v kartě PP opakuje. Je nutné tyto IDy od sebe odlišit, např. mezerou za příjmením."),IF(VLOOKUP(A257,[1]PP!$A:$W,5,FALSE)&lt;&gt;E257,CONCATENATE($E$4," &lt;",E257,"&gt; se neshoduje s jednotkou v kartě PP"," &lt;",VLOOKUP(A257,[1]PP!$A:$W,5,FALSE),"&gt;"),IF(AND(COUNTIF(K257:O257,"")&lt;5,J257="",I257=""),CONCATENATE("Doplň: ",$I$4),IF(AND(YEAR(I257)&lt;&gt;$E$2,COUNTIF(I257,"")=0),CONCATENATE("špatně uveden &lt;",$D$2,"&gt; nebo &lt;",$I$4,"&gt;"),IF(OR(AND(OR(COUNTIF(C257,"*a"),COUNTIF(C257,"*ie"),COUNTIF(C257,"*ine"),COUNTIF(D257,"*Á")),F257="muž"),AND(AND(COUNTIF(C257,"&lt;&gt;"&amp;"*a"),COUNTIF(C257,"&lt;&gt;"&amp;"*ie"),COUNTIF(C257,"&lt;&gt;"&amp;"*ine"),COUNTIF(D257,"&lt;&gt;"&amp;"*Á")),F257="žena")),CONCATENATE(C257," ",D257," je ",F257,"?"),""))))))),IF(COUNTIF(B257:O257,"")=14,"",CONCATENATE("Doplň: ",IF(B257="",CONCATENATE($B$4,IF(COUNTIF(C257:G257,"")=0,"",", ")),""),IF(C257="",CONCATENATE($C$4,IF(COUNTIF(D257:G257,"")=0,"",", ")),""),IF(D257="",CONCATENATE($D$4,IF(COUNTIF(E257:G257,"")=0,"",", ")),""),IF(E257="",CONCATENATE($E$4,IF(COUNTIF(F257:G257,"")=0,"",", ")),""),IF(F257="",CONCATENATE($F$4,IF(G257="",", ","")),""),IF(G257="",$G$4,""))))</f>
        <v/>
      </c>
      <c r="AA257" s="30"/>
    </row>
    <row r="258" spans="1:27" ht="16" x14ac:dyDescent="0.35">
      <c r="A258" s="14" t="str">
        <f t="shared" ref="A258:A321" si="16">CONCATENATE(B258," ",UPPER(D258)," ",C258)</f>
        <v xml:space="preserve">  </v>
      </c>
      <c r="B258" s="15"/>
      <c r="C258" s="31"/>
      <c r="D258" s="31"/>
      <c r="E258" s="17"/>
      <c r="F258" s="18"/>
      <c r="G258" s="32"/>
      <c r="H258" s="33" t="str">
        <f>IF(G258="","",IF(F258="žena",ROMAN(MATCH(G258+1,'[1]Normy VP'!$Y$27:$Y$33,-1)),ROMAN(MATCH(G258+1,'[1]Normy VP'!$Y$19:$Y$25,-1))))</f>
        <v/>
      </c>
      <c r="I258" s="21"/>
      <c r="J258" s="22"/>
      <c r="K258" s="23"/>
      <c r="L258" s="23"/>
      <c r="M258" s="23"/>
      <c r="N258" s="22"/>
      <c r="O258" s="22"/>
      <c r="P258" s="24" t="str">
        <f>IF(OR($J258="",$J258="odešel"),IF(K258="","",IF($F258="žena",CHOOSE(_xlfn.ARABIC($H258),MATCH(K258+1,'[1]Normy VP'!$C$25:$F$25,-1),MATCH(K258+1,'[1]Normy VP'!$C$26:$F$26,-1),MATCH(K258+1,'[1]Normy VP'!$C$27:$F$27,-1),MATCH(K258+1,'[1]Normy VP'!$C$28:$F$28,-1),MATCH(K258+1,'[1]Normy VP'!$C$29:$F$29,-1),"muž"),CHOOSE(_xlfn.ARABIC($H258),MATCH(K258+1,'[1]Normy VP'!$C$10:$F$10,-1),MATCH(K258+1,'[1]Normy VP'!$C$11:$F$11,-1),MATCH(K258+1,'[1]Normy VP'!$C$12:$F$12,-1),MATCH(K258+1,'[1]Normy VP'!$C$13:$F$13,-1),MATCH(K258+1,'[1]Normy VP'!$C$14:$F$14,-1),""))),"O")</f>
        <v/>
      </c>
      <c r="Q258" s="24" t="str">
        <f>IF(OR($J258="",$J258="odešel"),IF($F258="žena","",IF(L258="","",(CHOOSE(_xlfn.ARABIC($H258),MATCH(L258+1,'[1]Normy VP'!$G$10:$J$10,-1),MATCH(L258+1,'[1]Normy VP'!$G$11:$J$11,-1),MATCH(L258+1,'[1]Normy VP'!$G$12:$J$12,-1),MATCH(L258+1,'[1]Normy VP'!$G$13:$J$13,-1),MATCH(L258+1,'[1]Normy VP'!$G$14:$J$14,-1),"")))),"O")</f>
        <v/>
      </c>
      <c r="R258" s="34" t="str">
        <f t="shared" ref="R258:R321" si="17">IF(F258="žena",IF(P258="","N",P258),IF(AND(P258="",Q258=""),"N",IF(OR(P258="",Q258=""),4,MAX(P258,Q258))))</f>
        <v>N</v>
      </c>
      <c r="S258" s="24" t="str">
        <f>IF(OR($J258="",$J258="odešel"),IF(M258="","N",IF($F258="žena",CHOOSE(_xlfn.ARABIC($H258),MATCH(M258+1,'[1]Normy VP'!$G$25:$J$25,-1),MATCH(M258+1,'[1]Normy VP'!$G$26:$J$26,-1),MATCH(M258+1,'[1]Normy VP'!$G$27:$J$27,-1),MATCH(M258+1,'[1]Normy VP'!$G$28:$J$28,-1),MATCH(M258+1,'[1]Normy VP'!$G$29:$J$29,-1),"muž"),(CHOOSE(_xlfn.ARABIC($H258),MATCH(M258+1,'[1]Normy VP'!$K$10:$N$10,-1),MATCH(M258+1,'[1]Normy VP'!$K$11:$N$11,-1),MATCH(M258+1,'[1]Normy VP'!$K$12:$N$12,-1),MATCH(M258+1,'[1]Normy VP'!$K$13:$N$13,-1),MATCH(M258+1,'[1]Normy VP'!$K$14:$N$14,-1),"")))),"O")</f>
        <v>N</v>
      </c>
      <c r="T258" s="34" t="str">
        <f t="shared" ref="T258:T321" si="18">IF(_xlfn.ARABIC(H258)=6,W258,IF(AND(R258="N",S258="N"),"N",MIN(R258,S258)))</f>
        <v>N</v>
      </c>
      <c r="U258" s="24" t="str">
        <f>IF(OR($J258="",$J258="odešel"),IF(N258="","N",IF($F258="žena",CHOOSE(_xlfn.ARABIC($H258),MATCH(N258+1,'[1]Normy VP'!$K$25:$N$25,-1),MATCH(N258+1,'[1]Normy VP'!$K$26:$N$26,-1),MATCH(N258+1,'[1]Normy VP'!$K$27:$N$27,-1),MATCH(N258+1,'[1]Normy VP'!$K$28:$N$28,-1),MATCH(N258+1,'[1]Normy VP'!$K$29:$N$29,-1),MATCH(N258+1,'[1]Normy VP'!$K$30:$N$30,-1)),CHOOSE(_xlfn.ARABIC($H258),MATCH(N258+1,'[1]Normy VP'!$O$10:$R$10,-1),MATCH(N258+1,'[1]Normy VP'!$O$11:$R$11,-1),MATCH(N258+1,'[1]Normy VP'!$O$12:$R$12,-1),MATCH(N258+1,'[1]Normy VP'!$O$13:$R$13,-1),MATCH(N258+1,'[1]Normy VP'!$O$14:$R$14,-1),MATCH(N258+1,'[1]Normy VP'!$O$15:$R$15,-1)))),"O")</f>
        <v>N</v>
      </c>
      <c r="V258" s="26" t="str">
        <f>IF(OR($J258="",$J258="odešel"),IF(O258="","N",IF($F258="žena",CHOOSE(_xlfn.ARABIC($H258),MATCH(O258-1,'[1]Normy VP'!$O$25:$R$25),MATCH(O258-1,'[1]Normy VP'!$O$26:$R$26),MATCH(O258-1,'[1]Normy VP'!$O$27:$R$27),MATCH(O258-1,'[1]Normy VP'!$O$28:$R$28),MATCH(O258-1,'[1]Normy VP'!$O$29:$R$29),MATCH(O258-1,'[1]Normy VP'!$O$30:$R$30)),CHOOSE(_xlfn.ARABIC($H258),MATCH(O258-1,'[1]Normy VP'!$S$10:$V$10),MATCH(O258-1,'[1]Normy VP'!$S$11:$V$11),MATCH(O258-1,'[1]Normy VP'!$S$12:$V$12),MATCH(O258-1,'[1]Normy VP'!$S$13:$V$13),MATCH(O258-1,'[1]Normy VP'!$S$14:$V$14),MATCH(O258-1,'[1]Normy VP'!$S$15:$V$15)))),"O")</f>
        <v>N</v>
      </c>
      <c r="W258" s="34" t="str">
        <f t="shared" ref="W258:W321" si="19">IF(AND(U258="N",V258="N"),"N",MIN(U258,V258))</f>
        <v>N</v>
      </c>
      <c r="X258" s="27" t="str">
        <f>IF(COUNTIF(B258:G258,"")&gt;0,"",IF(COUNTIF([1]PP!$A:$A,A258)=0,"neni v PP",IF(OR(Y258="odešel",VLOOKUP(A258,[1]PP!$A:$W,22,FALSE)="odešel"),"odešel",IF(OR(Y258="N",VLOOKUP(A258,[1]PP!$A:$W,22,FALSE)="N"),"N",IF(OR(Y258="C",VLOOKUP(A258,[1]PP!$A:$W,22,FALSE)="C"),"C",IF(OR(Y258="DZO",VLOOKUP(A258,[1]PP!$A:$W,22,FALSE)="DZO"),"DZO",IF(OR(Y258="mise",Y258="disp.",Y258="končí",Y258="DSC",VLOOKUP(A258,[1]PP!$A:$W,22,FALSE)="mise",VLOOKUP(A258,[1]PP!$A:$W,22,FALSE)="disp.",VLOOKUP(A258,[1]PP!$A:$W,22,FALSE)="končí",VLOOKUP(A258,[1]PP!$A:$W,22,FALSE)="DSC"),"jiné",IF(OR(Y258=4,VLOOKUP(A258,[1]PP!$A:$W,22,FALSE)=4),4,IF(OR(Y258=3,VLOOKUP(A258,[1]PP!$A:$W,22,FALSE)=3),3,IF(OR(Y258=2,VLOOKUP(A258,[1]PP!$A:$W,22,FALSE)=2),2,IF(AND(Y258=1,VLOOKUP(A258,[1]PP!$A:$W,22,FALSE)=1),1)))))))))))</f>
        <v/>
      </c>
      <c r="Y258" s="28" t="str">
        <f>IF(COUNTIF(B258:G258,"")&gt;0,"",IF(COUNTIF([1]PP!$A:$A,A258)=0,"neni v PP",IF(VLOOKUP(A258,[1]PP!$A:$W,8,FALSE)="odešel","odešel",IF(F258="","",IF(J258="",IF(OR(T258=4,W258=4),4,IF(AND(T258="N",W258="N"),"N",IF(OR(T258="N",W258="N"),4,ROUND(AVERAGE(T258,W258),0)))),J258)))))</f>
        <v/>
      </c>
      <c r="Z258" s="29" t="str">
        <f>IF(COUNTIF(B258:G258,"")=0,IF(X258="neni v PP",CONCATENATE("ID: &lt;",A258,"&gt; se neshoduje s žádným IDem v kartě PP"),IF(COUNTIF($A:$A,A258)&gt;1,CONCATENATE("ID: &lt;",A258,"&gt; se v kartě VP opakuje. Je nutné tyto IDy od sebe odlišit, např. mezerou za příjmením."),IF(COUNTIF([1]PP!A:A,A258)&gt;1,CONCATENATE("ID: &lt;",A258,"&gt; se v kartě PP opakuje. Je nutné tyto IDy od sebe odlišit, např. mezerou za příjmením."),IF(VLOOKUP(A258,[1]PP!$A:$W,5,FALSE)&lt;&gt;E258,CONCATENATE($E$4," &lt;",E258,"&gt; se neshoduje s jednotkou v kartě PP"," &lt;",VLOOKUP(A258,[1]PP!$A:$W,5,FALSE),"&gt;"),IF(AND(COUNTIF(K258:O258,"")&lt;5,J258="",I258=""),CONCATENATE("Doplň: ",$I$4),IF(AND(YEAR(I258)&lt;&gt;$E$2,COUNTIF(I258,"")=0),CONCATENATE("špatně uveden &lt;",$D$2,"&gt; nebo &lt;",$I$4,"&gt;"),IF(OR(AND(OR(COUNTIF(C258,"*a"),COUNTIF(C258,"*ie"),COUNTIF(C258,"*ine"),COUNTIF(D258,"*Á")),F258="muž"),AND(AND(COUNTIF(C258,"&lt;&gt;"&amp;"*a"),COUNTIF(C258,"&lt;&gt;"&amp;"*ie"),COUNTIF(C258,"&lt;&gt;"&amp;"*ine"),COUNTIF(D258,"&lt;&gt;"&amp;"*Á")),F258="žena")),CONCATENATE(C258," ",D258," je ",F258,"?"),""))))))),IF(COUNTIF(B258:O258,"")=14,"",CONCATENATE("Doplň: ",IF(B258="",CONCATENATE($B$4,IF(COUNTIF(C258:G258,"")=0,"",", ")),""),IF(C258="",CONCATENATE($C$4,IF(COUNTIF(D258:G258,"")=0,"",", ")),""),IF(D258="",CONCATENATE($D$4,IF(COUNTIF(E258:G258,"")=0,"",", ")),""),IF(E258="",CONCATENATE($E$4,IF(COUNTIF(F258:G258,"")=0,"",", ")),""),IF(F258="",CONCATENATE($F$4,IF(G258="",", ","")),""),IF(G258="",$G$4,""))))</f>
        <v/>
      </c>
      <c r="AA258" s="30"/>
    </row>
    <row r="259" spans="1:27" ht="16" x14ac:dyDescent="0.35">
      <c r="A259" s="14" t="str">
        <f t="shared" si="16"/>
        <v xml:space="preserve">  </v>
      </c>
      <c r="B259" s="15"/>
      <c r="C259" s="31"/>
      <c r="D259" s="31"/>
      <c r="E259" s="17"/>
      <c r="F259" s="18"/>
      <c r="G259" s="32"/>
      <c r="H259" s="33" t="str">
        <f>IF(G259="","",IF(F259="žena",ROMAN(MATCH(G259+1,'[1]Normy VP'!$Y$27:$Y$33,-1)),ROMAN(MATCH(G259+1,'[1]Normy VP'!$Y$19:$Y$25,-1))))</f>
        <v/>
      </c>
      <c r="I259" s="21"/>
      <c r="J259" s="22"/>
      <c r="K259" s="23"/>
      <c r="L259" s="23"/>
      <c r="M259" s="23"/>
      <c r="N259" s="22"/>
      <c r="O259" s="22"/>
      <c r="P259" s="24" t="str">
        <f>IF(OR($J259="",$J259="odešel"),IF(K259="","",IF($F259="žena",CHOOSE(_xlfn.ARABIC($H259),MATCH(K259+1,'[1]Normy VP'!$C$25:$F$25,-1),MATCH(K259+1,'[1]Normy VP'!$C$26:$F$26,-1),MATCH(K259+1,'[1]Normy VP'!$C$27:$F$27,-1),MATCH(K259+1,'[1]Normy VP'!$C$28:$F$28,-1),MATCH(K259+1,'[1]Normy VP'!$C$29:$F$29,-1),"muž"),CHOOSE(_xlfn.ARABIC($H259),MATCH(K259+1,'[1]Normy VP'!$C$10:$F$10,-1),MATCH(K259+1,'[1]Normy VP'!$C$11:$F$11,-1),MATCH(K259+1,'[1]Normy VP'!$C$12:$F$12,-1),MATCH(K259+1,'[1]Normy VP'!$C$13:$F$13,-1),MATCH(K259+1,'[1]Normy VP'!$C$14:$F$14,-1),""))),"O")</f>
        <v/>
      </c>
      <c r="Q259" s="24" t="str">
        <f>IF(OR($J259="",$J259="odešel"),IF($F259="žena","",IF(L259="","",(CHOOSE(_xlfn.ARABIC($H259),MATCH(L259+1,'[1]Normy VP'!$G$10:$J$10,-1),MATCH(L259+1,'[1]Normy VP'!$G$11:$J$11,-1),MATCH(L259+1,'[1]Normy VP'!$G$12:$J$12,-1),MATCH(L259+1,'[1]Normy VP'!$G$13:$J$13,-1),MATCH(L259+1,'[1]Normy VP'!$G$14:$J$14,-1),"")))),"O")</f>
        <v/>
      </c>
      <c r="R259" s="34" t="str">
        <f t="shared" si="17"/>
        <v>N</v>
      </c>
      <c r="S259" s="24" t="str">
        <f>IF(OR($J259="",$J259="odešel"),IF(M259="","N",IF($F259="žena",CHOOSE(_xlfn.ARABIC($H259),MATCH(M259+1,'[1]Normy VP'!$G$25:$J$25,-1),MATCH(M259+1,'[1]Normy VP'!$G$26:$J$26,-1),MATCH(M259+1,'[1]Normy VP'!$G$27:$J$27,-1),MATCH(M259+1,'[1]Normy VP'!$G$28:$J$28,-1),MATCH(M259+1,'[1]Normy VP'!$G$29:$J$29,-1),"muž"),(CHOOSE(_xlfn.ARABIC($H259),MATCH(M259+1,'[1]Normy VP'!$K$10:$N$10,-1),MATCH(M259+1,'[1]Normy VP'!$K$11:$N$11,-1),MATCH(M259+1,'[1]Normy VP'!$K$12:$N$12,-1),MATCH(M259+1,'[1]Normy VP'!$K$13:$N$13,-1),MATCH(M259+1,'[1]Normy VP'!$K$14:$N$14,-1),"")))),"O")</f>
        <v>N</v>
      </c>
      <c r="T259" s="34" t="str">
        <f t="shared" si="18"/>
        <v>N</v>
      </c>
      <c r="U259" s="24" t="str">
        <f>IF(OR($J259="",$J259="odešel"),IF(N259="","N",IF($F259="žena",CHOOSE(_xlfn.ARABIC($H259),MATCH(N259+1,'[1]Normy VP'!$K$25:$N$25,-1),MATCH(N259+1,'[1]Normy VP'!$K$26:$N$26,-1),MATCH(N259+1,'[1]Normy VP'!$K$27:$N$27,-1),MATCH(N259+1,'[1]Normy VP'!$K$28:$N$28,-1),MATCH(N259+1,'[1]Normy VP'!$K$29:$N$29,-1),MATCH(N259+1,'[1]Normy VP'!$K$30:$N$30,-1)),CHOOSE(_xlfn.ARABIC($H259),MATCH(N259+1,'[1]Normy VP'!$O$10:$R$10,-1),MATCH(N259+1,'[1]Normy VP'!$O$11:$R$11,-1),MATCH(N259+1,'[1]Normy VP'!$O$12:$R$12,-1),MATCH(N259+1,'[1]Normy VP'!$O$13:$R$13,-1),MATCH(N259+1,'[1]Normy VP'!$O$14:$R$14,-1),MATCH(N259+1,'[1]Normy VP'!$O$15:$R$15,-1)))),"O")</f>
        <v>N</v>
      </c>
      <c r="V259" s="26" t="str">
        <f>IF(OR($J259="",$J259="odešel"),IF(O259="","N",IF($F259="žena",CHOOSE(_xlfn.ARABIC($H259),MATCH(O259-1,'[1]Normy VP'!$O$25:$R$25),MATCH(O259-1,'[1]Normy VP'!$O$26:$R$26),MATCH(O259-1,'[1]Normy VP'!$O$27:$R$27),MATCH(O259-1,'[1]Normy VP'!$O$28:$R$28),MATCH(O259-1,'[1]Normy VP'!$O$29:$R$29),MATCH(O259-1,'[1]Normy VP'!$O$30:$R$30)),CHOOSE(_xlfn.ARABIC($H259),MATCH(O259-1,'[1]Normy VP'!$S$10:$V$10),MATCH(O259-1,'[1]Normy VP'!$S$11:$V$11),MATCH(O259-1,'[1]Normy VP'!$S$12:$V$12),MATCH(O259-1,'[1]Normy VP'!$S$13:$V$13),MATCH(O259-1,'[1]Normy VP'!$S$14:$V$14),MATCH(O259-1,'[1]Normy VP'!$S$15:$V$15)))),"O")</f>
        <v>N</v>
      </c>
      <c r="W259" s="34" t="str">
        <f t="shared" si="19"/>
        <v>N</v>
      </c>
      <c r="X259" s="27" t="str">
        <f>IF(COUNTIF(B259:G259,"")&gt;0,"",IF(COUNTIF([1]PP!$A:$A,A259)=0,"neni v PP",IF(OR(Y259="odešel",VLOOKUP(A259,[1]PP!$A:$W,22,FALSE)="odešel"),"odešel",IF(OR(Y259="N",VLOOKUP(A259,[1]PP!$A:$W,22,FALSE)="N"),"N",IF(OR(Y259="C",VLOOKUP(A259,[1]PP!$A:$W,22,FALSE)="C"),"C",IF(OR(Y259="DZO",VLOOKUP(A259,[1]PP!$A:$W,22,FALSE)="DZO"),"DZO",IF(OR(Y259="mise",Y259="disp.",Y259="končí",Y259="DSC",VLOOKUP(A259,[1]PP!$A:$W,22,FALSE)="mise",VLOOKUP(A259,[1]PP!$A:$W,22,FALSE)="disp.",VLOOKUP(A259,[1]PP!$A:$W,22,FALSE)="končí",VLOOKUP(A259,[1]PP!$A:$W,22,FALSE)="DSC"),"jiné",IF(OR(Y259=4,VLOOKUP(A259,[1]PP!$A:$W,22,FALSE)=4),4,IF(OR(Y259=3,VLOOKUP(A259,[1]PP!$A:$W,22,FALSE)=3),3,IF(OR(Y259=2,VLOOKUP(A259,[1]PP!$A:$W,22,FALSE)=2),2,IF(AND(Y259=1,VLOOKUP(A259,[1]PP!$A:$W,22,FALSE)=1),1)))))))))))</f>
        <v/>
      </c>
      <c r="Y259" s="28" t="str">
        <f>IF(COUNTIF(B259:G259,"")&gt;0,"",IF(COUNTIF([1]PP!$A:$A,A259)=0,"neni v PP",IF(VLOOKUP(A259,[1]PP!$A:$W,8,FALSE)="odešel","odešel",IF(F259="","",IF(J259="",IF(OR(T259=4,W259=4),4,IF(AND(T259="N",W259="N"),"N",IF(OR(T259="N",W259="N"),4,ROUND(AVERAGE(T259,W259),0)))),J259)))))</f>
        <v/>
      </c>
      <c r="Z259" s="29"/>
      <c r="AA259" s="30"/>
    </row>
    <row r="260" spans="1:27" ht="16" x14ac:dyDescent="0.35">
      <c r="A260" s="14" t="str">
        <f t="shared" si="16"/>
        <v xml:space="preserve">  </v>
      </c>
      <c r="B260" s="15"/>
      <c r="C260" s="31"/>
      <c r="D260" s="31"/>
      <c r="E260" s="17"/>
      <c r="F260" s="18"/>
      <c r="G260" s="32"/>
      <c r="H260" s="33" t="str">
        <f>IF(G260="","",IF(F260="žena",ROMAN(MATCH(G260+1,'[1]Normy VP'!$Y$27:$Y$33,-1)),ROMAN(MATCH(G260+1,'[1]Normy VP'!$Y$19:$Y$25,-1))))</f>
        <v/>
      </c>
      <c r="I260" s="21"/>
      <c r="J260" s="22"/>
      <c r="K260" s="23"/>
      <c r="L260" s="23"/>
      <c r="M260" s="23"/>
      <c r="N260" s="22"/>
      <c r="O260" s="22"/>
      <c r="P260" s="24" t="str">
        <f>IF(OR($J260="",$J260="odešel"),IF(K260="","",IF($F260="žena",CHOOSE(_xlfn.ARABIC($H260),MATCH(K260+1,'[1]Normy VP'!$C$25:$F$25,-1),MATCH(K260+1,'[1]Normy VP'!$C$26:$F$26,-1),MATCH(K260+1,'[1]Normy VP'!$C$27:$F$27,-1),MATCH(K260+1,'[1]Normy VP'!$C$28:$F$28,-1),MATCH(K260+1,'[1]Normy VP'!$C$29:$F$29,-1),"muž"),CHOOSE(_xlfn.ARABIC($H260),MATCH(K260+1,'[1]Normy VP'!$C$10:$F$10,-1),MATCH(K260+1,'[1]Normy VP'!$C$11:$F$11,-1),MATCH(K260+1,'[1]Normy VP'!$C$12:$F$12,-1),MATCH(K260+1,'[1]Normy VP'!$C$13:$F$13,-1),MATCH(K260+1,'[1]Normy VP'!$C$14:$F$14,-1),""))),"O")</f>
        <v/>
      </c>
      <c r="Q260" s="24" t="str">
        <f>IF(OR($J260="",$J260="odešel"),IF($F260="žena","",IF(L260="","",(CHOOSE(_xlfn.ARABIC($H260),MATCH(L260+1,'[1]Normy VP'!$G$10:$J$10,-1),MATCH(L260+1,'[1]Normy VP'!$G$11:$J$11,-1),MATCH(L260+1,'[1]Normy VP'!$G$12:$J$12,-1),MATCH(L260+1,'[1]Normy VP'!$G$13:$J$13,-1),MATCH(L260+1,'[1]Normy VP'!$G$14:$J$14,-1),"")))),"O")</f>
        <v/>
      </c>
      <c r="R260" s="34" t="str">
        <f t="shared" si="17"/>
        <v>N</v>
      </c>
      <c r="S260" s="24" t="str">
        <f>IF(OR($J260="",$J260="odešel"),IF(M260="","N",IF($F260="žena",CHOOSE(_xlfn.ARABIC($H260),MATCH(M260+1,'[1]Normy VP'!$G$25:$J$25,-1),MATCH(M260+1,'[1]Normy VP'!$G$26:$J$26,-1),MATCH(M260+1,'[1]Normy VP'!$G$27:$J$27,-1),MATCH(M260+1,'[1]Normy VP'!$G$28:$J$28,-1),MATCH(M260+1,'[1]Normy VP'!$G$29:$J$29,-1),"muž"),(CHOOSE(_xlfn.ARABIC($H260),MATCH(M260+1,'[1]Normy VP'!$K$10:$N$10,-1),MATCH(M260+1,'[1]Normy VP'!$K$11:$N$11,-1),MATCH(M260+1,'[1]Normy VP'!$K$12:$N$12,-1),MATCH(M260+1,'[1]Normy VP'!$K$13:$N$13,-1),MATCH(M260+1,'[1]Normy VP'!$K$14:$N$14,-1),"")))),"O")</f>
        <v>N</v>
      </c>
      <c r="T260" s="34" t="str">
        <f t="shared" si="18"/>
        <v>N</v>
      </c>
      <c r="U260" s="24" t="str">
        <f>IF(OR($J260="",$J260="odešel"),IF(N260="","N",IF($F260="žena",CHOOSE(_xlfn.ARABIC($H260),MATCH(N260+1,'[1]Normy VP'!$K$25:$N$25,-1),MATCH(N260+1,'[1]Normy VP'!$K$26:$N$26,-1),MATCH(N260+1,'[1]Normy VP'!$K$27:$N$27,-1),MATCH(N260+1,'[1]Normy VP'!$K$28:$N$28,-1),MATCH(N260+1,'[1]Normy VP'!$K$29:$N$29,-1),MATCH(N260+1,'[1]Normy VP'!$K$30:$N$30,-1)),CHOOSE(_xlfn.ARABIC($H260),MATCH(N260+1,'[1]Normy VP'!$O$10:$R$10,-1),MATCH(N260+1,'[1]Normy VP'!$O$11:$R$11,-1),MATCH(N260+1,'[1]Normy VP'!$O$12:$R$12,-1),MATCH(N260+1,'[1]Normy VP'!$O$13:$R$13,-1),MATCH(N260+1,'[1]Normy VP'!$O$14:$R$14,-1),MATCH(N260+1,'[1]Normy VP'!$O$15:$R$15,-1)))),"O")</f>
        <v>N</v>
      </c>
      <c r="V260" s="26" t="str">
        <f>IF(OR($J260="",$J260="odešel"),IF(O260="","N",IF($F260="žena",CHOOSE(_xlfn.ARABIC($H260),MATCH(O260-1,'[1]Normy VP'!$O$25:$R$25),MATCH(O260-1,'[1]Normy VP'!$O$26:$R$26),MATCH(O260-1,'[1]Normy VP'!$O$27:$R$27),MATCH(O260-1,'[1]Normy VP'!$O$28:$R$28),MATCH(O260-1,'[1]Normy VP'!$O$29:$R$29),MATCH(O260-1,'[1]Normy VP'!$O$30:$R$30)),CHOOSE(_xlfn.ARABIC($H260),MATCH(O260-1,'[1]Normy VP'!$S$10:$V$10),MATCH(O260-1,'[1]Normy VP'!$S$11:$V$11),MATCH(O260-1,'[1]Normy VP'!$S$12:$V$12),MATCH(O260-1,'[1]Normy VP'!$S$13:$V$13),MATCH(O260-1,'[1]Normy VP'!$S$14:$V$14),MATCH(O260-1,'[1]Normy VP'!$S$15:$V$15)))),"O")</f>
        <v>N</v>
      </c>
      <c r="W260" s="34" t="str">
        <f t="shared" si="19"/>
        <v>N</v>
      </c>
      <c r="X260" s="27" t="str">
        <f>IF(COUNTIF(B260:G260,"")&gt;0,"",IF(COUNTIF([1]PP!$A:$A,A260)=0,"neni v PP",IF(OR(Y260="odešel",VLOOKUP(A260,[1]PP!$A:$W,22,FALSE)="odešel"),"odešel",IF(OR(Y260="N",VLOOKUP(A260,[1]PP!$A:$W,22,FALSE)="N"),"N",IF(OR(Y260="C",VLOOKUP(A260,[1]PP!$A:$W,22,FALSE)="C"),"C",IF(OR(Y260="DZO",VLOOKUP(A260,[1]PP!$A:$W,22,FALSE)="DZO"),"DZO",IF(OR(Y260="mise",Y260="disp.",Y260="končí",Y260="DSC",VLOOKUP(A260,[1]PP!$A:$W,22,FALSE)="mise",VLOOKUP(A260,[1]PP!$A:$W,22,FALSE)="disp.",VLOOKUP(A260,[1]PP!$A:$W,22,FALSE)="končí",VLOOKUP(A260,[1]PP!$A:$W,22,FALSE)="DSC"),"jiné",IF(OR(Y260=4,VLOOKUP(A260,[1]PP!$A:$W,22,FALSE)=4),4,IF(OR(Y260=3,VLOOKUP(A260,[1]PP!$A:$W,22,FALSE)=3),3,IF(OR(Y260=2,VLOOKUP(A260,[1]PP!$A:$W,22,FALSE)=2),2,IF(AND(Y260=1,VLOOKUP(A260,[1]PP!$A:$W,22,FALSE)=1),1)))))))))))</f>
        <v/>
      </c>
      <c r="Y260" s="28" t="str">
        <f>IF(COUNTIF(B260:G260,"")&gt;0,"",IF(COUNTIF([1]PP!$A:$A,A260)=0,"neni v PP",IF(VLOOKUP(A260,[1]PP!$A:$W,8,FALSE)="odešel","odešel",IF(F260="","",IF(J260="",IF(OR(T260=4,W260=4),4,IF(AND(T260="N",W260="N"),"N",IF(OR(T260="N",W260="N"),4,ROUND(AVERAGE(T260,W260),0)))),J260)))))</f>
        <v/>
      </c>
      <c r="Z260" s="29" t="str">
        <f>IF(COUNTIF(B260:G260,"")=0,IF(X260="neni v PP",CONCATENATE("ID: &lt;",A260,"&gt; se neshoduje s žádným IDem v kartě PP"),IF(COUNTIF($A:$A,A260)&gt;1,CONCATENATE("ID: &lt;",A260,"&gt; se v kartě VP opakuje. Je nutné tyto IDy od sebe odlišit, např. mezerou za příjmením."),IF(COUNTIF([1]PP!A:A,A260)&gt;1,CONCATENATE("ID: &lt;",A260,"&gt; se v kartě PP opakuje. Je nutné tyto IDy od sebe odlišit, např. mezerou za příjmením."),IF(VLOOKUP(A260,[1]PP!$A:$W,5,FALSE)&lt;&gt;E260,CONCATENATE($E$4," &lt;",E260,"&gt; se neshoduje s jednotkou v kartě PP"," &lt;",VLOOKUP(A260,[1]PP!$A:$W,5,FALSE),"&gt;"),IF(AND(COUNTIF(K260:O260,"")&lt;5,J260="",I260=""),CONCATENATE("Doplň: ",$I$4),IF(AND(YEAR(I260)&lt;&gt;$E$2,COUNTIF(I260,"")=0),CONCATENATE("špatně uveden &lt;",$D$2,"&gt; nebo &lt;",$I$4,"&gt;"),IF(OR(AND(OR(COUNTIF(C260,"*a"),COUNTIF(C260,"*ie"),COUNTIF(C260,"*ine"),COUNTIF(D260,"*Á")),F260="muž"),AND(AND(COUNTIF(C260,"&lt;&gt;"&amp;"*a"),COUNTIF(C260,"&lt;&gt;"&amp;"*ie"),COUNTIF(C260,"&lt;&gt;"&amp;"*ine"),COUNTIF(D260,"&lt;&gt;"&amp;"*Á")),F260="žena")),CONCATENATE(C260," ",D260," je ",F260,"?"),""))))))),IF(COUNTIF(B260:O260,"")=14,"",CONCATENATE("Doplň: ",IF(B260="",CONCATENATE($B$4,IF(COUNTIF(C260:G260,"")=0,"",", ")),""),IF(C260="",CONCATENATE($C$4,IF(COUNTIF(D260:G260,"")=0,"",", ")),""),IF(D260="",CONCATENATE($D$4,IF(COUNTIF(E260:G260,"")=0,"",", ")),""),IF(E260="",CONCATENATE($E$4,IF(COUNTIF(F260:G260,"")=0,"",", ")),""),IF(F260="",CONCATENATE($F$4,IF(G260="",", ","")),""),IF(G260="",$G$4,""))))</f>
        <v/>
      </c>
      <c r="AA260" s="30"/>
    </row>
    <row r="261" spans="1:27" ht="16" x14ac:dyDescent="0.35">
      <c r="A261" s="14" t="str">
        <f t="shared" si="16"/>
        <v xml:space="preserve">  </v>
      </c>
      <c r="B261" s="15"/>
      <c r="C261" s="31"/>
      <c r="D261" s="31"/>
      <c r="E261" s="17"/>
      <c r="F261" s="18"/>
      <c r="G261" s="32"/>
      <c r="H261" s="33" t="str">
        <f>IF(G261="","",IF(F261="žena",ROMAN(MATCH(G261+1,'[1]Normy VP'!$Y$27:$Y$33,-1)),ROMAN(MATCH(G261+1,'[1]Normy VP'!$Y$19:$Y$25,-1))))</f>
        <v/>
      </c>
      <c r="I261" s="21"/>
      <c r="J261" s="22"/>
      <c r="K261" s="23"/>
      <c r="L261" s="23"/>
      <c r="M261" s="23"/>
      <c r="N261" s="22"/>
      <c r="O261" s="22"/>
      <c r="P261" s="24" t="str">
        <f>IF(OR($J261="",$J261="odešel"),IF(K261="","",IF($F261="žena",CHOOSE(_xlfn.ARABIC($H261),MATCH(K261+1,'[1]Normy VP'!$C$25:$F$25,-1),MATCH(K261+1,'[1]Normy VP'!$C$26:$F$26,-1),MATCH(K261+1,'[1]Normy VP'!$C$27:$F$27,-1),MATCH(K261+1,'[1]Normy VP'!$C$28:$F$28,-1),MATCH(K261+1,'[1]Normy VP'!$C$29:$F$29,-1),"muž"),CHOOSE(_xlfn.ARABIC($H261),MATCH(K261+1,'[1]Normy VP'!$C$10:$F$10,-1),MATCH(K261+1,'[1]Normy VP'!$C$11:$F$11,-1),MATCH(K261+1,'[1]Normy VP'!$C$12:$F$12,-1),MATCH(K261+1,'[1]Normy VP'!$C$13:$F$13,-1),MATCH(K261+1,'[1]Normy VP'!$C$14:$F$14,-1),""))),"O")</f>
        <v/>
      </c>
      <c r="Q261" s="24" t="str">
        <f>IF(OR($J261="",$J261="odešel"),IF($F261="žena","",IF(L261="","",(CHOOSE(_xlfn.ARABIC($H261),MATCH(L261+1,'[1]Normy VP'!$G$10:$J$10,-1),MATCH(L261+1,'[1]Normy VP'!$G$11:$J$11,-1),MATCH(L261+1,'[1]Normy VP'!$G$12:$J$12,-1),MATCH(L261+1,'[1]Normy VP'!$G$13:$J$13,-1),MATCH(L261+1,'[1]Normy VP'!$G$14:$J$14,-1),"")))),"O")</f>
        <v/>
      </c>
      <c r="R261" s="34" t="str">
        <f t="shared" si="17"/>
        <v>N</v>
      </c>
      <c r="S261" s="24" t="str">
        <f>IF(OR($J261="",$J261="odešel"),IF(M261="","N",IF($F261="žena",CHOOSE(_xlfn.ARABIC($H261),MATCH(M261+1,'[1]Normy VP'!$G$25:$J$25,-1),MATCH(M261+1,'[1]Normy VP'!$G$26:$J$26,-1),MATCH(M261+1,'[1]Normy VP'!$G$27:$J$27,-1),MATCH(M261+1,'[1]Normy VP'!$G$28:$J$28,-1),MATCH(M261+1,'[1]Normy VP'!$G$29:$J$29,-1),"muž"),(CHOOSE(_xlfn.ARABIC($H261),MATCH(M261+1,'[1]Normy VP'!$K$10:$N$10,-1),MATCH(M261+1,'[1]Normy VP'!$K$11:$N$11,-1),MATCH(M261+1,'[1]Normy VP'!$K$12:$N$12,-1),MATCH(M261+1,'[1]Normy VP'!$K$13:$N$13,-1),MATCH(M261+1,'[1]Normy VP'!$K$14:$N$14,-1),"")))),"O")</f>
        <v>N</v>
      </c>
      <c r="T261" s="34" t="str">
        <f t="shared" si="18"/>
        <v>N</v>
      </c>
      <c r="U261" s="24" t="str">
        <f>IF(OR($J261="",$J261="odešel"),IF(N261="","N",IF($F261="žena",CHOOSE(_xlfn.ARABIC($H261),MATCH(N261+1,'[1]Normy VP'!$K$25:$N$25,-1),MATCH(N261+1,'[1]Normy VP'!$K$26:$N$26,-1),MATCH(N261+1,'[1]Normy VP'!$K$27:$N$27,-1),MATCH(N261+1,'[1]Normy VP'!$K$28:$N$28,-1),MATCH(N261+1,'[1]Normy VP'!$K$29:$N$29,-1),MATCH(N261+1,'[1]Normy VP'!$K$30:$N$30,-1)),CHOOSE(_xlfn.ARABIC($H261),MATCH(N261+1,'[1]Normy VP'!$O$10:$R$10,-1),MATCH(N261+1,'[1]Normy VP'!$O$11:$R$11,-1),MATCH(N261+1,'[1]Normy VP'!$O$12:$R$12,-1),MATCH(N261+1,'[1]Normy VP'!$O$13:$R$13,-1),MATCH(N261+1,'[1]Normy VP'!$O$14:$R$14,-1),MATCH(N261+1,'[1]Normy VP'!$O$15:$R$15,-1)))),"O")</f>
        <v>N</v>
      </c>
      <c r="V261" s="26" t="str">
        <f>IF(OR($J261="",$J261="odešel"),IF(O261="","N",IF($F261="žena",CHOOSE(_xlfn.ARABIC($H261),MATCH(O261-1,'[1]Normy VP'!$O$25:$R$25),MATCH(O261-1,'[1]Normy VP'!$O$26:$R$26),MATCH(O261-1,'[1]Normy VP'!$O$27:$R$27),MATCH(O261-1,'[1]Normy VP'!$O$28:$R$28),MATCH(O261-1,'[1]Normy VP'!$O$29:$R$29),MATCH(O261-1,'[1]Normy VP'!$O$30:$R$30)),CHOOSE(_xlfn.ARABIC($H261),MATCH(O261-1,'[1]Normy VP'!$S$10:$V$10),MATCH(O261-1,'[1]Normy VP'!$S$11:$V$11),MATCH(O261-1,'[1]Normy VP'!$S$12:$V$12),MATCH(O261-1,'[1]Normy VP'!$S$13:$V$13),MATCH(O261-1,'[1]Normy VP'!$S$14:$V$14),MATCH(O261-1,'[1]Normy VP'!$S$15:$V$15)))),"O")</f>
        <v>N</v>
      </c>
      <c r="W261" s="34" t="str">
        <f t="shared" si="19"/>
        <v>N</v>
      </c>
      <c r="X261" s="27" t="str">
        <f>IF(COUNTIF(B261:G261,"")&gt;0,"",IF(COUNTIF([1]PP!$A:$A,A261)=0,"neni v PP",IF(OR(Y261="odešel",VLOOKUP(A261,[1]PP!$A:$W,22,FALSE)="odešel"),"odešel",IF(OR(Y261="N",VLOOKUP(A261,[1]PP!$A:$W,22,FALSE)="N"),"N",IF(OR(Y261="C",VLOOKUP(A261,[1]PP!$A:$W,22,FALSE)="C"),"C",IF(OR(Y261="DZO",VLOOKUP(A261,[1]PP!$A:$W,22,FALSE)="DZO"),"DZO",IF(OR(Y261="mise",Y261="disp.",Y261="končí",Y261="DSC",VLOOKUP(A261,[1]PP!$A:$W,22,FALSE)="mise",VLOOKUP(A261,[1]PP!$A:$W,22,FALSE)="disp.",VLOOKUP(A261,[1]PP!$A:$W,22,FALSE)="končí",VLOOKUP(A261,[1]PP!$A:$W,22,FALSE)="DSC"),"jiné",IF(OR(Y261=4,VLOOKUP(A261,[1]PP!$A:$W,22,FALSE)=4),4,IF(OR(Y261=3,VLOOKUP(A261,[1]PP!$A:$W,22,FALSE)=3),3,IF(OR(Y261=2,VLOOKUP(A261,[1]PP!$A:$W,22,FALSE)=2),2,IF(AND(Y261=1,VLOOKUP(A261,[1]PP!$A:$W,22,FALSE)=1),1)))))))))))</f>
        <v/>
      </c>
      <c r="Y261" s="28" t="str">
        <f>IF(COUNTIF(B261:G261,"")&gt;0,"",IF(COUNTIF([1]PP!$A:$A,A261)=0,"neni v PP",IF(VLOOKUP(A261,[1]PP!$A:$W,8,FALSE)="odešel","odešel",IF(F261="","",IF(J261="",IF(OR(T261=4,W261=4),4,IF(AND(T261="N",W261="N"),"N",IF(OR(T261="N",W261="N"),4,ROUND(AVERAGE(T261,W261),0)))),J261)))))</f>
        <v/>
      </c>
      <c r="Z261" s="29" t="str">
        <f>IF(COUNTIF(B261:G261,"")=0,IF(X261="neni v PP",CONCATENATE("ID: &lt;",A261,"&gt; se neshoduje s žádným IDem v kartě PP"),IF(COUNTIF($A:$A,A261)&gt;1,CONCATENATE("ID: &lt;",A261,"&gt; se v kartě VP opakuje. Je nutné tyto IDy od sebe odlišit, např. mezerou za příjmením."),IF(COUNTIF([1]PP!A:A,A261)&gt;1,CONCATENATE("ID: &lt;",A261,"&gt; se v kartě PP opakuje. Je nutné tyto IDy od sebe odlišit, např. mezerou za příjmením."),IF(VLOOKUP(A261,[1]PP!$A:$W,5,FALSE)&lt;&gt;E261,CONCATENATE($E$4," &lt;",E261,"&gt; se neshoduje s jednotkou v kartě PP"," &lt;",VLOOKUP(A261,[1]PP!$A:$W,5,FALSE),"&gt;"),IF(AND(COUNTIF(K261:O261,"")&lt;5,J261="",I261=""),CONCATENATE("Doplň: ",$I$4),IF(AND(YEAR(I261)&lt;&gt;$E$2,COUNTIF(I261,"")=0),CONCATENATE("špatně uveden &lt;",$D$2,"&gt; nebo &lt;",$I$4,"&gt;"),IF(OR(AND(OR(COUNTIF(C261,"*a"),COUNTIF(C261,"*ie"),COUNTIF(C261,"*ine"),COUNTIF(D261,"*Á")),F261="muž"),AND(AND(COUNTIF(C261,"&lt;&gt;"&amp;"*a"),COUNTIF(C261,"&lt;&gt;"&amp;"*ie"),COUNTIF(C261,"&lt;&gt;"&amp;"*ine"),COUNTIF(D261,"&lt;&gt;"&amp;"*Á")),F261="žena")),CONCATENATE(C261," ",D261," je ",F261,"?"),""))))))),IF(COUNTIF(B261:O261,"")=14,"",CONCATENATE("Doplň: ",IF(B261="",CONCATENATE($B$4,IF(COUNTIF(C261:G261,"")=0,"",", ")),""),IF(C261="",CONCATENATE($C$4,IF(COUNTIF(D261:G261,"")=0,"",", ")),""),IF(D261="",CONCATENATE($D$4,IF(COUNTIF(E261:G261,"")=0,"",", ")),""),IF(E261="",CONCATENATE($E$4,IF(COUNTIF(F261:G261,"")=0,"",", ")),""),IF(F261="",CONCATENATE($F$4,IF(G261="",", ","")),""),IF(G261="",$G$4,""))))</f>
        <v/>
      </c>
      <c r="AA261" s="30"/>
    </row>
    <row r="262" spans="1:27" ht="16" x14ac:dyDescent="0.35">
      <c r="A262" s="14" t="str">
        <f t="shared" si="16"/>
        <v xml:space="preserve">  </v>
      </c>
      <c r="B262" s="15"/>
      <c r="C262" s="31"/>
      <c r="D262" s="31"/>
      <c r="E262" s="17"/>
      <c r="F262" s="18"/>
      <c r="G262" s="32"/>
      <c r="H262" s="33" t="str">
        <f>IF(G262="","",IF(F262="žena",ROMAN(MATCH(G262+1,'[1]Normy VP'!$Y$27:$Y$33,-1)),ROMAN(MATCH(G262+1,'[1]Normy VP'!$Y$19:$Y$25,-1))))</f>
        <v/>
      </c>
      <c r="I262" s="21"/>
      <c r="J262" s="22"/>
      <c r="K262" s="23"/>
      <c r="L262" s="23"/>
      <c r="M262" s="23"/>
      <c r="N262" s="22"/>
      <c r="O262" s="22"/>
      <c r="P262" s="24" t="str">
        <f>IF(OR($J262="",$J262="odešel"),IF(K262="","",IF($F262="žena",CHOOSE(_xlfn.ARABIC($H262),MATCH(K262+1,'[1]Normy VP'!$C$25:$F$25,-1),MATCH(K262+1,'[1]Normy VP'!$C$26:$F$26,-1),MATCH(K262+1,'[1]Normy VP'!$C$27:$F$27,-1),MATCH(K262+1,'[1]Normy VP'!$C$28:$F$28,-1),MATCH(K262+1,'[1]Normy VP'!$C$29:$F$29,-1),"muž"),CHOOSE(_xlfn.ARABIC($H262),MATCH(K262+1,'[1]Normy VP'!$C$10:$F$10,-1),MATCH(K262+1,'[1]Normy VP'!$C$11:$F$11,-1),MATCH(K262+1,'[1]Normy VP'!$C$12:$F$12,-1),MATCH(K262+1,'[1]Normy VP'!$C$13:$F$13,-1),MATCH(K262+1,'[1]Normy VP'!$C$14:$F$14,-1),""))),"O")</f>
        <v/>
      </c>
      <c r="Q262" s="24" t="str">
        <f>IF(OR($J262="",$J262="odešel"),IF($F262="žena","",IF(L262="","",(CHOOSE(_xlfn.ARABIC($H262),MATCH(L262+1,'[1]Normy VP'!$G$10:$J$10,-1),MATCH(L262+1,'[1]Normy VP'!$G$11:$J$11,-1),MATCH(L262+1,'[1]Normy VP'!$G$12:$J$12,-1),MATCH(L262+1,'[1]Normy VP'!$G$13:$J$13,-1),MATCH(L262+1,'[1]Normy VP'!$G$14:$J$14,-1),"")))),"O")</f>
        <v/>
      </c>
      <c r="R262" s="34" t="str">
        <f t="shared" si="17"/>
        <v>N</v>
      </c>
      <c r="S262" s="24" t="str">
        <f>IF(OR($J262="",$J262="odešel"),IF(M262="","N",IF($F262="žena",CHOOSE(_xlfn.ARABIC($H262),MATCH(M262+1,'[1]Normy VP'!$G$25:$J$25,-1),MATCH(M262+1,'[1]Normy VP'!$G$26:$J$26,-1),MATCH(M262+1,'[1]Normy VP'!$G$27:$J$27,-1),MATCH(M262+1,'[1]Normy VP'!$G$28:$J$28,-1),MATCH(M262+1,'[1]Normy VP'!$G$29:$J$29,-1),"muž"),(CHOOSE(_xlfn.ARABIC($H262),MATCH(M262+1,'[1]Normy VP'!$K$10:$N$10,-1),MATCH(M262+1,'[1]Normy VP'!$K$11:$N$11,-1),MATCH(M262+1,'[1]Normy VP'!$K$12:$N$12,-1),MATCH(M262+1,'[1]Normy VP'!$K$13:$N$13,-1),MATCH(M262+1,'[1]Normy VP'!$K$14:$N$14,-1),"")))),"O")</f>
        <v>N</v>
      </c>
      <c r="T262" s="34" t="str">
        <f t="shared" si="18"/>
        <v>N</v>
      </c>
      <c r="U262" s="24" t="str">
        <f>IF(OR($J262="",$J262="odešel"),IF(N262="","N",IF($F262="žena",CHOOSE(_xlfn.ARABIC($H262),MATCH(N262+1,'[1]Normy VP'!$K$25:$N$25,-1),MATCH(N262+1,'[1]Normy VP'!$K$26:$N$26,-1),MATCH(N262+1,'[1]Normy VP'!$K$27:$N$27,-1),MATCH(N262+1,'[1]Normy VP'!$K$28:$N$28,-1),MATCH(N262+1,'[1]Normy VP'!$K$29:$N$29,-1),MATCH(N262+1,'[1]Normy VP'!$K$30:$N$30,-1)),CHOOSE(_xlfn.ARABIC($H262),MATCH(N262+1,'[1]Normy VP'!$O$10:$R$10,-1),MATCH(N262+1,'[1]Normy VP'!$O$11:$R$11,-1),MATCH(N262+1,'[1]Normy VP'!$O$12:$R$12,-1),MATCH(N262+1,'[1]Normy VP'!$O$13:$R$13,-1),MATCH(N262+1,'[1]Normy VP'!$O$14:$R$14,-1),MATCH(N262+1,'[1]Normy VP'!$O$15:$R$15,-1)))),"O")</f>
        <v>N</v>
      </c>
      <c r="V262" s="26" t="str">
        <f>IF(OR($J262="",$J262="odešel"),IF(O262="","N",IF($F262="žena",CHOOSE(_xlfn.ARABIC($H262),MATCH(O262-1,'[1]Normy VP'!$O$25:$R$25),MATCH(O262-1,'[1]Normy VP'!$O$26:$R$26),MATCH(O262-1,'[1]Normy VP'!$O$27:$R$27),MATCH(O262-1,'[1]Normy VP'!$O$28:$R$28),MATCH(O262-1,'[1]Normy VP'!$O$29:$R$29),MATCH(O262-1,'[1]Normy VP'!$O$30:$R$30)),CHOOSE(_xlfn.ARABIC($H262),MATCH(O262-1,'[1]Normy VP'!$S$10:$V$10),MATCH(O262-1,'[1]Normy VP'!$S$11:$V$11),MATCH(O262-1,'[1]Normy VP'!$S$12:$V$12),MATCH(O262-1,'[1]Normy VP'!$S$13:$V$13),MATCH(O262-1,'[1]Normy VP'!$S$14:$V$14),MATCH(O262-1,'[1]Normy VP'!$S$15:$V$15)))),"O")</f>
        <v>N</v>
      </c>
      <c r="W262" s="34" t="str">
        <f t="shared" si="19"/>
        <v>N</v>
      </c>
      <c r="X262" s="27" t="str">
        <f>IF(COUNTIF(B262:G262,"")&gt;0,"",IF(COUNTIF([1]PP!$A:$A,A262)=0,"neni v PP",IF(OR(Y262="odešel",VLOOKUP(A262,[1]PP!$A:$W,22,FALSE)="odešel"),"odešel",IF(OR(Y262="N",VLOOKUP(A262,[1]PP!$A:$W,22,FALSE)="N"),"N",IF(OR(Y262="C",VLOOKUP(A262,[1]PP!$A:$W,22,FALSE)="C"),"C",IF(OR(Y262="DZO",VLOOKUP(A262,[1]PP!$A:$W,22,FALSE)="DZO"),"DZO",IF(OR(Y262="mise",Y262="disp.",Y262="končí",Y262="DSC",VLOOKUP(A262,[1]PP!$A:$W,22,FALSE)="mise",VLOOKUP(A262,[1]PP!$A:$W,22,FALSE)="disp.",VLOOKUP(A262,[1]PP!$A:$W,22,FALSE)="končí",VLOOKUP(A262,[1]PP!$A:$W,22,FALSE)="DSC"),"jiné",IF(OR(Y262=4,VLOOKUP(A262,[1]PP!$A:$W,22,FALSE)=4),4,IF(OR(Y262=3,VLOOKUP(A262,[1]PP!$A:$W,22,FALSE)=3),3,IF(OR(Y262=2,VLOOKUP(A262,[1]PP!$A:$W,22,FALSE)=2),2,IF(AND(Y262=1,VLOOKUP(A262,[1]PP!$A:$W,22,FALSE)=1),1)))))))))))</f>
        <v/>
      </c>
      <c r="Y262" s="28" t="str">
        <f>IF(COUNTIF(B262:G262,"")&gt;0,"",IF(COUNTIF([1]PP!$A:$A,A262)=0,"neni v PP",IF(VLOOKUP(A262,[1]PP!$A:$W,8,FALSE)="odešel","odešel",IF(F262="","",IF(J262="",IF(OR(T262=4,W262=4),4,IF(AND(T262="N",W262="N"),"N",IF(OR(T262="N",W262="N"),4,ROUND(AVERAGE(T262,W262),0)))),J262)))))</f>
        <v/>
      </c>
      <c r="Z262" s="29" t="str">
        <f>IF(COUNTIF(B262:G262,"")=0,IF(X262="neni v PP",CONCATENATE("ID: &lt;",A262,"&gt; se neshoduje s žádným IDem v kartě PP"),IF(COUNTIF($A:$A,A262)&gt;1,CONCATENATE("ID: &lt;",A262,"&gt; se v kartě VP opakuje. Je nutné tyto IDy od sebe odlišit, např. mezerou za příjmením."),IF(COUNTIF([1]PP!A:A,A262)&gt;1,CONCATENATE("ID: &lt;",A262,"&gt; se v kartě PP opakuje. Je nutné tyto IDy od sebe odlišit, např. mezerou za příjmením."),IF(VLOOKUP(A262,[1]PP!$A:$W,5,FALSE)&lt;&gt;E262,CONCATENATE($E$4," &lt;",E262,"&gt; se neshoduje s jednotkou v kartě PP"," &lt;",VLOOKUP(A262,[1]PP!$A:$W,5,FALSE),"&gt;"),IF(AND(COUNTIF(K262:O262,"")&lt;5,J262="",I262=""),CONCATENATE("Doplň: ",$I$4),IF(AND(YEAR(I262)&lt;&gt;$E$2,COUNTIF(I262,"")=0),CONCATENATE("špatně uveden &lt;",$D$2,"&gt; nebo &lt;",$I$4,"&gt;"),IF(OR(AND(OR(COUNTIF(C262,"*a"),COUNTIF(C262,"*ie"),COUNTIF(C262,"*ine"),COUNTIF(D262,"*Á")),F262="muž"),AND(AND(COUNTIF(C262,"&lt;&gt;"&amp;"*a"),COUNTIF(C262,"&lt;&gt;"&amp;"*ie"),COUNTIF(C262,"&lt;&gt;"&amp;"*ine"),COUNTIF(D262,"&lt;&gt;"&amp;"*Á")),F262="žena")),CONCATENATE(C262," ",D262," je ",F262,"?"),""))))))),IF(COUNTIF(B262:O262,"")=14,"",CONCATENATE("Doplň: ",IF(B262="",CONCATENATE($B$4,IF(COUNTIF(C262:G262,"")=0,"",", ")),""),IF(C262="",CONCATENATE($C$4,IF(COUNTIF(D262:G262,"")=0,"",", ")),""),IF(D262="",CONCATENATE($D$4,IF(COUNTIF(E262:G262,"")=0,"",", ")),""),IF(E262="",CONCATENATE($E$4,IF(COUNTIF(F262:G262,"")=0,"",", ")),""),IF(F262="",CONCATENATE($F$4,IF(G262="",", ","")),""),IF(G262="",$G$4,""))))</f>
        <v/>
      </c>
      <c r="AA262" s="30"/>
    </row>
    <row r="263" spans="1:27" ht="16" x14ac:dyDescent="0.35">
      <c r="A263" s="14" t="str">
        <f t="shared" si="16"/>
        <v xml:space="preserve">  </v>
      </c>
      <c r="B263" s="15"/>
      <c r="C263" s="31"/>
      <c r="D263" s="31"/>
      <c r="E263" s="17"/>
      <c r="F263" s="18"/>
      <c r="G263" s="32"/>
      <c r="H263" s="33" t="str">
        <f>IF(G263="","",IF(F263="žena",ROMAN(MATCH(G263+1,'[1]Normy VP'!$Y$27:$Y$33,-1)),ROMAN(MATCH(G263+1,'[1]Normy VP'!$Y$19:$Y$25,-1))))</f>
        <v/>
      </c>
      <c r="I263" s="21"/>
      <c r="J263" s="22"/>
      <c r="K263" s="23"/>
      <c r="L263" s="23"/>
      <c r="M263" s="23"/>
      <c r="N263" s="22"/>
      <c r="O263" s="22"/>
      <c r="P263" s="24" t="str">
        <f>IF(OR($J263="",$J263="odešel"),IF(K263="","",IF($F263="žena",CHOOSE(_xlfn.ARABIC($H263),MATCH(K263+1,'[1]Normy VP'!$C$25:$F$25,-1),MATCH(K263+1,'[1]Normy VP'!$C$26:$F$26,-1),MATCH(K263+1,'[1]Normy VP'!$C$27:$F$27,-1),MATCH(K263+1,'[1]Normy VP'!$C$28:$F$28,-1),MATCH(K263+1,'[1]Normy VP'!$C$29:$F$29,-1),"muž"),CHOOSE(_xlfn.ARABIC($H263),MATCH(K263+1,'[1]Normy VP'!$C$10:$F$10,-1),MATCH(K263+1,'[1]Normy VP'!$C$11:$F$11,-1),MATCH(K263+1,'[1]Normy VP'!$C$12:$F$12,-1),MATCH(K263+1,'[1]Normy VP'!$C$13:$F$13,-1),MATCH(K263+1,'[1]Normy VP'!$C$14:$F$14,-1),""))),"O")</f>
        <v/>
      </c>
      <c r="Q263" s="24" t="str">
        <f>IF(OR($J263="",$J263="odešel"),IF($F263="žena","",IF(L263="","",(CHOOSE(_xlfn.ARABIC($H263),MATCH(L263+1,'[1]Normy VP'!$G$10:$J$10,-1),MATCH(L263+1,'[1]Normy VP'!$G$11:$J$11,-1),MATCH(L263+1,'[1]Normy VP'!$G$12:$J$12,-1),MATCH(L263+1,'[1]Normy VP'!$G$13:$J$13,-1),MATCH(L263+1,'[1]Normy VP'!$G$14:$J$14,-1),"")))),"O")</f>
        <v/>
      </c>
      <c r="R263" s="34" t="str">
        <f t="shared" si="17"/>
        <v>N</v>
      </c>
      <c r="S263" s="24" t="str">
        <f>IF(OR($J263="",$J263="odešel"),IF(M263="","N",IF($F263="žena",CHOOSE(_xlfn.ARABIC($H263),MATCH(M263+1,'[1]Normy VP'!$G$25:$J$25,-1),MATCH(M263+1,'[1]Normy VP'!$G$26:$J$26,-1),MATCH(M263+1,'[1]Normy VP'!$G$27:$J$27,-1),MATCH(M263+1,'[1]Normy VP'!$G$28:$J$28,-1),MATCH(M263+1,'[1]Normy VP'!$G$29:$J$29,-1),"muž"),(CHOOSE(_xlfn.ARABIC($H263),MATCH(M263+1,'[1]Normy VP'!$K$10:$N$10,-1),MATCH(M263+1,'[1]Normy VP'!$K$11:$N$11,-1),MATCH(M263+1,'[1]Normy VP'!$K$12:$N$12,-1),MATCH(M263+1,'[1]Normy VP'!$K$13:$N$13,-1),MATCH(M263+1,'[1]Normy VP'!$K$14:$N$14,-1),"")))),"O")</f>
        <v>N</v>
      </c>
      <c r="T263" s="34" t="str">
        <f t="shared" si="18"/>
        <v>N</v>
      </c>
      <c r="U263" s="24" t="str">
        <f>IF(OR($J263="",$J263="odešel"),IF(N263="","N",IF($F263="žena",CHOOSE(_xlfn.ARABIC($H263),MATCH(N263+1,'[1]Normy VP'!$K$25:$N$25,-1),MATCH(N263+1,'[1]Normy VP'!$K$26:$N$26,-1),MATCH(N263+1,'[1]Normy VP'!$K$27:$N$27,-1),MATCH(N263+1,'[1]Normy VP'!$K$28:$N$28,-1),MATCH(N263+1,'[1]Normy VP'!$K$29:$N$29,-1),MATCH(N263+1,'[1]Normy VP'!$K$30:$N$30,-1)),CHOOSE(_xlfn.ARABIC($H263),MATCH(N263+1,'[1]Normy VP'!$O$10:$R$10,-1),MATCH(N263+1,'[1]Normy VP'!$O$11:$R$11,-1),MATCH(N263+1,'[1]Normy VP'!$O$12:$R$12,-1),MATCH(N263+1,'[1]Normy VP'!$O$13:$R$13,-1),MATCH(N263+1,'[1]Normy VP'!$O$14:$R$14,-1),MATCH(N263+1,'[1]Normy VP'!$O$15:$R$15,-1)))),"O")</f>
        <v>N</v>
      </c>
      <c r="V263" s="26" t="str">
        <f>IF(OR($J263="",$J263="odešel"),IF(O263="","N",IF($F263="žena",CHOOSE(_xlfn.ARABIC($H263),MATCH(O263-1,'[1]Normy VP'!$O$25:$R$25),MATCH(O263-1,'[1]Normy VP'!$O$26:$R$26),MATCH(O263-1,'[1]Normy VP'!$O$27:$R$27),MATCH(O263-1,'[1]Normy VP'!$O$28:$R$28),MATCH(O263-1,'[1]Normy VP'!$O$29:$R$29),MATCH(O263-1,'[1]Normy VP'!$O$30:$R$30)),CHOOSE(_xlfn.ARABIC($H263),MATCH(O263-1,'[1]Normy VP'!$S$10:$V$10),MATCH(O263-1,'[1]Normy VP'!$S$11:$V$11),MATCH(O263-1,'[1]Normy VP'!$S$12:$V$12),MATCH(O263-1,'[1]Normy VP'!$S$13:$V$13),MATCH(O263-1,'[1]Normy VP'!$S$14:$V$14),MATCH(O263-1,'[1]Normy VP'!$S$15:$V$15)))),"O")</f>
        <v>N</v>
      </c>
      <c r="W263" s="34" t="str">
        <f t="shared" si="19"/>
        <v>N</v>
      </c>
      <c r="X263" s="27" t="str">
        <f>IF(COUNTIF(B263:G263,"")&gt;0,"",IF(COUNTIF([1]PP!$A:$A,A263)=0,"neni v PP",IF(OR(Y263="odešel",VLOOKUP(A263,[1]PP!$A:$W,22,FALSE)="odešel"),"odešel",IF(OR(Y263="N",VLOOKUP(A263,[1]PP!$A:$W,22,FALSE)="N"),"N",IF(OR(Y263="C",VLOOKUP(A263,[1]PP!$A:$W,22,FALSE)="C"),"C",IF(OR(Y263="DZO",VLOOKUP(A263,[1]PP!$A:$W,22,FALSE)="DZO"),"DZO",IF(OR(Y263="mise",Y263="disp.",Y263="končí",Y263="DSC",VLOOKUP(A263,[1]PP!$A:$W,22,FALSE)="mise",VLOOKUP(A263,[1]PP!$A:$W,22,FALSE)="disp.",VLOOKUP(A263,[1]PP!$A:$W,22,FALSE)="končí",VLOOKUP(A263,[1]PP!$A:$W,22,FALSE)="DSC"),"jiné",IF(OR(Y263=4,VLOOKUP(A263,[1]PP!$A:$W,22,FALSE)=4),4,IF(OR(Y263=3,VLOOKUP(A263,[1]PP!$A:$W,22,FALSE)=3),3,IF(OR(Y263=2,VLOOKUP(A263,[1]PP!$A:$W,22,FALSE)=2),2,IF(AND(Y263=1,VLOOKUP(A263,[1]PP!$A:$W,22,FALSE)=1),1)))))))))))</f>
        <v/>
      </c>
      <c r="Y263" s="28" t="str">
        <f>IF(COUNTIF(B263:G263,"")&gt;0,"",IF(COUNTIF([1]PP!$A:$A,A263)=0,"neni v PP",IF(VLOOKUP(A263,[1]PP!$A:$W,8,FALSE)="odešel","odešel",IF(F263="","",IF(J263="",IF(OR(T263=4,W263=4),4,IF(AND(T263="N",W263="N"),"N",IF(OR(T263="N",W263="N"),4,ROUND(AVERAGE(T263,W263),0)))),J263)))))</f>
        <v/>
      </c>
      <c r="Z263" s="29" t="str">
        <f>IF(COUNTIF(B263:G263,"")=0,IF(X263="neni v PP",CONCATENATE("ID: &lt;",A263,"&gt; se neshoduje s žádným IDem v kartě PP"),IF(COUNTIF($A:$A,A263)&gt;1,CONCATENATE("ID: &lt;",A263,"&gt; se v kartě VP opakuje. Je nutné tyto IDy od sebe odlišit, např. mezerou za příjmením."),IF(COUNTIF([1]PP!A:A,A263)&gt;1,CONCATENATE("ID: &lt;",A263,"&gt; se v kartě PP opakuje. Je nutné tyto IDy od sebe odlišit, např. mezerou za příjmením."),IF(VLOOKUP(A263,[1]PP!$A:$W,5,FALSE)&lt;&gt;E263,CONCATENATE($E$4," &lt;",E263,"&gt; se neshoduje s jednotkou v kartě PP"," &lt;",VLOOKUP(A263,[1]PP!$A:$W,5,FALSE),"&gt;"),IF(AND(COUNTIF(K263:O263,"")&lt;5,J263="",I263=""),CONCATENATE("Doplň: ",$I$4),IF(AND(YEAR(I263)&lt;&gt;$E$2,COUNTIF(I263,"")=0),CONCATENATE("špatně uveden &lt;",$D$2,"&gt; nebo &lt;",$I$4,"&gt;"),IF(OR(AND(OR(COUNTIF(C263,"*a"),COUNTIF(C263,"*ie"),COUNTIF(C263,"*ine"),COUNTIF(D263,"*Á")),F263="muž"),AND(AND(COUNTIF(C263,"&lt;&gt;"&amp;"*a"),COUNTIF(C263,"&lt;&gt;"&amp;"*ie"),COUNTIF(C263,"&lt;&gt;"&amp;"*ine"),COUNTIF(D263,"&lt;&gt;"&amp;"*Á")),F263="žena")),CONCATENATE(C263," ",D263," je ",F263,"?"),""))))))),IF(COUNTIF(B263:O263,"")=14,"",CONCATENATE("Doplň: ",IF(B263="",CONCATENATE($B$4,IF(COUNTIF(C263:G263,"")=0,"",", ")),""),IF(C263="",CONCATENATE($C$4,IF(COUNTIF(D263:G263,"")=0,"",", ")),""),IF(D263="",CONCATENATE($D$4,IF(COUNTIF(E263:G263,"")=0,"",", ")),""),IF(E263="",CONCATENATE($E$4,IF(COUNTIF(F263:G263,"")=0,"",", ")),""),IF(F263="",CONCATENATE($F$4,IF(G263="",", ","")),""),IF(G263="",$G$4,""))))</f>
        <v/>
      </c>
      <c r="AA263" s="30"/>
    </row>
    <row r="264" spans="1:27" ht="16" x14ac:dyDescent="0.35">
      <c r="A264" s="14" t="str">
        <f t="shared" si="16"/>
        <v xml:space="preserve">  </v>
      </c>
      <c r="B264" s="15"/>
      <c r="C264" s="31"/>
      <c r="D264" s="31"/>
      <c r="E264" s="17"/>
      <c r="F264" s="18"/>
      <c r="G264" s="32"/>
      <c r="H264" s="33" t="str">
        <f>IF(G264="","",IF(F264="žena",ROMAN(MATCH(G264+1,'[1]Normy VP'!$Y$27:$Y$33,-1)),ROMAN(MATCH(G264+1,'[1]Normy VP'!$Y$19:$Y$25,-1))))</f>
        <v/>
      </c>
      <c r="I264" s="21"/>
      <c r="J264" s="22"/>
      <c r="K264" s="23"/>
      <c r="L264" s="23"/>
      <c r="M264" s="23"/>
      <c r="N264" s="22"/>
      <c r="O264" s="22"/>
      <c r="P264" s="24" t="str">
        <f>IF(OR($J264="",$J264="odešel"),IF(K264="","",IF($F264="žena",CHOOSE(_xlfn.ARABIC($H264),MATCH(K264+1,'[1]Normy VP'!$C$25:$F$25,-1),MATCH(K264+1,'[1]Normy VP'!$C$26:$F$26,-1),MATCH(K264+1,'[1]Normy VP'!$C$27:$F$27,-1),MATCH(K264+1,'[1]Normy VP'!$C$28:$F$28,-1),MATCH(K264+1,'[1]Normy VP'!$C$29:$F$29,-1),"muž"),CHOOSE(_xlfn.ARABIC($H264),MATCH(K264+1,'[1]Normy VP'!$C$10:$F$10,-1),MATCH(K264+1,'[1]Normy VP'!$C$11:$F$11,-1),MATCH(K264+1,'[1]Normy VP'!$C$12:$F$12,-1),MATCH(K264+1,'[1]Normy VP'!$C$13:$F$13,-1),MATCH(K264+1,'[1]Normy VP'!$C$14:$F$14,-1),""))),"O")</f>
        <v/>
      </c>
      <c r="Q264" s="24" t="str">
        <f>IF(OR($J264="",$J264="odešel"),IF($F264="žena","",IF(L264="","",(CHOOSE(_xlfn.ARABIC($H264),MATCH(L264+1,'[1]Normy VP'!$G$10:$J$10,-1),MATCH(L264+1,'[1]Normy VP'!$G$11:$J$11,-1),MATCH(L264+1,'[1]Normy VP'!$G$12:$J$12,-1),MATCH(L264+1,'[1]Normy VP'!$G$13:$J$13,-1),MATCH(L264+1,'[1]Normy VP'!$G$14:$J$14,-1),"")))),"O")</f>
        <v/>
      </c>
      <c r="R264" s="34" t="str">
        <f t="shared" si="17"/>
        <v>N</v>
      </c>
      <c r="S264" s="24" t="str">
        <f>IF(OR($J264="",$J264="odešel"),IF(M264="","N",IF($F264="žena",CHOOSE(_xlfn.ARABIC($H264),MATCH(M264+1,'[1]Normy VP'!$G$25:$J$25,-1),MATCH(M264+1,'[1]Normy VP'!$G$26:$J$26,-1),MATCH(M264+1,'[1]Normy VP'!$G$27:$J$27,-1),MATCH(M264+1,'[1]Normy VP'!$G$28:$J$28,-1),MATCH(M264+1,'[1]Normy VP'!$G$29:$J$29,-1),"muž"),(CHOOSE(_xlfn.ARABIC($H264),MATCH(M264+1,'[1]Normy VP'!$K$10:$N$10,-1),MATCH(M264+1,'[1]Normy VP'!$K$11:$N$11,-1),MATCH(M264+1,'[1]Normy VP'!$K$12:$N$12,-1),MATCH(M264+1,'[1]Normy VP'!$K$13:$N$13,-1),MATCH(M264+1,'[1]Normy VP'!$K$14:$N$14,-1),"")))),"O")</f>
        <v>N</v>
      </c>
      <c r="T264" s="34" t="str">
        <f t="shared" si="18"/>
        <v>N</v>
      </c>
      <c r="U264" s="24" t="str">
        <f>IF(OR($J264="",$J264="odešel"),IF(N264="","N",IF($F264="žena",CHOOSE(_xlfn.ARABIC($H264),MATCH(N264+1,'[1]Normy VP'!$K$25:$N$25,-1),MATCH(N264+1,'[1]Normy VP'!$K$26:$N$26,-1),MATCH(N264+1,'[1]Normy VP'!$K$27:$N$27,-1),MATCH(N264+1,'[1]Normy VP'!$K$28:$N$28,-1),MATCH(N264+1,'[1]Normy VP'!$K$29:$N$29,-1),MATCH(N264+1,'[1]Normy VP'!$K$30:$N$30,-1)),CHOOSE(_xlfn.ARABIC($H264),MATCH(N264+1,'[1]Normy VP'!$O$10:$R$10,-1),MATCH(N264+1,'[1]Normy VP'!$O$11:$R$11,-1),MATCH(N264+1,'[1]Normy VP'!$O$12:$R$12,-1),MATCH(N264+1,'[1]Normy VP'!$O$13:$R$13,-1),MATCH(N264+1,'[1]Normy VP'!$O$14:$R$14,-1),MATCH(N264+1,'[1]Normy VP'!$O$15:$R$15,-1)))),"O")</f>
        <v>N</v>
      </c>
      <c r="V264" s="26" t="str">
        <f>IF(OR($J264="",$J264="odešel"),IF(O264="","N",IF($F264="žena",CHOOSE(_xlfn.ARABIC($H264),MATCH(O264-1,'[1]Normy VP'!$O$25:$R$25),MATCH(O264-1,'[1]Normy VP'!$O$26:$R$26),MATCH(O264-1,'[1]Normy VP'!$O$27:$R$27),MATCH(O264-1,'[1]Normy VP'!$O$28:$R$28),MATCH(O264-1,'[1]Normy VP'!$O$29:$R$29),MATCH(O264-1,'[1]Normy VP'!$O$30:$R$30)),CHOOSE(_xlfn.ARABIC($H264),MATCH(O264-1,'[1]Normy VP'!$S$10:$V$10),MATCH(O264-1,'[1]Normy VP'!$S$11:$V$11),MATCH(O264-1,'[1]Normy VP'!$S$12:$V$12),MATCH(O264-1,'[1]Normy VP'!$S$13:$V$13),MATCH(O264-1,'[1]Normy VP'!$S$14:$V$14),MATCH(O264-1,'[1]Normy VP'!$S$15:$V$15)))),"O")</f>
        <v>N</v>
      </c>
      <c r="W264" s="34" t="str">
        <f t="shared" si="19"/>
        <v>N</v>
      </c>
      <c r="X264" s="27" t="str">
        <f>IF(COUNTIF(B264:G264,"")&gt;0,"",IF(COUNTIF([1]PP!$A:$A,A264)=0,"neni v PP",IF(OR(Y264="odešel",VLOOKUP(A264,[1]PP!$A:$W,22,FALSE)="odešel"),"odešel",IF(OR(Y264="N",VLOOKUP(A264,[1]PP!$A:$W,22,FALSE)="N"),"N",IF(OR(Y264="C",VLOOKUP(A264,[1]PP!$A:$W,22,FALSE)="C"),"C",IF(OR(Y264="DZO",VLOOKUP(A264,[1]PP!$A:$W,22,FALSE)="DZO"),"DZO",IF(OR(Y264="mise",Y264="disp.",Y264="končí",Y264="DSC",VLOOKUP(A264,[1]PP!$A:$W,22,FALSE)="mise",VLOOKUP(A264,[1]PP!$A:$W,22,FALSE)="disp.",VLOOKUP(A264,[1]PP!$A:$W,22,FALSE)="končí",VLOOKUP(A264,[1]PP!$A:$W,22,FALSE)="DSC"),"jiné",IF(OR(Y264=4,VLOOKUP(A264,[1]PP!$A:$W,22,FALSE)=4),4,IF(OR(Y264=3,VLOOKUP(A264,[1]PP!$A:$W,22,FALSE)=3),3,IF(OR(Y264=2,VLOOKUP(A264,[1]PP!$A:$W,22,FALSE)=2),2,IF(AND(Y264=1,VLOOKUP(A264,[1]PP!$A:$W,22,FALSE)=1),1)))))))))))</f>
        <v/>
      </c>
      <c r="Y264" s="28" t="str">
        <f>IF(COUNTIF(B264:G264,"")&gt;0,"",IF(COUNTIF([1]PP!$A:$A,A264)=0,"neni v PP",IF(VLOOKUP(A264,[1]PP!$A:$W,8,FALSE)="odešel","odešel",IF(F264="","",IF(J264="",IF(OR(T264=4,W264=4),4,IF(AND(T264="N",W264="N"),"N",IF(OR(T264="N",W264="N"),4,ROUND(AVERAGE(T264,W264),0)))),J264)))))</f>
        <v/>
      </c>
      <c r="Z264" s="29" t="str">
        <f>IF(COUNTIF(B264:G264,"")=0,IF(X264="neni v PP",CONCATENATE("ID: &lt;",A264,"&gt; se neshoduje s žádným IDem v kartě PP"),IF(COUNTIF($A:$A,A264)&gt;1,CONCATENATE("ID: &lt;",A264,"&gt; se v kartě VP opakuje. Je nutné tyto IDy od sebe odlišit, např. mezerou za příjmením."),IF(COUNTIF([1]PP!A:A,A264)&gt;1,CONCATENATE("ID: &lt;",A264,"&gt; se v kartě PP opakuje. Je nutné tyto IDy od sebe odlišit, např. mezerou za příjmením."),IF(VLOOKUP(A264,[1]PP!$A:$W,5,FALSE)&lt;&gt;E264,CONCATENATE($E$4," &lt;",E264,"&gt; se neshoduje s jednotkou v kartě PP"," &lt;",VLOOKUP(A264,[1]PP!$A:$W,5,FALSE),"&gt;"),IF(AND(COUNTIF(K264:O264,"")&lt;5,J264="",I264=""),CONCATENATE("Doplň: ",$I$4),IF(AND(YEAR(I264)&lt;&gt;$E$2,COUNTIF(I264,"")=0),CONCATENATE("špatně uveden &lt;",$D$2,"&gt; nebo &lt;",$I$4,"&gt;"),IF(OR(AND(OR(COUNTIF(C264,"*a"),COUNTIF(C264,"*ie"),COUNTIF(C264,"*ine"),COUNTIF(D264,"*Á")),F264="muž"),AND(AND(COUNTIF(C264,"&lt;&gt;"&amp;"*a"),COUNTIF(C264,"&lt;&gt;"&amp;"*ie"),COUNTIF(C264,"&lt;&gt;"&amp;"*ine"),COUNTIF(D264,"&lt;&gt;"&amp;"*Á")),F264="žena")),CONCATENATE(C264," ",D264," je ",F264,"?"),""))))))),IF(COUNTIF(B264:O264,"")=14,"",CONCATENATE("Doplň: ",IF(B264="",CONCATENATE($B$4,IF(COUNTIF(C264:G264,"")=0,"",", ")),""),IF(C264="",CONCATENATE($C$4,IF(COUNTIF(D264:G264,"")=0,"",", ")),""),IF(D264="",CONCATENATE($D$4,IF(COUNTIF(E264:G264,"")=0,"",", ")),""),IF(E264="",CONCATENATE($E$4,IF(COUNTIF(F264:G264,"")=0,"",", ")),""),IF(F264="",CONCATENATE($F$4,IF(G264="",", ","")),""),IF(G264="",$G$4,""))))</f>
        <v/>
      </c>
      <c r="AA264" s="30"/>
    </row>
    <row r="265" spans="1:27" ht="16" x14ac:dyDescent="0.35">
      <c r="A265" s="14" t="str">
        <f t="shared" si="16"/>
        <v xml:space="preserve">  </v>
      </c>
      <c r="B265" s="15"/>
      <c r="C265" s="31"/>
      <c r="D265" s="31"/>
      <c r="E265" s="17"/>
      <c r="F265" s="18"/>
      <c r="G265" s="32"/>
      <c r="H265" s="33" t="str">
        <f>IF(G265="","",IF(F265="žena",ROMAN(MATCH(G265+1,'[1]Normy VP'!$Y$27:$Y$33,-1)),ROMAN(MATCH(G265+1,'[1]Normy VP'!$Y$19:$Y$25,-1))))</f>
        <v/>
      </c>
      <c r="I265" s="21"/>
      <c r="J265" s="22"/>
      <c r="K265" s="23"/>
      <c r="L265" s="23"/>
      <c r="M265" s="23"/>
      <c r="N265" s="22"/>
      <c r="O265" s="22"/>
      <c r="P265" s="24" t="str">
        <f>IF(OR($J265="",$J265="odešel"),IF(K265="","",IF($F265="žena",CHOOSE(_xlfn.ARABIC($H265),MATCH(K265+1,'[1]Normy VP'!$C$25:$F$25,-1),MATCH(K265+1,'[1]Normy VP'!$C$26:$F$26,-1),MATCH(K265+1,'[1]Normy VP'!$C$27:$F$27,-1),MATCH(K265+1,'[1]Normy VP'!$C$28:$F$28,-1),MATCH(K265+1,'[1]Normy VP'!$C$29:$F$29,-1),"muž"),CHOOSE(_xlfn.ARABIC($H265),MATCH(K265+1,'[1]Normy VP'!$C$10:$F$10,-1),MATCH(K265+1,'[1]Normy VP'!$C$11:$F$11,-1),MATCH(K265+1,'[1]Normy VP'!$C$12:$F$12,-1),MATCH(K265+1,'[1]Normy VP'!$C$13:$F$13,-1),MATCH(K265+1,'[1]Normy VP'!$C$14:$F$14,-1),""))),"O")</f>
        <v/>
      </c>
      <c r="Q265" s="24" t="str">
        <f>IF(OR($J265="",$J265="odešel"),IF($F265="žena","",IF(L265="","",(CHOOSE(_xlfn.ARABIC($H265),MATCH(L265+1,'[1]Normy VP'!$G$10:$J$10,-1),MATCH(L265+1,'[1]Normy VP'!$G$11:$J$11,-1),MATCH(L265+1,'[1]Normy VP'!$G$12:$J$12,-1),MATCH(L265+1,'[1]Normy VP'!$G$13:$J$13,-1),MATCH(L265+1,'[1]Normy VP'!$G$14:$J$14,-1),"")))),"O")</f>
        <v/>
      </c>
      <c r="R265" s="34" t="str">
        <f t="shared" si="17"/>
        <v>N</v>
      </c>
      <c r="S265" s="24" t="str">
        <f>IF(OR($J265="",$J265="odešel"),IF(M265="","N",IF($F265="žena",CHOOSE(_xlfn.ARABIC($H265),MATCH(M265+1,'[1]Normy VP'!$G$25:$J$25,-1),MATCH(M265+1,'[1]Normy VP'!$G$26:$J$26,-1),MATCH(M265+1,'[1]Normy VP'!$G$27:$J$27,-1),MATCH(M265+1,'[1]Normy VP'!$G$28:$J$28,-1),MATCH(M265+1,'[1]Normy VP'!$G$29:$J$29,-1),"muž"),(CHOOSE(_xlfn.ARABIC($H265),MATCH(M265+1,'[1]Normy VP'!$K$10:$N$10,-1),MATCH(M265+1,'[1]Normy VP'!$K$11:$N$11,-1),MATCH(M265+1,'[1]Normy VP'!$K$12:$N$12,-1),MATCH(M265+1,'[1]Normy VP'!$K$13:$N$13,-1),MATCH(M265+1,'[1]Normy VP'!$K$14:$N$14,-1),"")))),"O")</f>
        <v>N</v>
      </c>
      <c r="T265" s="34" t="str">
        <f t="shared" si="18"/>
        <v>N</v>
      </c>
      <c r="U265" s="24" t="str">
        <f>IF(OR($J265="",$J265="odešel"),IF(N265="","N",IF($F265="žena",CHOOSE(_xlfn.ARABIC($H265),MATCH(N265+1,'[1]Normy VP'!$K$25:$N$25,-1),MATCH(N265+1,'[1]Normy VP'!$K$26:$N$26,-1),MATCH(N265+1,'[1]Normy VP'!$K$27:$N$27,-1),MATCH(N265+1,'[1]Normy VP'!$K$28:$N$28,-1),MATCH(N265+1,'[1]Normy VP'!$K$29:$N$29,-1),MATCH(N265+1,'[1]Normy VP'!$K$30:$N$30,-1)),CHOOSE(_xlfn.ARABIC($H265),MATCH(N265+1,'[1]Normy VP'!$O$10:$R$10,-1),MATCH(N265+1,'[1]Normy VP'!$O$11:$R$11,-1),MATCH(N265+1,'[1]Normy VP'!$O$12:$R$12,-1),MATCH(N265+1,'[1]Normy VP'!$O$13:$R$13,-1),MATCH(N265+1,'[1]Normy VP'!$O$14:$R$14,-1),MATCH(N265+1,'[1]Normy VP'!$O$15:$R$15,-1)))),"O")</f>
        <v>N</v>
      </c>
      <c r="V265" s="26" t="str">
        <f>IF(OR($J265="",$J265="odešel"),IF(O265="","N",IF($F265="žena",CHOOSE(_xlfn.ARABIC($H265),MATCH(O265-1,'[1]Normy VP'!$O$25:$R$25),MATCH(O265-1,'[1]Normy VP'!$O$26:$R$26),MATCH(O265-1,'[1]Normy VP'!$O$27:$R$27),MATCH(O265-1,'[1]Normy VP'!$O$28:$R$28),MATCH(O265-1,'[1]Normy VP'!$O$29:$R$29),MATCH(O265-1,'[1]Normy VP'!$O$30:$R$30)),CHOOSE(_xlfn.ARABIC($H265),MATCH(O265-1,'[1]Normy VP'!$S$10:$V$10),MATCH(O265-1,'[1]Normy VP'!$S$11:$V$11),MATCH(O265-1,'[1]Normy VP'!$S$12:$V$12),MATCH(O265-1,'[1]Normy VP'!$S$13:$V$13),MATCH(O265-1,'[1]Normy VP'!$S$14:$V$14),MATCH(O265-1,'[1]Normy VP'!$S$15:$V$15)))),"O")</f>
        <v>N</v>
      </c>
      <c r="W265" s="34" t="str">
        <f t="shared" si="19"/>
        <v>N</v>
      </c>
      <c r="X265" s="27" t="str">
        <f>IF(COUNTIF(B265:G265,"")&gt;0,"",IF(COUNTIF([1]PP!$A:$A,A265)=0,"neni v PP",IF(OR(Y265="odešel",VLOOKUP(A265,[1]PP!$A:$W,22,FALSE)="odešel"),"odešel",IF(OR(Y265="N",VLOOKUP(A265,[1]PP!$A:$W,22,FALSE)="N"),"N",IF(OR(Y265="C",VLOOKUP(A265,[1]PP!$A:$W,22,FALSE)="C"),"C",IF(OR(Y265="DZO",VLOOKUP(A265,[1]PP!$A:$W,22,FALSE)="DZO"),"DZO",IF(OR(Y265="mise",Y265="disp.",Y265="končí",Y265="DSC",VLOOKUP(A265,[1]PP!$A:$W,22,FALSE)="mise",VLOOKUP(A265,[1]PP!$A:$W,22,FALSE)="disp.",VLOOKUP(A265,[1]PP!$A:$W,22,FALSE)="končí",VLOOKUP(A265,[1]PP!$A:$W,22,FALSE)="DSC"),"jiné",IF(OR(Y265=4,VLOOKUP(A265,[1]PP!$A:$W,22,FALSE)=4),4,IF(OR(Y265=3,VLOOKUP(A265,[1]PP!$A:$W,22,FALSE)=3),3,IF(OR(Y265=2,VLOOKUP(A265,[1]PP!$A:$W,22,FALSE)=2),2,IF(AND(Y265=1,VLOOKUP(A265,[1]PP!$A:$W,22,FALSE)=1),1)))))))))))</f>
        <v/>
      </c>
      <c r="Y265" s="28" t="str">
        <f>IF(COUNTIF(B265:G265,"")&gt;0,"",IF(COUNTIF([1]PP!$A:$A,A265)=0,"neni v PP",IF(VLOOKUP(A265,[1]PP!$A:$W,8,FALSE)="odešel","odešel",IF(F265="","",IF(J265="",IF(OR(T265=4,W265=4),4,IF(AND(T265="N",W265="N"),"N",IF(OR(T265="N",W265="N"),4,ROUND(AVERAGE(T265,W265),0)))),J265)))))</f>
        <v/>
      </c>
      <c r="Z265" s="29" t="str">
        <f>IF(COUNTIF(B265:G265,"")=0,IF(X265="neni v PP",CONCATENATE("ID: &lt;",A265,"&gt; se neshoduje s žádným IDem v kartě PP"),IF(COUNTIF($A:$A,A265)&gt;1,CONCATENATE("ID: &lt;",A265,"&gt; se v kartě VP opakuje. Je nutné tyto IDy od sebe odlišit, např. mezerou za příjmením."),IF(COUNTIF([1]PP!A:A,A265)&gt;1,CONCATENATE("ID: &lt;",A265,"&gt; se v kartě PP opakuje. Je nutné tyto IDy od sebe odlišit, např. mezerou za příjmením."),IF(VLOOKUP(A265,[1]PP!$A:$W,5,FALSE)&lt;&gt;E265,CONCATENATE($E$4," &lt;",E265,"&gt; se neshoduje s jednotkou v kartě PP"," &lt;",VLOOKUP(A265,[1]PP!$A:$W,5,FALSE),"&gt;"),IF(AND(COUNTIF(K265:O265,"")&lt;5,J265="",I265=""),CONCATENATE("Doplň: ",$I$4),IF(AND(YEAR(I265)&lt;&gt;$E$2,COUNTIF(I265,"")=0),CONCATENATE("špatně uveden &lt;",$D$2,"&gt; nebo &lt;",$I$4,"&gt;"),IF(OR(AND(OR(COUNTIF(C265,"*a"),COUNTIF(C265,"*ie"),COUNTIF(C265,"*ine"),COUNTIF(D265,"*Á")),F265="muž"),AND(AND(COUNTIF(C265,"&lt;&gt;"&amp;"*a"),COUNTIF(C265,"&lt;&gt;"&amp;"*ie"),COUNTIF(C265,"&lt;&gt;"&amp;"*ine"),COUNTIF(D265,"&lt;&gt;"&amp;"*Á")),F265="žena")),CONCATENATE(C265," ",D265," je ",F265,"?"),""))))))),IF(COUNTIF(B265:O265,"")=14,"",CONCATENATE("Doplň: ",IF(B265="",CONCATENATE($B$4,IF(COUNTIF(C265:G265,"")=0,"",", ")),""),IF(C265="",CONCATENATE($C$4,IF(COUNTIF(D265:G265,"")=0,"",", ")),""),IF(D265="",CONCATENATE($D$4,IF(COUNTIF(E265:G265,"")=0,"",", ")),""),IF(E265="",CONCATENATE($E$4,IF(COUNTIF(F265:G265,"")=0,"",", ")),""),IF(F265="",CONCATENATE($F$4,IF(G265="",", ","")),""),IF(G265="",$G$4,""))))</f>
        <v/>
      </c>
      <c r="AA265" s="30"/>
    </row>
    <row r="266" spans="1:27" ht="16" x14ac:dyDescent="0.35">
      <c r="A266" s="14" t="str">
        <f t="shared" si="16"/>
        <v xml:space="preserve">  </v>
      </c>
      <c r="B266" s="15"/>
      <c r="C266" s="31"/>
      <c r="D266" s="31"/>
      <c r="E266" s="17"/>
      <c r="F266" s="18"/>
      <c r="G266" s="32"/>
      <c r="H266" s="33" t="str">
        <f>IF(G266="","",IF(F266="žena",ROMAN(MATCH(G266+1,'[1]Normy VP'!$Y$27:$Y$33,-1)),ROMAN(MATCH(G266+1,'[1]Normy VP'!$Y$19:$Y$25,-1))))</f>
        <v/>
      </c>
      <c r="I266" s="21"/>
      <c r="J266" s="22"/>
      <c r="K266" s="23"/>
      <c r="L266" s="23"/>
      <c r="M266" s="23"/>
      <c r="N266" s="22"/>
      <c r="O266" s="22"/>
      <c r="P266" s="24" t="str">
        <f>IF(OR($J266="",$J266="odešel"),IF(K266="","",IF($F266="žena",CHOOSE(_xlfn.ARABIC($H266),MATCH(K266+1,'[1]Normy VP'!$C$25:$F$25,-1),MATCH(K266+1,'[1]Normy VP'!$C$26:$F$26,-1),MATCH(K266+1,'[1]Normy VP'!$C$27:$F$27,-1),MATCH(K266+1,'[1]Normy VP'!$C$28:$F$28,-1),MATCH(K266+1,'[1]Normy VP'!$C$29:$F$29,-1),"muž"),CHOOSE(_xlfn.ARABIC($H266),MATCH(K266+1,'[1]Normy VP'!$C$10:$F$10,-1),MATCH(K266+1,'[1]Normy VP'!$C$11:$F$11,-1),MATCH(K266+1,'[1]Normy VP'!$C$12:$F$12,-1),MATCH(K266+1,'[1]Normy VP'!$C$13:$F$13,-1),MATCH(K266+1,'[1]Normy VP'!$C$14:$F$14,-1),""))),"O")</f>
        <v/>
      </c>
      <c r="Q266" s="24" t="str">
        <f>IF(OR($J266="",$J266="odešel"),IF($F266="žena","",IF(L266="","",(CHOOSE(_xlfn.ARABIC($H266),MATCH(L266+1,'[1]Normy VP'!$G$10:$J$10,-1),MATCH(L266+1,'[1]Normy VP'!$G$11:$J$11,-1),MATCH(L266+1,'[1]Normy VP'!$G$12:$J$12,-1),MATCH(L266+1,'[1]Normy VP'!$G$13:$J$13,-1),MATCH(L266+1,'[1]Normy VP'!$G$14:$J$14,-1),"")))),"O")</f>
        <v/>
      </c>
      <c r="R266" s="34" t="str">
        <f t="shared" si="17"/>
        <v>N</v>
      </c>
      <c r="S266" s="24" t="str">
        <f>IF(OR($J266="",$J266="odešel"),IF(M266="","N",IF($F266="žena",CHOOSE(_xlfn.ARABIC($H266),MATCH(M266+1,'[1]Normy VP'!$G$25:$J$25,-1),MATCH(M266+1,'[1]Normy VP'!$G$26:$J$26,-1),MATCH(M266+1,'[1]Normy VP'!$G$27:$J$27,-1),MATCH(M266+1,'[1]Normy VP'!$G$28:$J$28,-1),MATCH(M266+1,'[1]Normy VP'!$G$29:$J$29,-1),"muž"),(CHOOSE(_xlfn.ARABIC($H266),MATCH(M266+1,'[1]Normy VP'!$K$10:$N$10,-1),MATCH(M266+1,'[1]Normy VP'!$K$11:$N$11,-1),MATCH(M266+1,'[1]Normy VP'!$K$12:$N$12,-1),MATCH(M266+1,'[1]Normy VP'!$K$13:$N$13,-1),MATCH(M266+1,'[1]Normy VP'!$K$14:$N$14,-1),"")))),"O")</f>
        <v>N</v>
      </c>
      <c r="T266" s="34" t="str">
        <f t="shared" si="18"/>
        <v>N</v>
      </c>
      <c r="U266" s="24" t="str">
        <f>IF(OR($J266="",$J266="odešel"),IF(N266="","N",IF($F266="žena",CHOOSE(_xlfn.ARABIC($H266),MATCH(N266+1,'[1]Normy VP'!$K$25:$N$25,-1),MATCH(N266+1,'[1]Normy VP'!$K$26:$N$26,-1),MATCH(N266+1,'[1]Normy VP'!$K$27:$N$27,-1),MATCH(N266+1,'[1]Normy VP'!$K$28:$N$28,-1),MATCH(N266+1,'[1]Normy VP'!$K$29:$N$29,-1),MATCH(N266+1,'[1]Normy VP'!$K$30:$N$30,-1)),CHOOSE(_xlfn.ARABIC($H266),MATCH(N266+1,'[1]Normy VP'!$O$10:$R$10,-1),MATCH(N266+1,'[1]Normy VP'!$O$11:$R$11,-1),MATCH(N266+1,'[1]Normy VP'!$O$12:$R$12,-1),MATCH(N266+1,'[1]Normy VP'!$O$13:$R$13,-1),MATCH(N266+1,'[1]Normy VP'!$O$14:$R$14,-1),MATCH(N266+1,'[1]Normy VP'!$O$15:$R$15,-1)))),"O")</f>
        <v>N</v>
      </c>
      <c r="V266" s="26" t="str">
        <f>IF(OR($J266="",$J266="odešel"),IF(O266="","N",IF($F266="žena",CHOOSE(_xlfn.ARABIC($H266),MATCH(O266-1,'[1]Normy VP'!$O$25:$R$25),MATCH(O266-1,'[1]Normy VP'!$O$26:$R$26),MATCH(O266-1,'[1]Normy VP'!$O$27:$R$27),MATCH(O266-1,'[1]Normy VP'!$O$28:$R$28),MATCH(O266-1,'[1]Normy VP'!$O$29:$R$29),MATCH(O266-1,'[1]Normy VP'!$O$30:$R$30)),CHOOSE(_xlfn.ARABIC($H266),MATCH(O266-1,'[1]Normy VP'!$S$10:$V$10),MATCH(O266-1,'[1]Normy VP'!$S$11:$V$11),MATCH(O266-1,'[1]Normy VP'!$S$12:$V$12),MATCH(O266-1,'[1]Normy VP'!$S$13:$V$13),MATCH(O266-1,'[1]Normy VP'!$S$14:$V$14),MATCH(O266-1,'[1]Normy VP'!$S$15:$V$15)))),"O")</f>
        <v>N</v>
      </c>
      <c r="W266" s="34" t="str">
        <f t="shared" si="19"/>
        <v>N</v>
      </c>
      <c r="X266" s="27" t="str">
        <f>IF(COUNTIF(B266:G266,"")&gt;0,"",IF(COUNTIF([1]PP!$A:$A,A266)=0,"neni v PP",IF(OR(Y266="odešel",VLOOKUP(A266,[1]PP!$A:$W,22,FALSE)="odešel"),"odešel",IF(OR(Y266="N",VLOOKUP(A266,[1]PP!$A:$W,22,FALSE)="N"),"N",IF(OR(Y266="C",VLOOKUP(A266,[1]PP!$A:$W,22,FALSE)="C"),"C",IF(OR(Y266="DZO",VLOOKUP(A266,[1]PP!$A:$W,22,FALSE)="DZO"),"DZO",IF(OR(Y266="mise",Y266="disp.",Y266="končí",Y266="DSC",VLOOKUP(A266,[1]PP!$A:$W,22,FALSE)="mise",VLOOKUP(A266,[1]PP!$A:$W,22,FALSE)="disp.",VLOOKUP(A266,[1]PP!$A:$W,22,FALSE)="končí",VLOOKUP(A266,[1]PP!$A:$W,22,FALSE)="DSC"),"jiné",IF(OR(Y266=4,VLOOKUP(A266,[1]PP!$A:$W,22,FALSE)=4),4,IF(OR(Y266=3,VLOOKUP(A266,[1]PP!$A:$W,22,FALSE)=3),3,IF(OR(Y266=2,VLOOKUP(A266,[1]PP!$A:$W,22,FALSE)=2),2,IF(AND(Y266=1,VLOOKUP(A266,[1]PP!$A:$W,22,FALSE)=1),1)))))))))))</f>
        <v/>
      </c>
      <c r="Y266" s="28" t="str">
        <f>IF(COUNTIF(B266:G266,"")&gt;0,"",IF(COUNTIF([1]PP!$A:$A,A266)=0,"neni v PP",IF(VLOOKUP(A266,[1]PP!$A:$W,8,FALSE)="odešel","odešel",IF(F266="","",IF(J266="",IF(OR(T266=4,W266=4),4,IF(AND(T266="N",W266="N"),"N",IF(OR(T266="N",W266="N"),4,ROUND(AVERAGE(T266,W266),0)))),J266)))))</f>
        <v/>
      </c>
      <c r="Z266" s="29" t="str">
        <f>IF(COUNTIF(B266:G266,"")=0,IF(X266="neni v PP",CONCATENATE("ID: &lt;",A266,"&gt; se neshoduje s žádným IDem v kartě PP"),IF(COUNTIF($A:$A,A266)&gt;1,CONCATENATE("ID: &lt;",A266,"&gt; se v kartě VP opakuje. Je nutné tyto IDy od sebe odlišit, např. mezerou za příjmením."),IF(COUNTIF([1]PP!A:A,A266)&gt;1,CONCATENATE("ID: &lt;",A266,"&gt; se v kartě PP opakuje. Je nutné tyto IDy od sebe odlišit, např. mezerou za příjmením."),IF(VLOOKUP(A266,[1]PP!$A:$W,5,FALSE)&lt;&gt;E266,CONCATENATE($E$4," &lt;",E266,"&gt; se neshoduje s jednotkou v kartě PP"," &lt;",VLOOKUP(A266,[1]PP!$A:$W,5,FALSE),"&gt;"),IF(AND(COUNTIF(K266:O266,"")&lt;5,J266="",I266=""),CONCATENATE("Doplň: ",$I$4),IF(AND(YEAR(I266)&lt;&gt;$E$2,COUNTIF(I266,"")=0),CONCATENATE("špatně uveden &lt;",$D$2,"&gt; nebo &lt;",$I$4,"&gt;"),IF(OR(AND(OR(COUNTIF(C266,"*a"),COUNTIF(C266,"*ie"),COUNTIF(C266,"*ine"),COUNTIF(D266,"*Á")),F266="muž"),AND(AND(COUNTIF(C266,"&lt;&gt;"&amp;"*a"),COUNTIF(C266,"&lt;&gt;"&amp;"*ie"),COUNTIF(C266,"&lt;&gt;"&amp;"*ine"),COUNTIF(D266,"&lt;&gt;"&amp;"*Á")),F266="žena")),CONCATENATE(C266," ",D266," je ",F266,"?"),""))))))),IF(COUNTIF(B266:O266,"")=14,"",CONCATENATE("Doplň: ",IF(B266="",CONCATENATE($B$4,IF(COUNTIF(C266:G266,"")=0,"",", ")),""),IF(C266="",CONCATENATE($C$4,IF(COUNTIF(D266:G266,"")=0,"",", ")),""),IF(D266="",CONCATENATE($D$4,IF(COUNTIF(E266:G266,"")=0,"",", ")),""),IF(E266="",CONCATENATE($E$4,IF(COUNTIF(F266:G266,"")=0,"",", ")),""),IF(F266="",CONCATENATE($F$4,IF(G266="",", ","")),""),IF(G266="",$G$4,""))))</f>
        <v/>
      </c>
      <c r="AA266" s="30"/>
    </row>
    <row r="267" spans="1:27" ht="16" x14ac:dyDescent="0.35">
      <c r="A267" s="14" t="str">
        <f t="shared" si="16"/>
        <v xml:space="preserve">  </v>
      </c>
      <c r="B267" s="15"/>
      <c r="C267" s="31"/>
      <c r="D267" s="31"/>
      <c r="E267" s="17"/>
      <c r="F267" s="18"/>
      <c r="G267" s="32"/>
      <c r="H267" s="33" t="str">
        <f>IF(G267="","",IF(F267="žena",ROMAN(MATCH(G267+1,'[1]Normy VP'!$Y$27:$Y$33,-1)),ROMAN(MATCH(G267+1,'[1]Normy VP'!$Y$19:$Y$25,-1))))</f>
        <v/>
      </c>
      <c r="I267" s="21"/>
      <c r="J267" s="22"/>
      <c r="K267" s="23"/>
      <c r="L267" s="23"/>
      <c r="M267" s="23"/>
      <c r="N267" s="22"/>
      <c r="O267" s="22"/>
      <c r="P267" s="24" t="str">
        <f>IF(OR($J267="",$J267="odešel"),IF(K267="","",IF($F267="žena",CHOOSE(_xlfn.ARABIC($H267),MATCH(K267+1,'[1]Normy VP'!$C$25:$F$25,-1),MATCH(K267+1,'[1]Normy VP'!$C$26:$F$26,-1),MATCH(K267+1,'[1]Normy VP'!$C$27:$F$27,-1),MATCH(K267+1,'[1]Normy VP'!$C$28:$F$28,-1),MATCH(K267+1,'[1]Normy VP'!$C$29:$F$29,-1),"muž"),CHOOSE(_xlfn.ARABIC($H267),MATCH(K267+1,'[1]Normy VP'!$C$10:$F$10,-1),MATCH(K267+1,'[1]Normy VP'!$C$11:$F$11,-1),MATCH(K267+1,'[1]Normy VP'!$C$12:$F$12,-1),MATCH(K267+1,'[1]Normy VP'!$C$13:$F$13,-1),MATCH(K267+1,'[1]Normy VP'!$C$14:$F$14,-1),""))),"O")</f>
        <v/>
      </c>
      <c r="Q267" s="24" t="str">
        <f>IF(OR($J267="",$J267="odešel"),IF($F267="žena","",IF(L267="","",(CHOOSE(_xlfn.ARABIC($H267),MATCH(L267+1,'[1]Normy VP'!$G$10:$J$10,-1),MATCH(L267+1,'[1]Normy VP'!$G$11:$J$11,-1),MATCH(L267+1,'[1]Normy VP'!$G$12:$J$12,-1),MATCH(L267+1,'[1]Normy VP'!$G$13:$J$13,-1),MATCH(L267+1,'[1]Normy VP'!$G$14:$J$14,-1),"")))),"O")</f>
        <v/>
      </c>
      <c r="R267" s="34" t="str">
        <f t="shared" si="17"/>
        <v>N</v>
      </c>
      <c r="S267" s="24" t="str">
        <f>IF(OR($J267="",$J267="odešel"),IF(M267="","N",IF($F267="žena",CHOOSE(_xlfn.ARABIC($H267),MATCH(M267+1,'[1]Normy VP'!$G$25:$J$25,-1),MATCH(M267+1,'[1]Normy VP'!$G$26:$J$26,-1),MATCH(M267+1,'[1]Normy VP'!$G$27:$J$27,-1),MATCH(M267+1,'[1]Normy VP'!$G$28:$J$28,-1),MATCH(M267+1,'[1]Normy VP'!$G$29:$J$29,-1),"muž"),(CHOOSE(_xlfn.ARABIC($H267),MATCH(M267+1,'[1]Normy VP'!$K$10:$N$10,-1),MATCH(M267+1,'[1]Normy VP'!$K$11:$N$11,-1),MATCH(M267+1,'[1]Normy VP'!$K$12:$N$12,-1),MATCH(M267+1,'[1]Normy VP'!$K$13:$N$13,-1),MATCH(M267+1,'[1]Normy VP'!$K$14:$N$14,-1),"")))),"O")</f>
        <v>N</v>
      </c>
      <c r="T267" s="34" t="str">
        <f t="shared" si="18"/>
        <v>N</v>
      </c>
      <c r="U267" s="24" t="str">
        <f>IF(OR($J267="",$J267="odešel"),IF(N267="","N",IF($F267="žena",CHOOSE(_xlfn.ARABIC($H267),MATCH(N267+1,'[1]Normy VP'!$K$25:$N$25,-1),MATCH(N267+1,'[1]Normy VP'!$K$26:$N$26,-1),MATCH(N267+1,'[1]Normy VP'!$K$27:$N$27,-1),MATCH(N267+1,'[1]Normy VP'!$K$28:$N$28,-1),MATCH(N267+1,'[1]Normy VP'!$K$29:$N$29,-1),MATCH(N267+1,'[1]Normy VP'!$K$30:$N$30,-1)),CHOOSE(_xlfn.ARABIC($H267),MATCH(N267+1,'[1]Normy VP'!$O$10:$R$10,-1),MATCH(N267+1,'[1]Normy VP'!$O$11:$R$11,-1),MATCH(N267+1,'[1]Normy VP'!$O$12:$R$12,-1),MATCH(N267+1,'[1]Normy VP'!$O$13:$R$13,-1),MATCH(N267+1,'[1]Normy VP'!$O$14:$R$14,-1),MATCH(N267+1,'[1]Normy VP'!$O$15:$R$15,-1)))),"O")</f>
        <v>N</v>
      </c>
      <c r="V267" s="26" t="str">
        <f>IF(OR($J267="",$J267="odešel"),IF(O267="","N",IF($F267="žena",CHOOSE(_xlfn.ARABIC($H267),MATCH(O267-1,'[1]Normy VP'!$O$25:$R$25),MATCH(O267-1,'[1]Normy VP'!$O$26:$R$26),MATCH(O267-1,'[1]Normy VP'!$O$27:$R$27),MATCH(O267-1,'[1]Normy VP'!$O$28:$R$28),MATCH(O267-1,'[1]Normy VP'!$O$29:$R$29),MATCH(O267-1,'[1]Normy VP'!$O$30:$R$30)),CHOOSE(_xlfn.ARABIC($H267),MATCH(O267-1,'[1]Normy VP'!$S$10:$V$10),MATCH(O267-1,'[1]Normy VP'!$S$11:$V$11),MATCH(O267-1,'[1]Normy VP'!$S$12:$V$12),MATCH(O267-1,'[1]Normy VP'!$S$13:$V$13),MATCH(O267-1,'[1]Normy VP'!$S$14:$V$14),MATCH(O267-1,'[1]Normy VP'!$S$15:$V$15)))),"O")</f>
        <v>N</v>
      </c>
      <c r="W267" s="34" t="str">
        <f t="shared" si="19"/>
        <v>N</v>
      </c>
      <c r="X267" s="27" t="str">
        <f>IF(COUNTIF(B267:G267,"")&gt;0,"",IF(COUNTIF([1]PP!$A:$A,A267)=0,"neni v PP",IF(OR(Y267="odešel",VLOOKUP(A267,[1]PP!$A:$W,22,FALSE)="odešel"),"odešel",IF(OR(Y267="N",VLOOKUP(A267,[1]PP!$A:$W,22,FALSE)="N"),"N",IF(OR(Y267="C",VLOOKUP(A267,[1]PP!$A:$W,22,FALSE)="C"),"C",IF(OR(Y267="DZO",VLOOKUP(A267,[1]PP!$A:$W,22,FALSE)="DZO"),"DZO",IF(OR(Y267="mise",Y267="disp.",Y267="končí",Y267="DSC",VLOOKUP(A267,[1]PP!$A:$W,22,FALSE)="mise",VLOOKUP(A267,[1]PP!$A:$W,22,FALSE)="disp.",VLOOKUP(A267,[1]PP!$A:$W,22,FALSE)="končí",VLOOKUP(A267,[1]PP!$A:$W,22,FALSE)="DSC"),"jiné",IF(OR(Y267=4,VLOOKUP(A267,[1]PP!$A:$W,22,FALSE)=4),4,IF(OR(Y267=3,VLOOKUP(A267,[1]PP!$A:$W,22,FALSE)=3),3,IF(OR(Y267=2,VLOOKUP(A267,[1]PP!$A:$W,22,FALSE)=2),2,IF(AND(Y267=1,VLOOKUP(A267,[1]PP!$A:$W,22,FALSE)=1),1)))))))))))</f>
        <v/>
      </c>
      <c r="Y267" s="28" t="str">
        <f>IF(COUNTIF(B267:G267,"")&gt;0,"",IF(COUNTIF([1]PP!$A:$A,A267)=0,"neni v PP",IF(VLOOKUP(A267,[1]PP!$A:$W,8,FALSE)="odešel","odešel",IF(F267="","",IF(J267="",IF(OR(T267=4,W267=4),4,IF(AND(T267="N",W267="N"),"N",IF(OR(T267="N",W267="N"),4,ROUND(AVERAGE(T267,W267),0)))),J267)))))</f>
        <v/>
      </c>
      <c r="Z267" s="29" t="str">
        <f>IF(COUNTIF(B267:G267,"")=0,IF(X267="neni v PP",CONCATENATE("ID: &lt;",A267,"&gt; se neshoduje s žádným IDem v kartě PP"),IF(COUNTIF($A:$A,A267)&gt;1,CONCATENATE("ID: &lt;",A267,"&gt; se v kartě VP opakuje. Je nutné tyto IDy od sebe odlišit, např. mezerou za příjmením."),IF(COUNTIF([1]PP!A:A,A267)&gt;1,CONCATENATE("ID: &lt;",A267,"&gt; se v kartě PP opakuje. Je nutné tyto IDy od sebe odlišit, např. mezerou za příjmením."),IF(VLOOKUP(A267,[1]PP!$A:$W,5,FALSE)&lt;&gt;E267,CONCATENATE($E$4," &lt;",E267,"&gt; se neshoduje s jednotkou v kartě PP"," &lt;",VLOOKUP(A267,[1]PP!$A:$W,5,FALSE),"&gt;"),IF(AND(COUNTIF(K267:O267,"")&lt;5,J267="",I267=""),CONCATENATE("Doplň: ",$I$4),IF(AND(YEAR(I267)&lt;&gt;$E$2,COUNTIF(I267,"")=0),CONCATENATE("špatně uveden &lt;",$D$2,"&gt; nebo &lt;",$I$4,"&gt;"),IF(OR(AND(OR(COUNTIF(C267,"*a"),COUNTIF(C267,"*ie"),COUNTIF(C267,"*ine"),COUNTIF(D267,"*Á")),F267="muž"),AND(AND(COUNTIF(C267,"&lt;&gt;"&amp;"*a"),COUNTIF(C267,"&lt;&gt;"&amp;"*ie"),COUNTIF(C267,"&lt;&gt;"&amp;"*ine"),COUNTIF(D267,"&lt;&gt;"&amp;"*Á")),F267="žena")),CONCATENATE(C267," ",D267," je ",F267,"?"),""))))))),IF(COUNTIF(B267:O267,"")=14,"",CONCATENATE("Doplň: ",IF(B267="",CONCATENATE($B$4,IF(COUNTIF(C267:G267,"")=0,"",", ")),""),IF(C267="",CONCATENATE($C$4,IF(COUNTIF(D267:G267,"")=0,"",", ")),""),IF(D267="",CONCATENATE($D$4,IF(COUNTIF(E267:G267,"")=0,"",", ")),""),IF(E267="",CONCATENATE($E$4,IF(COUNTIF(F267:G267,"")=0,"",", ")),""),IF(F267="",CONCATENATE($F$4,IF(G267="",", ","")),""),IF(G267="",$G$4,""))))</f>
        <v/>
      </c>
      <c r="AA267" s="30"/>
    </row>
    <row r="268" spans="1:27" ht="16" x14ac:dyDescent="0.35">
      <c r="A268" s="14" t="str">
        <f t="shared" si="16"/>
        <v xml:space="preserve">  </v>
      </c>
      <c r="B268" s="15"/>
      <c r="C268" s="31"/>
      <c r="D268" s="31"/>
      <c r="E268" s="17"/>
      <c r="F268" s="18"/>
      <c r="G268" s="32"/>
      <c r="H268" s="33" t="str">
        <f>IF(G268="","",IF(F268="žena",ROMAN(MATCH(G268+1,'[1]Normy VP'!$Y$27:$Y$33,-1)),ROMAN(MATCH(G268+1,'[1]Normy VP'!$Y$19:$Y$25,-1))))</f>
        <v/>
      </c>
      <c r="I268" s="21"/>
      <c r="J268" s="22"/>
      <c r="K268" s="23"/>
      <c r="L268" s="23"/>
      <c r="M268" s="23"/>
      <c r="N268" s="22"/>
      <c r="O268" s="22"/>
      <c r="P268" s="24" t="str">
        <f>IF(OR($J268="",$J268="odešel"),IF(K268="","",IF($F268="žena",CHOOSE(_xlfn.ARABIC($H268),MATCH(K268+1,'[1]Normy VP'!$C$25:$F$25,-1),MATCH(K268+1,'[1]Normy VP'!$C$26:$F$26,-1),MATCH(K268+1,'[1]Normy VP'!$C$27:$F$27,-1),MATCH(K268+1,'[1]Normy VP'!$C$28:$F$28,-1),MATCH(K268+1,'[1]Normy VP'!$C$29:$F$29,-1),"muž"),CHOOSE(_xlfn.ARABIC($H268),MATCH(K268+1,'[1]Normy VP'!$C$10:$F$10,-1),MATCH(K268+1,'[1]Normy VP'!$C$11:$F$11,-1),MATCH(K268+1,'[1]Normy VP'!$C$12:$F$12,-1),MATCH(K268+1,'[1]Normy VP'!$C$13:$F$13,-1),MATCH(K268+1,'[1]Normy VP'!$C$14:$F$14,-1),""))),"O")</f>
        <v/>
      </c>
      <c r="Q268" s="24" t="str">
        <f>IF(OR($J268="",$J268="odešel"),IF($F268="žena","",IF(L268="","",(CHOOSE(_xlfn.ARABIC($H268),MATCH(L268+1,'[1]Normy VP'!$G$10:$J$10,-1),MATCH(L268+1,'[1]Normy VP'!$G$11:$J$11,-1),MATCH(L268+1,'[1]Normy VP'!$G$12:$J$12,-1),MATCH(L268+1,'[1]Normy VP'!$G$13:$J$13,-1),MATCH(L268+1,'[1]Normy VP'!$G$14:$J$14,-1),"")))),"O")</f>
        <v/>
      </c>
      <c r="R268" s="34" t="str">
        <f t="shared" si="17"/>
        <v>N</v>
      </c>
      <c r="S268" s="24" t="str">
        <f>IF(OR($J268="",$J268="odešel"),IF(M268="","N",IF($F268="žena",CHOOSE(_xlfn.ARABIC($H268),MATCH(M268+1,'[1]Normy VP'!$G$25:$J$25,-1),MATCH(M268+1,'[1]Normy VP'!$G$26:$J$26,-1),MATCH(M268+1,'[1]Normy VP'!$G$27:$J$27,-1),MATCH(M268+1,'[1]Normy VP'!$G$28:$J$28,-1),MATCH(M268+1,'[1]Normy VP'!$G$29:$J$29,-1),"muž"),(CHOOSE(_xlfn.ARABIC($H268),MATCH(M268+1,'[1]Normy VP'!$K$10:$N$10,-1),MATCH(M268+1,'[1]Normy VP'!$K$11:$N$11,-1),MATCH(M268+1,'[1]Normy VP'!$K$12:$N$12,-1),MATCH(M268+1,'[1]Normy VP'!$K$13:$N$13,-1),MATCH(M268+1,'[1]Normy VP'!$K$14:$N$14,-1),"")))),"O")</f>
        <v>N</v>
      </c>
      <c r="T268" s="34" t="str">
        <f t="shared" si="18"/>
        <v>N</v>
      </c>
      <c r="U268" s="24" t="str">
        <f>IF(OR($J268="",$J268="odešel"),IF(N268="","N",IF($F268="žena",CHOOSE(_xlfn.ARABIC($H268),MATCH(N268+1,'[1]Normy VP'!$K$25:$N$25,-1),MATCH(N268+1,'[1]Normy VP'!$K$26:$N$26,-1),MATCH(N268+1,'[1]Normy VP'!$K$27:$N$27,-1),MATCH(N268+1,'[1]Normy VP'!$K$28:$N$28,-1),MATCH(N268+1,'[1]Normy VP'!$K$29:$N$29,-1),MATCH(N268+1,'[1]Normy VP'!$K$30:$N$30,-1)),CHOOSE(_xlfn.ARABIC($H268),MATCH(N268+1,'[1]Normy VP'!$O$10:$R$10,-1),MATCH(N268+1,'[1]Normy VP'!$O$11:$R$11,-1),MATCH(N268+1,'[1]Normy VP'!$O$12:$R$12,-1),MATCH(N268+1,'[1]Normy VP'!$O$13:$R$13,-1),MATCH(N268+1,'[1]Normy VP'!$O$14:$R$14,-1),MATCH(N268+1,'[1]Normy VP'!$O$15:$R$15,-1)))),"O")</f>
        <v>N</v>
      </c>
      <c r="V268" s="26" t="str">
        <f>IF(OR($J268="",$J268="odešel"),IF(O268="","N",IF($F268="žena",CHOOSE(_xlfn.ARABIC($H268),MATCH(O268-1,'[1]Normy VP'!$O$25:$R$25),MATCH(O268-1,'[1]Normy VP'!$O$26:$R$26),MATCH(O268-1,'[1]Normy VP'!$O$27:$R$27),MATCH(O268-1,'[1]Normy VP'!$O$28:$R$28),MATCH(O268-1,'[1]Normy VP'!$O$29:$R$29),MATCH(O268-1,'[1]Normy VP'!$O$30:$R$30)),CHOOSE(_xlfn.ARABIC($H268),MATCH(O268-1,'[1]Normy VP'!$S$10:$V$10),MATCH(O268-1,'[1]Normy VP'!$S$11:$V$11),MATCH(O268-1,'[1]Normy VP'!$S$12:$V$12),MATCH(O268-1,'[1]Normy VP'!$S$13:$V$13),MATCH(O268-1,'[1]Normy VP'!$S$14:$V$14),MATCH(O268-1,'[1]Normy VP'!$S$15:$V$15)))),"O")</f>
        <v>N</v>
      </c>
      <c r="W268" s="34" t="str">
        <f t="shared" si="19"/>
        <v>N</v>
      </c>
      <c r="X268" s="27" t="str">
        <f>IF(COUNTIF(B268:G268,"")&gt;0,"",IF(COUNTIF([1]PP!$A:$A,A268)=0,"neni v PP",IF(OR(Y268="odešel",VLOOKUP(A268,[1]PP!$A:$W,22,FALSE)="odešel"),"odešel",IF(OR(Y268="N",VLOOKUP(A268,[1]PP!$A:$W,22,FALSE)="N"),"N",IF(OR(Y268="C",VLOOKUP(A268,[1]PP!$A:$W,22,FALSE)="C"),"C",IF(OR(Y268="DZO",VLOOKUP(A268,[1]PP!$A:$W,22,FALSE)="DZO"),"DZO",IF(OR(Y268="mise",Y268="disp.",Y268="končí",Y268="DSC",VLOOKUP(A268,[1]PP!$A:$W,22,FALSE)="mise",VLOOKUP(A268,[1]PP!$A:$W,22,FALSE)="disp.",VLOOKUP(A268,[1]PP!$A:$W,22,FALSE)="končí",VLOOKUP(A268,[1]PP!$A:$W,22,FALSE)="DSC"),"jiné",IF(OR(Y268=4,VLOOKUP(A268,[1]PP!$A:$W,22,FALSE)=4),4,IF(OR(Y268=3,VLOOKUP(A268,[1]PP!$A:$W,22,FALSE)=3),3,IF(OR(Y268=2,VLOOKUP(A268,[1]PP!$A:$W,22,FALSE)=2),2,IF(AND(Y268=1,VLOOKUP(A268,[1]PP!$A:$W,22,FALSE)=1),1)))))))))))</f>
        <v/>
      </c>
      <c r="Y268" s="28" t="str">
        <f>IF(COUNTIF(B268:G268,"")&gt;0,"",IF(COUNTIF([1]PP!$A:$A,A268)=0,"neni v PP",IF(VLOOKUP(A268,[1]PP!$A:$W,8,FALSE)="odešel","odešel",IF(F268="","",IF(J268="",IF(OR(T268=4,W268=4),4,IF(AND(T268="N",W268="N"),"N",IF(OR(T268="N",W268="N"),4,ROUND(AVERAGE(T268,W268),0)))),J268)))))</f>
        <v/>
      </c>
      <c r="Z268" s="29" t="str">
        <f>IF(COUNTIF(B268:G268,"")=0,IF(X268="neni v PP",CONCATENATE("ID: &lt;",A268,"&gt; se neshoduje s žádným IDem v kartě PP"),IF(COUNTIF($A:$A,A268)&gt;1,CONCATENATE("ID: &lt;",A268,"&gt; se v kartě VP opakuje. Je nutné tyto IDy od sebe odlišit, např. mezerou za příjmením."),IF(COUNTIF([1]PP!A:A,A268)&gt;1,CONCATENATE("ID: &lt;",A268,"&gt; se v kartě PP opakuje. Je nutné tyto IDy od sebe odlišit, např. mezerou za příjmením."),IF(VLOOKUP(A268,[1]PP!$A:$W,5,FALSE)&lt;&gt;E268,CONCATENATE($E$4," &lt;",E268,"&gt; se neshoduje s jednotkou v kartě PP"," &lt;",VLOOKUP(A268,[1]PP!$A:$W,5,FALSE),"&gt;"),IF(AND(COUNTIF(K268:O268,"")&lt;5,J268="",I268=""),CONCATENATE("Doplň: ",$I$4),IF(AND(YEAR(I268)&lt;&gt;$E$2,COUNTIF(I268,"")=0),CONCATENATE("špatně uveden &lt;",$D$2,"&gt; nebo &lt;",$I$4,"&gt;"),IF(OR(AND(OR(COUNTIF(C268,"*a"),COUNTIF(C268,"*ie"),COUNTIF(C268,"*ine"),COUNTIF(D268,"*Á")),F268="muž"),AND(AND(COUNTIF(C268,"&lt;&gt;"&amp;"*a"),COUNTIF(C268,"&lt;&gt;"&amp;"*ie"),COUNTIF(C268,"&lt;&gt;"&amp;"*ine"),COUNTIF(D268,"&lt;&gt;"&amp;"*Á")),F268="žena")),CONCATENATE(C268," ",D268," je ",F268,"?"),""))))))),IF(COUNTIF(B268:O268,"")=14,"",CONCATENATE("Doplň: ",IF(B268="",CONCATENATE($B$4,IF(COUNTIF(C268:G268,"")=0,"",", ")),""),IF(C268="",CONCATENATE($C$4,IF(COUNTIF(D268:G268,"")=0,"",", ")),""),IF(D268="",CONCATENATE($D$4,IF(COUNTIF(E268:G268,"")=0,"",", ")),""),IF(E268="",CONCATENATE($E$4,IF(COUNTIF(F268:G268,"")=0,"",", ")),""),IF(F268="",CONCATENATE($F$4,IF(G268="",", ","")),""),IF(G268="",$G$4,""))))</f>
        <v/>
      </c>
      <c r="AA268" s="30"/>
    </row>
    <row r="269" spans="1:27" ht="16" x14ac:dyDescent="0.35">
      <c r="A269" s="14" t="str">
        <f t="shared" si="16"/>
        <v xml:space="preserve">  </v>
      </c>
      <c r="B269" s="15"/>
      <c r="C269" s="31"/>
      <c r="D269" s="31"/>
      <c r="E269" s="17"/>
      <c r="F269" s="18"/>
      <c r="G269" s="32"/>
      <c r="H269" s="33" t="str">
        <f>IF(G269="","",IF(F269="žena",ROMAN(MATCH(G269+1,'[1]Normy VP'!$Y$27:$Y$33,-1)),ROMAN(MATCH(G269+1,'[1]Normy VP'!$Y$19:$Y$25,-1))))</f>
        <v/>
      </c>
      <c r="I269" s="21"/>
      <c r="J269" s="22"/>
      <c r="K269" s="23"/>
      <c r="L269" s="23"/>
      <c r="M269" s="23"/>
      <c r="N269" s="22"/>
      <c r="O269" s="22"/>
      <c r="P269" s="24" t="str">
        <f>IF(OR($J269="",$J269="odešel"),IF(K269="","",IF($F269="žena",CHOOSE(_xlfn.ARABIC($H269),MATCH(K269+1,'[1]Normy VP'!$C$25:$F$25,-1),MATCH(K269+1,'[1]Normy VP'!$C$26:$F$26,-1),MATCH(K269+1,'[1]Normy VP'!$C$27:$F$27,-1),MATCH(K269+1,'[1]Normy VP'!$C$28:$F$28,-1),MATCH(K269+1,'[1]Normy VP'!$C$29:$F$29,-1),"muž"),CHOOSE(_xlfn.ARABIC($H269),MATCH(K269+1,'[1]Normy VP'!$C$10:$F$10,-1),MATCH(K269+1,'[1]Normy VP'!$C$11:$F$11,-1),MATCH(K269+1,'[1]Normy VP'!$C$12:$F$12,-1),MATCH(K269+1,'[1]Normy VP'!$C$13:$F$13,-1),MATCH(K269+1,'[1]Normy VP'!$C$14:$F$14,-1),""))),"O")</f>
        <v/>
      </c>
      <c r="Q269" s="24" t="str">
        <f>IF(OR($J269="",$J269="odešel"),IF($F269="žena","",IF(L269="","",(CHOOSE(_xlfn.ARABIC($H269),MATCH(L269+1,'[1]Normy VP'!$G$10:$J$10,-1),MATCH(L269+1,'[1]Normy VP'!$G$11:$J$11,-1),MATCH(L269+1,'[1]Normy VP'!$G$12:$J$12,-1),MATCH(L269+1,'[1]Normy VP'!$G$13:$J$13,-1),MATCH(L269+1,'[1]Normy VP'!$G$14:$J$14,-1),"")))),"O")</f>
        <v/>
      </c>
      <c r="R269" s="34" t="str">
        <f t="shared" si="17"/>
        <v>N</v>
      </c>
      <c r="S269" s="24" t="str">
        <f>IF(OR($J269="",$J269="odešel"),IF(M269="","N",IF($F269="žena",CHOOSE(_xlfn.ARABIC($H269),MATCH(M269+1,'[1]Normy VP'!$G$25:$J$25,-1),MATCH(M269+1,'[1]Normy VP'!$G$26:$J$26,-1),MATCH(M269+1,'[1]Normy VP'!$G$27:$J$27,-1),MATCH(M269+1,'[1]Normy VP'!$G$28:$J$28,-1),MATCH(M269+1,'[1]Normy VP'!$G$29:$J$29,-1),"muž"),(CHOOSE(_xlfn.ARABIC($H269),MATCH(M269+1,'[1]Normy VP'!$K$10:$N$10,-1),MATCH(M269+1,'[1]Normy VP'!$K$11:$N$11,-1),MATCH(M269+1,'[1]Normy VP'!$K$12:$N$12,-1),MATCH(M269+1,'[1]Normy VP'!$K$13:$N$13,-1),MATCH(M269+1,'[1]Normy VP'!$K$14:$N$14,-1),"")))),"O")</f>
        <v>N</v>
      </c>
      <c r="T269" s="34" t="str">
        <f t="shared" si="18"/>
        <v>N</v>
      </c>
      <c r="U269" s="24" t="str">
        <f>IF(OR($J269="",$J269="odešel"),IF(N269="","N",IF($F269="žena",CHOOSE(_xlfn.ARABIC($H269),MATCH(N269+1,'[1]Normy VP'!$K$25:$N$25,-1),MATCH(N269+1,'[1]Normy VP'!$K$26:$N$26,-1),MATCH(N269+1,'[1]Normy VP'!$K$27:$N$27,-1),MATCH(N269+1,'[1]Normy VP'!$K$28:$N$28,-1),MATCH(N269+1,'[1]Normy VP'!$K$29:$N$29,-1),MATCH(N269+1,'[1]Normy VP'!$K$30:$N$30,-1)),CHOOSE(_xlfn.ARABIC($H269),MATCH(N269+1,'[1]Normy VP'!$O$10:$R$10,-1),MATCH(N269+1,'[1]Normy VP'!$O$11:$R$11,-1),MATCH(N269+1,'[1]Normy VP'!$O$12:$R$12,-1),MATCH(N269+1,'[1]Normy VP'!$O$13:$R$13,-1),MATCH(N269+1,'[1]Normy VP'!$O$14:$R$14,-1),MATCH(N269+1,'[1]Normy VP'!$O$15:$R$15,-1)))),"O")</f>
        <v>N</v>
      </c>
      <c r="V269" s="26" t="str">
        <f>IF(OR($J269="",$J269="odešel"),IF(O269="","N",IF($F269="žena",CHOOSE(_xlfn.ARABIC($H269),MATCH(O269-1,'[1]Normy VP'!$O$25:$R$25),MATCH(O269-1,'[1]Normy VP'!$O$26:$R$26),MATCH(O269-1,'[1]Normy VP'!$O$27:$R$27),MATCH(O269-1,'[1]Normy VP'!$O$28:$R$28),MATCH(O269-1,'[1]Normy VP'!$O$29:$R$29),MATCH(O269-1,'[1]Normy VP'!$O$30:$R$30)),CHOOSE(_xlfn.ARABIC($H269),MATCH(O269-1,'[1]Normy VP'!$S$10:$V$10),MATCH(O269-1,'[1]Normy VP'!$S$11:$V$11),MATCH(O269-1,'[1]Normy VP'!$S$12:$V$12),MATCH(O269-1,'[1]Normy VP'!$S$13:$V$13),MATCH(O269-1,'[1]Normy VP'!$S$14:$V$14),MATCH(O269-1,'[1]Normy VP'!$S$15:$V$15)))),"O")</f>
        <v>N</v>
      </c>
      <c r="W269" s="34" t="str">
        <f t="shared" si="19"/>
        <v>N</v>
      </c>
      <c r="X269" s="27" t="str">
        <f>IF(COUNTIF(B269:G269,"")&gt;0,"",IF(COUNTIF([1]PP!$A:$A,A269)=0,"neni v PP",IF(OR(Y269="odešel",VLOOKUP(A269,[1]PP!$A:$W,22,FALSE)="odešel"),"odešel",IF(OR(Y269="N",VLOOKUP(A269,[1]PP!$A:$W,22,FALSE)="N"),"N",IF(OR(Y269="C",VLOOKUP(A269,[1]PP!$A:$W,22,FALSE)="C"),"C",IF(OR(Y269="DZO",VLOOKUP(A269,[1]PP!$A:$W,22,FALSE)="DZO"),"DZO",IF(OR(Y269="mise",Y269="disp.",Y269="končí",Y269="DSC",VLOOKUP(A269,[1]PP!$A:$W,22,FALSE)="mise",VLOOKUP(A269,[1]PP!$A:$W,22,FALSE)="disp.",VLOOKUP(A269,[1]PP!$A:$W,22,FALSE)="končí",VLOOKUP(A269,[1]PP!$A:$W,22,FALSE)="DSC"),"jiné",IF(OR(Y269=4,VLOOKUP(A269,[1]PP!$A:$W,22,FALSE)=4),4,IF(OR(Y269=3,VLOOKUP(A269,[1]PP!$A:$W,22,FALSE)=3),3,IF(OR(Y269=2,VLOOKUP(A269,[1]PP!$A:$W,22,FALSE)=2),2,IF(AND(Y269=1,VLOOKUP(A269,[1]PP!$A:$W,22,FALSE)=1),1)))))))))))</f>
        <v/>
      </c>
      <c r="Y269" s="28" t="str">
        <f>IF(COUNTIF(B269:G269,"")&gt;0,"",IF(COUNTIF([1]PP!$A:$A,A269)=0,"neni v PP",IF(VLOOKUP(A269,[1]PP!$A:$W,8,FALSE)="odešel","odešel",IF(F269="","",IF(J269="",IF(OR(T269=4,W269=4),4,IF(AND(T269="N",W269="N"),"N",IF(OR(T269="N",W269="N"),4,ROUND(AVERAGE(T269,W269),0)))),J269)))))</f>
        <v/>
      </c>
      <c r="Z269" s="29" t="str">
        <f>IF(COUNTIF(B269:G269,"")=0,IF(X269="neni v PP",CONCATENATE("ID: &lt;",A269,"&gt; se neshoduje s žádným IDem v kartě PP"),IF(COUNTIF($A:$A,A269)&gt;1,CONCATENATE("ID: &lt;",A269,"&gt; se v kartě VP opakuje. Je nutné tyto IDy od sebe odlišit, např. mezerou za příjmením."),IF(COUNTIF([1]PP!A:A,A269)&gt;1,CONCATENATE("ID: &lt;",A269,"&gt; se v kartě PP opakuje. Je nutné tyto IDy od sebe odlišit, např. mezerou za příjmením."),IF(VLOOKUP(A269,[1]PP!$A:$W,5,FALSE)&lt;&gt;E269,CONCATENATE($E$4," &lt;",E269,"&gt; se neshoduje s jednotkou v kartě PP"," &lt;",VLOOKUP(A269,[1]PP!$A:$W,5,FALSE),"&gt;"),IF(AND(COUNTIF(K269:O269,"")&lt;5,J269="",I269=""),CONCATENATE("Doplň: ",$I$4),IF(AND(YEAR(I269)&lt;&gt;$E$2,COUNTIF(I269,"")=0),CONCATENATE("špatně uveden &lt;",$D$2,"&gt; nebo &lt;",$I$4,"&gt;"),IF(OR(AND(OR(COUNTIF(C269,"*a"),COUNTIF(C269,"*ie"),COUNTIF(C269,"*ine"),COUNTIF(D269,"*Á")),F269="muž"),AND(AND(COUNTIF(C269,"&lt;&gt;"&amp;"*a"),COUNTIF(C269,"&lt;&gt;"&amp;"*ie"),COUNTIF(C269,"&lt;&gt;"&amp;"*ine"),COUNTIF(D269,"&lt;&gt;"&amp;"*Á")),F269="žena")),CONCATENATE(C269," ",D269," je ",F269,"?"),""))))))),IF(COUNTIF(B269:O269,"")=14,"",CONCATENATE("Doplň: ",IF(B269="",CONCATENATE($B$4,IF(COUNTIF(C269:G269,"")=0,"",", ")),""),IF(C269="",CONCATENATE($C$4,IF(COUNTIF(D269:G269,"")=0,"",", ")),""),IF(D269="",CONCATENATE($D$4,IF(COUNTIF(E269:G269,"")=0,"",", ")),""),IF(E269="",CONCATENATE($E$4,IF(COUNTIF(F269:G269,"")=0,"",", ")),""),IF(F269="",CONCATENATE($F$4,IF(G269="",", ","")),""),IF(G269="",$G$4,""))))</f>
        <v/>
      </c>
      <c r="AA269" s="30"/>
    </row>
    <row r="270" spans="1:27" ht="16" x14ac:dyDescent="0.35">
      <c r="A270" s="14" t="str">
        <f t="shared" si="16"/>
        <v xml:space="preserve">  </v>
      </c>
      <c r="B270" s="15"/>
      <c r="C270" s="31"/>
      <c r="D270" s="31"/>
      <c r="E270" s="17"/>
      <c r="F270" s="18"/>
      <c r="G270" s="32"/>
      <c r="H270" s="33" t="str">
        <f>IF(G270="","",IF(F270="žena",ROMAN(MATCH(G270+1,'[1]Normy VP'!$Y$27:$Y$33,-1)),ROMAN(MATCH(G270+1,'[1]Normy VP'!$Y$19:$Y$25,-1))))</f>
        <v/>
      </c>
      <c r="I270" s="21"/>
      <c r="J270" s="22"/>
      <c r="K270" s="23"/>
      <c r="L270" s="23"/>
      <c r="M270" s="23"/>
      <c r="N270" s="22"/>
      <c r="O270" s="22"/>
      <c r="P270" s="24" t="str">
        <f>IF(OR($J270="",$J270="odešel"),IF(K270="","",IF($F270="žena",CHOOSE(_xlfn.ARABIC($H270),MATCH(K270+1,'[1]Normy VP'!$C$25:$F$25,-1),MATCH(K270+1,'[1]Normy VP'!$C$26:$F$26,-1),MATCH(K270+1,'[1]Normy VP'!$C$27:$F$27,-1),MATCH(K270+1,'[1]Normy VP'!$C$28:$F$28,-1),MATCH(K270+1,'[1]Normy VP'!$C$29:$F$29,-1),"muž"),CHOOSE(_xlfn.ARABIC($H270),MATCH(K270+1,'[1]Normy VP'!$C$10:$F$10,-1),MATCH(K270+1,'[1]Normy VP'!$C$11:$F$11,-1),MATCH(K270+1,'[1]Normy VP'!$C$12:$F$12,-1),MATCH(K270+1,'[1]Normy VP'!$C$13:$F$13,-1),MATCH(K270+1,'[1]Normy VP'!$C$14:$F$14,-1),""))),"O")</f>
        <v/>
      </c>
      <c r="Q270" s="24" t="str">
        <f>IF(OR($J270="",$J270="odešel"),IF($F270="žena","",IF(L270="","",(CHOOSE(_xlfn.ARABIC($H270),MATCH(L270+1,'[1]Normy VP'!$G$10:$J$10,-1),MATCH(L270+1,'[1]Normy VP'!$G$11:$J$11,-1),MATCH(L270+1,'[1]Normy VP'!$G$12:$J$12,-1),MATCH(L270+1,'[1]Normy VP'!$G$13:$J$13,-1),MATCH(L270+1,'[1]Normy VP'!$G$14:$J$14,-1),"")))),"O")</f>
        <v/>
      </c>
      <c r="R270" s="34" t="str">
        <f t="shared" si="17"/>
        <v>N</v>
      </c>
      <c r="S270" s="24" t="str">
        <f>IF(OR($J270="",$J270="odešel"),IF(M270="","N",IF($F270="žena",CHOOSE(_xlfn.ARABIC($H270),MATCH(M270+1,'[1]Normy VP'!$G$25:$J$25,-1),MATCH(M270+1,'[1]Normy VP'!$G$26:$J$26,-1),MATCH(M270+1,'[1]Normy VP'!$G$27:$J$27,-1),MATCH(M270+1,'[1]Normy VP'!$G$28:$J$28,-1),MATCH(M270+1,'[1]Normy VP'!$G$29:$J$29,-1),"muž"),(CHOOSE(_xlfn.ARABIC($H270),MATCH(M270+1,'[1]Normy VP'!$K$10:$N$10,-1),MATCH(M270+1,'[1]Normy VP'!$K$11:$N$11,-1),MATCH(M270+1,'[1]Normy VP'!$K$12:$N$12,-1),MATCH(M270+1,'[1]Normy VP'!$K$13:$N$13,-1),MATCH(M270+1,'[1]Normy VP'!$K$14:$N$14,-1),"")))),"O")</f>
        <v>N</v>
      </c>
      <c r="T270" s="34" t="str">
        <f t="shared" si="18"/>
        <v>N</v>
      </c>
      <c r="U270" s="24" t="str">
        <f>IF(OR($J270="",$J270="odešel"),IF(N270="","N",IF($F270="žena",CHOOSE(_xlfn.ARABIC($H270),MATCH(N270+1,'[1]Normy VP'!$K$25:$N$25,-1),MATCH(N270+1,'[1]Normy VP'!$K$26:$N$26,-1),MATCH(N270+1,'[1]Normy VP'!$K$27:$N$27,-1),MATCH(N270+1,'[1]Normy VP'!$K$28:$N$28,-1),MATCH(N270+1,'[1]Normy VP'!$K$29:$N$29,-1),MATCH(N270+1,'[1]Normy VP'!$K$30:$N$30,-1)),CHOOSE(_xlfn.ARABIC($H270),MATCH(N270+1,'[1]Normy VP'!$O$10:$R$10,-1),MATCH(N270+1,'[1]Normy VP'!$O$11:$R$11,-1),MATCH(N270+1,'[1]Normy VP'!$O$12:$R$12,-1),MATCH(N270+1,'[1]Normy VP'!$O$13:$R$13,-1),MATCH(N270+1,'[1]Normy VP'!$O$14:$R$14,-1),MATCH(N270+1,'[1]Normy VP'!$O$15:$R$15,-1)))),"O")</f>
        <v>N</v>
      </c>
      <c r="V270" s="26" t="str">
        <f>IF(OR($J270="",$J270="odešel"),IF(O270="","N",IF($F270="žena",CHOOSE(_xlfn.ARABIC($H270),MATCH(O270-1,'[1]Normy VP'!$O$25:$R$25),MATCH(O270-1,'[1]Normy VP'!$O$26:$R$26),MATCH(O270-1,'[1]Normy VP'!$O$27:$R$27),MATCH(O270-1,'[1]Normy VP'!$O$28:$R$28),MATCH(O270-1,'[1]Normy VP'!$O$29:$R$29),MATCH(O270-1,'[1]Normy VP'!$O$30:$R$30)),CHOOSE(_xlfn.ARABIC($H270),MATCH(O270-1,'[1]Normy VP'!$S$10:$V$10),MATCH(O270-1,'[1]Normy VP'!$S$11:$V$11),MATCH(O270-1,'[1]Normy VP'!$S$12:$V$12),MATCH(O270-1,'[1]Normy VP'!$S$13:$V$13),MATCH(O270-1,'[1]Normy VP'!$S$14:$V$14),MATCH(O270-1,'[1]Normy VP'!$S$15:$V$15)))),"O")</f>
        <v>N</v>
      </c>
      <c r="W270" s="34" t="str">
        <f t="shared" si="19"/>
        <v>N</v>
      </c>
      <c r="X270" s="27" t="str">
        <f>IF(COUNTIF(B270:G270,"")&gt;0,"",IF(COUNTIF([1]PP!$A:$A,A270)=0,"neni v PP",IF(OR(Y270="odešel",VLOOKUP(A270,[1]PP!$A:$W,22,FALSE)="odešel"),"odešel",IF(OR(Y270="N",VLOOKUP(A270,[1]PP!$A:$W,22,FALSE)="N"),"N",IF(OR(Y270="C",VLOOKUP(A270,[1]PP!$A:$W,22,FALSE)="C"),"C",IF(OR(Y270="DZO",VLOOKUP(A270,[1]PP!$A:$W,22,FALSE)="DZO"),"DZO",IF(OR(Y270="mise",Y270="disp.",Y270="končí",Y270="DSC",VLOOKUP(A270,[1]PP!$A:$W,22,FALSE)="mise",VLOOKUP(A270,[1]PP!$A:$W,22,FALSE)="disp.",VLOOKUP(A270,[1]PP!$A:$W,22,FALSE)="končí",VLOOKUP(A270,[1]PP!$A:$W,22,FALSE)="DSC"),"jiné",IF(OR(Y270=4,VLOOKUP(A270,[1]PP!$A:$W,22,FALSE)=4),4,IF(OR(Y270=3,VLOOKUP(A270,[1]PP!$A:$W,22,FALSE)=3),3,IF(OR(Y270=2,VLOOKUP(A270,[1]PP!$A:$W,22,FALSE)=2),2,IF(AND(Y270=1,VLOOKUP(A270,[1]PP!$A:$W,22,FALSE)=1),1)))))))))))</f>
        <v/>
      </c>
      <c r="Y270" s="28" t="str">
        <f>IF(COUNTIF(B270:G270,"")&gt;0,"",IF(COUNTIF([1]PP!$A:$A,A270)=0,"neni v PP",IF(VLOOKUP(A270,[1]PP!$A:$W,8,FALSE)="odešel","odešel",IF(F270="","",IF(J270="",IF(OR(T270=4,W270=4),4,IF(AND(T270="N",W270="N"),"N",IF(OR(T270="N",W270="N"),4,ROUND(AVERAGE(T270,W270),0)))),J270)))))</f>
        <v/>
      </c>
      <c r="Z270" s="29" t="str">
        <f>IF(COUNTIF(B270:G270,"")=0,IF(X270="neni v PP",CONCATENATE("ID: &lt;",A270,"&gt; se neshoduje s žádným IDem v kartě PP"),IF(COUNTIF($A:$A,A270)&gt;1,CONCATENATE("ID: &lt;",A270,"&gt; se v kartě VP opakuje. Je nutné tyto IDy od sebe odlišit, např. mezerou za příjmením."),IF(COUNTIF([1]PP!A:A,A270)&gt;1,CONCATENATE("ID: &lt;",A270,"&gt; se v kartě PP opakuje. Je nutné tyto IDy od sebe odlišit, např. mezerou za příjmením."),IF(VLOOKUP(A270,[1]PP!$A:$W,5,FALSE)&lt;&gt;E270,CONCATENATE($E$4," &lt;",E270,"&gt; se neshoduje s jednotkou v kartě PP"," &lt;",VLOOKUP(A270,[1]PP!$A:$W,5,FALSE),"&gt;"),IF(AND(COUNTIF(K270:O270,"")&lt;5,J270="",I270=""),CONCATENATE("Doplň: ",$I$4),IF(AND(YEAR(I270)&lt;&gt;$E$2,COUNTIF(I270,"")=0),CONCATENATE("špatně uveden &lt;",$D$2,"&gt; nebo &lt;",$I$4,"&gt;"),IF(OR(AND(OR(COUNTIF(C270,"*a"),COUNTIF(C270,"*ie"),COUNTIF(C270,"*ine"),COUNTIF(D270,"*Á")),F270="muž"),AND(AND(COUNTIF(C270,"&lt;&gt;"&amp;"*a"),COUNTIF(C270,"&lt;&gt;"&amp;"*ie"),COUNTIF(C270,"&lt;&gt;"&amp;"*ine"),COUNTIF(D270,"&lt;&gt;"&amp;"*Á")),F270="žena")),CONCATENATE(C270," ",D270," je ",F270,"?"),""))))))),IF(COUNTIF(B270:O270,"")=14,"",CONCATENATE("Doplň: ",IF(B270="",CONCATENATE($B$4,IF(COUNTIF(C270:G270,"")=0,"",", ")),""),IF(C270="",CONCATENATE($C$4,IF(COUNTIF(D270:G270,"")=0,"",", ")),""),IF(D270="",CONCATENATE($D$4,IF(COUNTIF(E270:G270,"")=0,"",", ")),""),IF(E270="",CONCATENATE($E$4,IF(COUNTIF(F270:G270,"")=0,"",", ")),""),IF(F270="",CONCATENATE($F$4,IF(G270="",", ","")),""),IF(G270="",$G$4,""))))</f>
        <v/>
      </c>
      <c r="AA270" s="30"/>
    </row>
    <row r="271" spans="1:27" ht="16" x14ac:dyDescent="0.35">
      <c r="A271" s="14" t="str">
        <f t="shared" si="16"/>
        <v xml:space="preserve">  </v>
      </c>
      <c r="B271" s="15"/>
      <c r="C271" s="31"/>
      <c r="D271" s="31"/>
      <c r="E271" s="17"/>
      <c r="F271" s="18"/>
      <c r="G271" s="32"/>
      <c r="H271" s="33" t="str">
        <f>IF(G271="","",IF(F271="žena",ROMAN(MATCH(G271+1,'[1]Normy VP'!$Y$27:$Y$33,-1)),ROMAN(MATCH(G271+1,'[1]Normy VP'!$Y$19:$Y$25,-1))))</f>
        <v/>
      </c>
      <c r="I271" s="21"/>
      <c r="J271" s="22"/>
      <c r="K271" s="23"/>
      <c r="L271" s="23"/>
      <c r="M271" s="23"/>
      <c r="N271" s="22"/>
      <c r="O271" s="22"/>
      <c r="P271" s="24" t="str">
        <f>IF(OR($J271="",$J271="odešel"),IF(K271="","",IF($F271="žena",CHOOSE(_xlfn.ARABIC($H271),MATCH(K271+1,'[1]Normy VP'!$C$25:$F$25,-1),MATCH(K271+1,'[1]Normy VP'!$C$26:$F$26,-1),MATCH(K271+1,'[1]Normy VP'!$C$27:$F$27,-1),MATCH(K271+1,'[1]Normy VP'!$C$28:$F$28,-1),MATCH(K271+1,'[1]Normy VP'!$C$29:$F$29,-1),"muž"),CHOOSE(_xlfn.ARABIC($H271),MATCH(K271+1,'[1]Normy VP'!$C$10:$F$10,-1),MATCH(K271+1,'[1]Normy VP'!$C$11:$F$11,-1),MATCH(K271+1,'[1]Normy VP'!$C$12:$F$12,-1),MATCH(K271+1,'[1]Normy VP'!$C$13:$F$13,-1),MATCH(K271+1,'[1]Normy VP'!$C$14:$F$14,-1),""))),"O")</f>
        <v/>
      </c>
      <c r="Q271" s="24" t="str">
        <f>IF(OR($J271="",$J271="odešel"),IF($F271="žena","",IF(L271="","",(CHOOSE(_xlfn.ARABIC($H271),MATCH(L271+1,'[1]Normy VP'!$G$10:$J$10,-1),MATCH(L271+1,'[1]Normy VP'!$G$11:$J$11,-1),MATCH(L271+1,'[1]Normy VP'!$G$12:$J$12,-1),MATCH(L271+1,'[1]Normy VP'!$G$13:$J$13,-1),MATCH(L271+1,'[1]Normy VP'!$G$14:$J$14,-1),"")))),"O")</f>
        <v/>
      </c>
      <c r="R271" s="34" t="str">
        <f t="shared" si="17"/>
        <v>N</v>
      </c>
      <c r="S271" s="24" t="str">
        <f>IF(OR($J271="",$J271="odešel"),IF(M271="","N",IF($F271="žena",CHOOSE(_xlfn.ARABIC($H271),MATCH(M271+1,'[1]Normy VP'!$G$25:$J$25,-1),MATCH(M271+1,'[1]Normy VP'!$G$26:$J$26,-1),MATCH(M271+1,'[1]Normy VP'!$G$27:$J$27,-1),MATCH(M271+1,'[1]Normy VP'!$G$28:$J$28,-1),MATCH(M271+1,'[1]Normy VP'!$G$29:$J$29,-1),"muž"),(CHOOSE(_xlfn.ARABIC($H271),MATCH(M271+1,'[1]Normy VP'!$K$10:$N$10,-1),MATCH(M271+1,'[1]Normy VP'!$K$11:$N$11,-1),MATCH(M271+1,'[1]Normy VP'!$K$12:$N$12,-1),MATCH(M271+1,'[1]Normy VP'!$K$13:$N$13,-1),MATCH(M271+1,'[1]Normy VP'!$K$14:$N$14,-1),"")))),"O")</f>
        <v>N</v>
      </c>
      <c r="T271" s="34" t="str">
        <f t="shared" si="18"/>
        <v>N</v>
      </c>
      <c r="U271" s="24" t="str">
        <f>IF(OR($J271="",$J271="odešel"),IF(N271="","N",IF($F271="žena",CHOOSE(_xlfn.ARABIC($H271),MATCH(N271+1,'[1]Normy VP'!$K$25:$N$25,-1),MATCH(N271+1,'[1]Normy VP'!$K$26:$N$26,-1),MATCH(N271+1,'[1]Normy VP'!$K$27:$N$27,-1),MATCH(N271+1,'[1]Normy VP'!$K$28:$N$28,-1),MATCH(N271+1,'[1]Normy VP'!$K$29:$N$29,-1),MATCH(N271+1,'[1]Normy VP'!$K$30:$N$30,-1)),CHOOSE(_xlfn.ARABIC($H271),MATCH(N271+1,'[1]Normy VP'!$O$10:$R$10,-1),MATCH(N271+1,'[1]Normy VP'!$O$11:$R$11,-1),MATCH(N271+1,'[1]Normy VP'!$O$12:$R$12,-1),MATCH(N271+1,'[1]Normy VP'!$O$13:$R$13,-1),MATCH(N271+1,'[1]Normy VP'!$O$14:$R$14,-1),MATCH(N271+1,'[1]Normy VP'!$O$15:$R$15,-1)))),"O")</f>
        <v>N</v>
      </c>
      <c r="V271" s="26" t="str">
        <f>IF(OR($J271="",$J271="odešel"),IF(O271="","N",IF($F271="žena",CHOOSE(_xlfn.ARABIC($H271),MATCH(O271-1,'[1]Normy VP'!$O$25:$R$25),MATCH(O271-1,'[1]Normy VP'!$O$26:$R$26),MATCH(O271-1,'[1]Normy VP'!$O$27:$R$27),MATCH(O271-1,'[1]Normy VP'!$O$28:$R$28),MATCH(O271-1,'[1]Normy VP'!$O$29:$R$29),MATCH(O271-1,'[1]Normy VP'!$O$30:$R$30)),CHOOSE(_xlfn.ARABIC($H271),MATCH(O271-1,'[1]Normy VP'!$S$10:$V$10),MATCH(O271-1,'[1]Normy VP'!$S$11:$V$11),MATCH(O271-1,'[1]Normy VP'!$S$12:$V$12),MATCH(O271-1,'[1]Normy VP'!$S$13:$V$13),MATCH(O271-1,'[1]Normy VP'!$S$14:$V$14),MATCH(O271-1,'[1]Normy VP'!$S$15:$V$15)))),"O")</f>
        <v>N</v>
      </c>
      <c r="W271" s="34" t="str">
        <f t="shared" si="19"/>
        <v>N</v>
      </c>
      <c r="X271" s="27" t="str">
        <f>IF(COUNTIF(B271:G271,"")&gt;0,"",IF(COUNTIF([1]PP!$A:$A,A271)=0,"neni v PP",IF(OR(Y271="odešel",VLOOKUP(A271,[1]PP!$A:$W,22,FALSE)="odešel"),"odešel",IF(OR(Y271="N",VLOOKUP(A271,[1]PP!$A:$W,22,FALSE)="N"),"N",IF(OR(Y271="C",VLOOKUP(A271,[1]PP!$A:$W,22,FALSE)="C"),"C",IF(OR(Y271="DZO",VLOOKUP(A271,[1]PP!$A:$W,22,FALSE)="DZO"),"DZO",IF(OR(Y271="mise",Y271="disp.",Y271="končí",Y271="DSC",VLOOKUP(A271,[1]PP!$A:$W,22,FALSE)="mise",VLOOKUP(A271,[1]PP!$A:$W,22,FALSE)="disp.",VLOOKUP(A271,[1]PP!$A:$W,22,FALSE)="končí",VLOOKUP(A271,[1]PP!$A:$W,22,FALSE)="DSC"),"jiné",IF(OR(Y271=4,VLOOKUP(A271,[1]PP!$A:$W,22,FALSE)=4),4,IF(OR(Y271=3,VLOOKUP(A271,[1]PP!$A:$W,22,FALSE)=3),3,IF(OR(Y271=2,VLOOKUP(A271,[1]PP!$A:$W,22,FALSE)=2),2,IF(AND(Y271=1,VLOOKUP(A271,[1]PP!$A:$W,22,FALSE)=1),1)))))))))))</f>
        <v/>
      </c>
      <c r="Y271" s="28" t="str">
        <f>IF(COUNTIF(B271:G271,"")&gt;0,"",IF(COUNTIF([1]PP!$A:$A,A271)=0,"neni v PP",IF(VLOOKUP(A271,[1]PP!$A:$W,8,FALSE)="odešel","odešel",IF(F271="","",IF(J271="",IF(OR(T271=4,W271=4),4,IF(AND(T271="N",W271="N"),"N",IF(OR(T271="N",W271="N"),4,ROUND(AVERAGE(T271,W271),0)))),J271)))))</f>
        <v/>
      </c>
      <c r="Z271" s="29" t="str">
        <f>IF(COUNTIF(B271:G271,"")=0,IF(X271="neni v PP",CONCATENATE("ID: &lt;",A271,"&gt; se neshoduje s žádným IDem v kartě PP"),IF(COUNTIF($A:$A,A271)&gt;1,CONCATENATE("ID: &lt;",A271,"&gt; se v kartě VP opakuje. Je nutné tyto IDy od sebe odlišit, např. mezerou za příjmením."),IF(COUNTIF([1]PP!A:A,A271)&gt;1,CONCATENATE("ID: &lt;",A271,"&gt; se v kartě PP opakuje. Je nutné tyto IDy od sebe odlišit, např. mezerou za příjmením."),IF(VLOOKUP(A271,[1]PP!$A:$W,5,FALSE)&lt;&gt;E271,CONCATENATE($E$4," &lt;",E271,"&gt; se neshoduje s jednotkou v kartě PP"," &lt;",VLOOKUP(A271,[1]PP!$A:$W,5,FALSE),"&gt;"),IF(AND(COUNTIF(K271:O271,"")&lt;5,J271="",I271=""),CONCATENATE("Doplň: ",$I$4),IF(AND(YEAR(I271)&lt;&gt;$E$2,COUNTIF(I271,"")=0),CONCATENATE("špatně uveden &lt;",$D$2,"&gt; nebo &lt;",$I$4,"&gt;"),IF(OR(AND(OR(COUNTIF(C271,"*a"),COUNTIF(C271,"*ie"),COUNTIF(C271,"*ine"),COUNTIF(D271,"*Á")),F271="muž"),AND(AND(COUNTIF(C271,"&lt;&gt;"&amp;"*a"),COUNTIF(C271,"&lt;&gt;"&amp;"*ie"),COUNTIF(C271,"&lt;&gt;"&amp;"*ine"),COUNTIF(D271,"&lt;&gt;"&amp;"*Á")),F271="žena")),CONCATENATE(C271," ",D271," je ",F271,"?"),""))))))),IF(COUNTIF(B271:O271,"")=14,"",CONCATENATE("Doplň: ",IF(B271="",CONCATENATE($B$4,IF(COUNTIF(C271:G271,"")=0,"",", ")),""),IF(C271="",CONCATENATE($C$4,IF(COUNTIF(D271:G271,"")=0,"",", ")),""),IF(D271="",CONCATENATE($D$4,IF(COUNTIF(E271:G271,"")=0,"",", ")),""),IF(E271="",CONCATENATE($E$4,IF(COUNTIF(F271:G271,"")=0,"",", ")),""),IF(F271="",CONCATENATE($F$4,IF(G271="",", ","")),""),IF(G271="",$G$4,""))))</f>
        <v/>
      </c>
      <c r="AA271" s="30"/>
    </row>
    <row r="272" spans="1:27" ht="16" x14ac:dyDescent="0.35">
      <c r="A272" s="14" t="str">
        <f t="shared" si="16"/>
        <v xml:space="preserve">  </v>
      </c>
      <c r="B272" s="15"/>
      <c r="C272" s="31"/>
      <c r="D272" s="31"/>
      <c r="E272" s="17"/>
      <c r="F272" s="18"/>
      <c r="G272" s="32"/>
      <c r="H272" s="33" t="str">
        <f>IF(G272="","",IF(F272="žena",ROMAN(MATCH(G272+1,'[1]Normy VP'!$Y$27:$Y$33,-1)),ROMAN(MATCH(G272+1,'[1]Normy VP'!$Y$19:$Y$25,-1))))</f>
        <v/>
      </c>
      <c r="I272" s="21"/>
      <c r="J272" s="22"/>
      <c r="K272" s="23"/>
      <c r="L272" s="23"/>
      <c r="M272" s="23"/>
      <c r="N272" s="22"/>
      <c r="O272" s="22"/>
      <c r="P272" s="24" t="str">
        <f>IF(OR($J272="",$J272="odešel"),IF(K272="","",IF($F272="žena",CHOOSE(_xlfn.ARABIC($H272),MATCH(K272+1,'[1]Normy VP'!$C$25:$F$25,-1),MATCH(K272+1,'[1]Normy VP'!$C$26:$F$26,-1),MATCH(K272+1,'[1]Normy VP'!$C$27:$F$27,-1),MATCH(K272+1,'[1]Normy VP'!$C$28:$F$28,-1),MATCH(K272+1,'[1]Normy VP'!$C$29:$F$29,-1),"muž"),CHOOSE(_xlfn.ARABIC($H272),MATCH(K272+1,'[1]Normy VP'!$C$10:$F$10,-1),MATCH(K272+1,'[1]Normy VP'!$C$11:$F$11,-1),MATCH(K272+1,'[1]Normy VP'!$C$12:$F$12,-1),MATCH(K272+1,'[1]Normy VP'!$C$13:$F$13,-1),MATCH(K272+1,'[1]Normy VP'!$C$14:$F$14,-1),""))),"O")</f>
        <v/>
      </c>
      <c r="Q272" s="24" t="str">
        <f>IF(OR($J272="",$J272="odešel"),IF($F272="žena","",IF(L272="","",(CHOOSE(_xlfn.ARABIC($H272),MATCH(L272+1,'[1]Normy VP'!$G$10:$J$10,-1),MATCH(L272+1,'[1]Normy VP'!$G$11:$J$11,-1),MATCH(L272+1,'[1]Normy VP'!$G$12:$J$12,-1),MATCH(L272+1,'[1]Normy VP'!$G$13:$J$13,-1),MATCH(L272+1,'[1]Normy VP'!$G$14:$J$14,-1),"")))),"O")</f>
        <v/>
      </c>
      <c r="R272" s="34" t="str">
        <f t="shared" si="17"/>
        <v>N</v>
      </c>
      <c r="S272" s="24" t="str">
        <f>IF(OR($J272="",$J272="odešel"),IF(M272="","N",IF($F272="žena",CHOOSE(_xlfn.ARABIC($H272),MATCH(M272+1,'[1]Normy VP'!$G$25:$J$25,-1),MATCH(M272+1,'[1]Normy VP'!$G$26:$J$26,-1),MATCH(M272+1,'[1]Normy VP'!$G$27:$J$27,-1),MATCH(M272+1,'[1]Normy VP'!$G$28:$J$28,-1),MATCH(M272+1,'[1]Normy VP'!$G$29:$J$29,-1),"muž"),(CHOOSE(_xlfn.ARABIC($H272),MATCH(M272+1,'[1]Normy VP'!$K$10:$N$10,-1),MATCH(M272+1,'[1]Normy VP'!$K$11:$N$11,-1),MATCH(M272+1,'[1]Normy VP'!$K$12:$N$12,-1),MATCH(M272+1,'[1]Normy VP'!$K$13:$N$13,-1),MATCH(M272+1,'[1]Normy VP'!$K$14:$N$14,-1),"")))),"O")</f>
        <v>N</v>
      </c>
      <c r="T272" s="34" t="str">
        <f t="shared" si="18"/>
        <v>N</v>
      </c>
      <c r="U272" s="24" t="str">
        <f>IF(OR($J272="",$J272="odešel"),IF(N272="","N",IF($F272="žena",CHOOSE(_xlfn.ARABIC($H272),MATCH(N272+1,'[1]Normy VP'!$K$25:$N$25,-1),MATCH(N272+1,'[1]Normy VP'!$K$26:$N$26,-1),MATCH(N272+1,'[1]Normy VP'!$K$27:$N$27,-1),MATCH(N272+1,'[1]Normy VP'!$K$28:$N$28,-1),MATCH(N272+1,'[1]Normy VP'!$K$29:$N$29,-1),MATCH(N272+1,'[1]Normy VP'!$K$30:$N$30,-1)),CHOOSE(_xlfn.ARABIC($H272),MATCH(N272+1,'[1]Normy VP'!$O$10:$R$10,-1),MATCH(N272+1,'[1]Normy VP'!$O$11:$R$11,-1),MATCH(N272+1,'[1]Normy VP'!$O$12:$R$12,-1),MATCH(N272+1,'[1]Normy VP'!$O$13:$R$13,-1),MATCH(N272+1,'[1]Normy VP'!$O$14:$R$14,-1),MATCH(N272+1,'[1]Normy VP'!$O$15:$R$15,-1)))),"O")</f>
        <v>N</v>
      </c>
      <c r="V272" s="26" t="str">
        <f>IF(OR($J272="",$J272="odešel"),IF(O272="","N",IF($F272="žena",CHOOSE(_xlfn.ARABIC($H272),MATCH(O272-1,'[1]Normy VP'!$O$25:$R$25),MATCH(O272-1,'[1]Normy VP'!$O$26:$R$26),MATCH(O272-1,'[1]Normy VP'!$O$27:$R$27),MATCH(O272-1,'[1]Normy VP'!$O$28:$R$28),MATCH(O272-1,'[1]Normy VP'!$O$29:$R$29),MATCH(O272-1,'[1]Normy VP'!$O$30:$R$30)),CHOOSE(_xlfn.ARABIC($H272),MATCH(O272-1,'[1]Normy VP'!$S$10:$V$10),MATCH(O272-1,'[1]Normy VP'!$S$11:$V$11),MATCH(O272-1,'[1]Normy VP'!$S$12:$V$12),MATCH(O272-1,'[1]Normy VP'!$S$13:$V$13),MATCH(O272-1,'[1]Normy VP'!$S$14:$V$14),MATCH(O272-1,'[1]Normy VP'!$S$15:$V$15)))),"O")</f>
        <v>N</v>
      </c>
      <c r="W272" s="34" t="str">
        <f t="shared" si="19"/>
        <v>N</v>
      </c>
      <c r="X272" s="27" t="str">
        <f>IF(COUNTIF(B272:G272,"")&gt;0,"",IF(COUNTIF([1]PP!$A:$A,A272)=0,"neni v PP",IF(OR(Y272="odešel",VLOOKUP(A272,[1]PP!$A:$W,22,FALSE)="odešel"),"odešel",IF(OR(Y272="N",VLOOKUP(A272,[1]PP!$A:$W,22,FALSE)="N"),"N",IF(OR(Y272="C",VLOOKUP(A272,[1]PP!$A:$W,22,FALSE)="C"),"C",IF(OR(Y272="DZO",VLOOKUP(A272,[1]PP!$A:$W,22,FALSE)="DZO"),"DZO",IF(OR(Y272="mise",Y272="disp.",Y272="končí",Y272="DSC",VLOOKUP(A272,[1]PP!$A:$W,22,FALSE)="mise",VLOOKUP(A272,[1]PP!$A:$W,22,FALSE)="disp.",VLOOKUP(A272,[1]PP!$A:$W,22,FALSE)="končí",VLOOKUP(A272,[1]PP!$A:$W,22,FALSE)="DSC"),"jiné",IF(OR(Y272=4,VLOOKUP(A272,[1]PP!$A:$W,22,FALSE)=4),4,IF(OR(Y272=3,VLOOKUP(A272,[1]PP!$A:$W,22,FALSE)=3),3,IF(OR(Y272=2,VLOOKUP(A272,[1]PP!$A:$W,22,FALSE)=2),2,IF(AND(Y272=1,VLOOKUP(A272,[1]PP!$A:$W,22,FALSE)=1),1)))))))))))</f>
        <v/>
      </c>
      <c r="Y272" s="28" t="str">
        <f>IF(COUNTIF(B272:G272,"")&gt;0,"",IF(COUNTIF([1]PP!$A:$A,A272)=0,"neni v PP",IF(VLOOKUP(A272,[1]PP!$A:$W,8,FALSE)="odešel","odešel",IF(F272="","",IF(J272="",IF(OR(T272=4,W272=4),4,IF(AND(T272="N",W272="N"),"N",IF(OR(T272="N",W272="N"),4,ROUND(AVERAGE(T272,W272),0)))),J272)))))</f>
        <v/>
      </c>
      <c r="Z272" s="29" t="str">
        <f>IF(COUNTIF(B272:G272,"")=0,IF(X272="neni v PP",CONCATENATE("ID: &lt;",A272,"&gt; se neshoduje s žádným IDem v kartě PP"),IF(COUNTIF($A:$A,A272)&gt;1,CONCATENATE("ID: &lt;",A272,"&gt; se v kartě VP opakuje. Je nutné tyto IDy od sebe odlišit, např. mezerou za příjmením."),IF(COUNTIF([1]PP!A:A,A272)&gt;1,CONCATENATE("ID: &lt;",A272,"&gt; se v kartě PP opakuje. Je nutné tyto IDy od sebe odlišit, např. mezerou za příjmením."),IF(VLOOKUP(A272,[1]PP!$A:$W,5,FALSE)&lt;&gt;E272,CONCATENATE($E$4," &lt;",E272,"&gt; se neshoduje s jednotkou v kartě PP"," &lt;",VLOOKUP(A272,[1]PP!$A:$W,5,FALSE),"&gt;"),IF(AND(COUNTIF(K272:O272,"")&lt;5,J272="",I272=""),CONCATENATE("Doplň: ",$I$4),IF(AND(YEAR(I272)&lt;&gt;$E$2,COUNTIF(I272,"")=0),CONCATENATE("špatně uveden &lt;",$D$2,"&gt; nebo &lt;",$I$4,"&gt;"),IF(OR(AND(OR(COUNTIF(C272,"*a"),COUNTIF(C272,"*ie"),COUNTIF(C272,"*ine"),COUNTIF(D272,"*Á")),F272="muž"),AND(AND(COUNTIF(C272,"&lt;&gt;"&amp;"*a"),COUNTIF(C272,"&lt;&gt;"&amp;"*ie"),COUNTIF(C272,"&lt;&gt;"&amp;"*ine"),COUNTIF(D272,"&lt;&gt;"&amp;"*Á")),F272="žena")),CONCATENATE(C272," ",D272," je ",F272,"?"),""))))))),IF(COUNTIF(B272:O272,"")=14,"",CONCATENATE("Doplň: ",IF(B272="",CONCATENATE($B$4,IF(COUNTIF(C272:G272,"")=0,"",", ")),""),IF(C272="",CONCATENATE($C$4,IF(COUNTIF(D272:G272,"")=0,"",", ")),""),IF(D272="",CONCATENATE($D$4,IF(COUNTIF(E272:G272,"")=0,"",", ")),""),IF(E272="",CONCATENATE($E$4,IF(COUNTIF(F272:G272,"")=0,"",", ")),""),IF(F272="",CONCATENATE($F$4,IF(G272="",", ","")),""),IF(G272="",$G$4,""))))</f>
        <v/>
      </c>
      <c r="AA272" s="30"/>
    </row>
    <row r="273" spans="1:27" ht="16" x14ac:dyDescent="0.35">
      <c r="A273" s="14" t="str">
        <f t="shared" si="16"/>
        <v xml:space="preserve">  </v>
      </c>
      <c r="B273" s="15"/>
      <c r="C273" s="31"/>
      <c r="D273" s="31"/>
      <c r="E273" s="17"/>
      <c r="F273" s="18"/>
      <c r="G273" s="32"/>
      <c r="H273" s="33" t="str">
        <f>IF(G273="","",IF(F273="žena",ROMAN(MATCH(G273+1,'[1]Normy VP'!$Y$27:$Y$33,-1)),ROMAN(MATCH(G273+1,'[1]Normy VP'!$Y$19:$Y$25,-1))))</f>
        <v/>
      </c>
      <c r="I273" s="21"/>
      <c r="J273" s="22"/>
      <c r="K273" s="23"/>
      <c r="L273" s="23"/>
      <c r="M273" s="23"/>
      <c r="N273" s="22"/>
      <c r="O273" s="22"/>
      <c r="P273" s="24" t="str">
        <f>IF(OR($J273="",$J273="odešel"),IF(K273="","",IF($F273="žena",CHOOSE(_xlfn.ARABIC($H273),MATCH(K273+1,'[1]Normy VP'!$C$25:$F$25,-1),MATCH(K273+1,'[1]Normy VP'!$C$26:$F$26,-1),MATCH(K273+1,'[1]Normy VP'!$C$27:$F$27,-1),MATCH(K273+1,'[1]Normy VP'!$C$28:$F$28,-1),MATCH(K273+1,'[1]Normy VP'!$C$29:$F$29,-1),"muž"),CHOOSE(_xlfn.ARABIC($H273),MATCH(K273+1,'[1]Normy VP'!$C$10:$F$10,-1),MATCH(K273+1,'[1]Normy VP'!$C$11:$F$11,-1),MATCH(K273+1,'[1]Normy VP'!$C$12:$F$12,-1),MATCH(K273+1,'[1]Normy VP'!$C$13:$F$13,-1),MATCH(K273+1,'[1]Normy VP'!$C$14:$F$14,-1),""))),"O")</f>
        <v/>
      </c>
      <c r="Q273" s="24" t="str">
        <f>IF(OR($J273="",$J273="odešel"),IF($F273="žena","",IF(L273="","",(CHOOSE(_xlfn.ARABIC($H273),MATCH(L273+1,'[1]Normy VP'!$G$10:$J$10,-1),MATCH(L273+1,'[1]Normy VP'!$G$11:$J$11,-1),MATCH(L273+1,'[1]Normy VP'!$G$12:$J$12,-1),MATCH(L273+1,'[1]Normy VP'!$G$13:$J$13,-1),MATCH(L273+1,'[1]Normy VP'!$G$14:$J$14,-1),"")))),"O")</f>
        <v/>
      </c>
      <c r="R273" s="34" t="str">
        <f t="shared" si="17"/>
        <v>N</v>
      </c>
      <c r="S273" s="24" t="str">
        <f>IF(OR($J273="",$J273="odešel"),IF(M273="","N",IF($F273="žena",CHOOSE(_xlfn.ARABIC($H273),MATCH(M273+1,'[1]Normy VP'!$G$25:$J$25,-1),MATCH(M273+1,'[1]Normy VP'!$G$26:$J$26,-1),MATCH(M273+1,'[1]Normy VP'!$G$27:$J$27,-1),MATCH(M273+1,'[1]Normy VP'!$G$28:$J$28,-1),MATCH(M273+1,'[1]Normy VP'!$G$29:$J$29,-1),"muž"),(CHOOSE(_xlfn.ARABIC($H273),MATCH(M273+1,'[1]Normy VP'!$K$10:$N$10,-1),MATCH(M273+1,'[1]Normy VP'!$K$11:$N$11,-1),MATCH(M273+1,'[1]Normy VP'!$K$12:$N$12,-1),MATCH(M273+1,'[1]Normy VP'!$K$13:$N$13,-1),MATCH(M273+1,'[1]Normy VP'!$K$14:$N$14,-1),"")))),"O")</f>
        <v>N</v>
      </c>
      <c r="T273" s="34" t="str">
        <f t="shared" si="18"/>
        <v>N</v>
      </c>
      <c r="U273" s="24" t="str">
        <f>IF(OR($J273="",$J273="odešel"),IF(N273="","N",IF($F273="žena",CHOOSE(_xlfn.ARABIC($H273),MATCH(N273+1,'[1]Normy VP'!$K$25:$N$25,-1),MATCH(N273+1,'[1]Normy VP'!$K$26:$N$26,-1),MATCH(N273+1,'[1]Normy VP'!$K$27:$N$27,-1),MATCH(N273+1,'[1]Normy VP'!$K$28:$N$28,-1),MATCH(N273+1,'[1]Normy VP'!$K$29:$N$29,-1),MATCH(N273+1,'[1]Normy VP'!$K$30:$N$30,-1)),CHOOSE(_xlfn.ARABIC($H273),MATCH(N273+1,'[1]Normy VP'!$O$10:$R$10,-1),MATCH(N273+1,'[1]Normy VP'!$O$11:$R$11,-1),MATCH(N273+1,'[1]Normy VP'!$O$12:$R$12,-1),MATCH(N273+1,'[1]Normy VP'!$O$13:$R$13,-1),MATCH(N273+1,'[1]Normy VP'!$O$14:$R$14,-1),MATCH(N273+1,'[1]Normy VP'!$O$15:$R$15,-1)))),"O")</f>
        <v>N</v>
      </c>
      <c r="V273" s="26" t="str">
        <f>IF(OR($J273="",$J273="odešel"),IF(O273="","N",IF($F273="žena",CHOOSE(_xlfn.ARABIC($H273),MATCH(O273-1,'[1]Normy VP'!$O$25:$R$25),MATCH(O273-1,'[1]Normy VP'!$O$26:$R$26),MATCH(O273-1,'[1]Normy VP'!$O$27:$R$27),MATCH(O273-1,'[1]Normy VP'!$O$28:$R$28),MATCH(O273-1,'[1]Normy VP'!$O$29:$R$29),MATCH(O273-1,'[1]Normy VP'!$O$30:$R$30)),CHOOSE(_xlfn.ARABIC($H273),MATCH(O273-1,'[1]Normy VP'!$S$10:$V$10),MATCH(O273-1,'[1]Normy VP'!$S$11:$V$11),MATCH(O273-1,'[1]Normy VP'!$S$12:$V$12),MATCH(O273-1,'[1]Normy VP'!$S$13:$V$13),MATCH(O273-1,'[1]Normy VP'!$S$14:$V$14),MATCH(O273-1,'[1]Normy VP'!$S$15:$V$15)))),"O")</f>
        <v>N</v>
      </c>
      <c r="W273" s="34" t="str">
        <f t="shared" si="19"/>
        <v>N</v>
      </c>
      <c r="X273" s="27" t="str">
        <f>IF(COUNTIF(B273:G273,"")&gt;0,"",IF(COUNTIF([1]PP!$A:$A,A273)=0,"neni v PP",IF(OR(Y273="odešel",VLOOKUP(A273,[1]PP!$A:$W,22,FALSE)="odešel"),"odešel",IF(OR(Y273="N",VLOOKUP(A273,[1]PP!$A:$W,22,FALSE)="N"),"N",IF(OR(Y273="C",VLOOKUP(A273,[1]PP!$A:$W,22,FALSE)="C"),"C",IF(OR(Y273="DZO",VLOOKUP(A273,[1]PP!$A:$W,22,FALSE)="DZO"),"DZO",IF(OR(Y273="mise",Y273="disp.",Y273="končí",Y273="DSC",VLOOKUP(A273,[1]PP!$A:$W,22,FALSE)="mise",VLOOKUP(A273,[1]PP!$A:$W,22,FALSE)="disp.",VLOOKUP(A273,[1]PP!$A:$W,22,FALSE)="končí",VLOOKUP(A273,[1]PP!$A:$W,22,FALSE)="DSC"),"jiné",IF(OR(Y273=4,VLOOKUP(A273,[1]PP!$A:$W,22,FALSE)=4),4,IF(OR(Y273=3,VLOOKUP(A273,[1]PP!$A:$W,22,FALSE)=3),3,IF(OR(Y273=2,VLOOKUP(A273,[1]PP!$A:$W,22,FALSE)=2),2,IF(AND(Y273=1,VLOOKUP(A273,[1]PP!$A:$W,22,FALSE)=1),1)))))))))))</f>
        <v/>
      </c>
      <c r="Y273" s="28" t="str">
        <f>IF(COUNTIF(B273:G273,"")&gt;0,"",IF(COUNTIF([1]PP!$A:$A,A273)=0,"neni v PP",IF(VLOOKUP(A273,[1]PP!$A:$W,8,FALSE)="odešel","odešel",IF(F273="","",IF(J273="",IF(OR(T273=4,W273=4),4,IF(AND(T273="N",W273="N"),"N",IF(OR(T273="N",W273="N"),4,ROUND(AVERAGE(T273,W273),0)))),J273)))))</f>
        <v/>
      </c>
      <c r="Z273" s="29" t="str">
        <f>IF(COUNTIF(B273:G273,"")=0,IF(X273="neni v PP",CONCATENATE("ID: &lt;",A273,"&gt; se neshoduje s žádným IDem v kartě PP"),IF(COUNTIF($A:$A,A273)&gt;1,CONCATENATE("ID: &lt;",A273,"&gt; se v kartě VP opakuje. Je nutné tyto IDy od sebe odlišit, např. mezerou za příjmením."),IF(COUNTIF([1]PP!A:A,A273)&gt;1,CONCATENATE("ID: &lt;",A273,"&gt; se v kartě PP opakuje. Je nutné tyto IDy od sebe odlišit, např. mezerou za příjmením."),IF(VLOOKUP(A273,[1]PP!$A:$W,5,FALSE)&lt;&gt;E273,CONCATENATE($E$4," &lt;",E273,"&gt; se neshoduje s jednotkou v kartě PP"," &lt;",VLOOKUP(A273,[1]PP!$A:$W,5,FALSE),"&gt;"),IF(AND(COUNTIF(K273:O273,"")&lt;5,J273="",I273=""),CONCATENATE("Doplň: ",$I$4),IF(AND(YEAR(I273)&lt;&gt;$E$2,COUNTIF(I273,"")=0),CONCATENATE("špatně uveden &lt;",$D$2,"&gt; nebo &lt;",$I$4,"&gt;"),IF(OR(AND(OR(COUNTIF(C273,"*a"),COUNTIF(C273,"*ie"),COUNTIF(C273,"*ine"),COUNTIF(D273,"*Á")),F273="muž"),AND(AND(COUNTIF(C273,"&lt;&gt;"&amp;"*a"),COUNTIF(C273,"&lt;&gt;"&amp;"*ie"),COUNTIF(C273,"&lt;&gt;"&amp;"*ine"),COUNTIF(D273,"&lt;&gt;"&amp;"*Á")),F273="žena")),CONCATENATE(C273," ",D273," je ",F273,"?"),""))))))),IF(COUNTIF(B273:O273,"")=14,"",CONCATENATE("Doplň: ",IF(B273="",CONCATENATE($B$4,IF(COUNTIF(C273:G273,"")=0,"",", ")),""),IF(C273="",CONCATENATE($C$4,IF(COUNTIF(D273:G273,"")=0,"",", ")),""),IF(D273="",CONCATENATE($D$4,IF(COUNTIF(E273:G273,"")=0,"",", ")),""),IF(E273="",CONCATENATE($E$4,IF(COUNTIF(F273:G273,"")=0,"",", ")),""),IF(F273="",CONCATENATE($F$4,IF(G273="",", ","")),""),IF(G273="",$G$4,""))))</f>
        <v/>
      </c>
      <c r="AA273" s="30"/>
    </row>
    <row r="274" spans="1:27" ht="16" x14ac:dyDescent="0.35">
      <c r="A274" s="14" t="str">
        <f t="shared" si="16"/>
        <v xml:space="preserve">  </v>
      </c>
      <c r="B274" s="15"/>
      <c r="C274" s="31"/>
      <c r="D274" s="31"/>
      <c r="E274" s="17"/>
      <c r="F274" s="18"/>
      <c r="G274" s="32"/>
      <c r="H274" s="33" t="str">
        <f>IF(G274="","",IF(F274="žena",ROMAN(MATCH(G274+1,'[1]Normy VP'!$Y$27:$Y$33,-1)),ROMAN(MATCH(G274+1,'[1]Normy VP'!$Y$19:$Y$25,-1))))</f>
        <v/>
      </c>
      <c r="I274" s="21"/>
      <c r="J274" s="22"/>
      <c r="K274" s="23"/>
      <c r="L274" s="23"/>
      <c r="M274" s="23"/>
      <c r="N274" s="22"/>
      <c r="O274" s="22"/>
      <c r="P274" s="24" t="str">
        <f>IF(OR($J274="",$J274="odešel"),IF(K274="","",IF($F274="žena",CHOOSE(_xlfn.ARABIC($H274),MATCH(K274+1,'[1]Normy VP'!$C$25:$F$25,-1),MATCH(K274+1,'[1]Normy VP'!$C$26:$F$26,-1),MATCH(K274+1,'[1]Normy VP'!$C$27:$F$27,-1),MATCH(K274+1,'[1]Normy VP'!$C$28:$F$28,-1),MATCH(K274+1,'[1]Normy VP'!$C$29:$F$29,-1),"muž"),CHOOSE(_xlfn.ARABIC($H274),MATCH(K274+1,'[1]Normy VP'!$C$10:$F$10,-1),MATCH(K274+1,'[1]Normy VP'!$C$11:$F$11,-1),MATCH(K274+1,'[1]Normy VP'!$C$12:$F$12,-1),MATCH(K274+1,'[1]Normy VP'!$C$13:$F$13,-1),MATCH(K274+1,'[1]Normy VP'!$C$14:$F$14,-1),""))),"O")</f>
        <v/>
      </c>
      <c r="Q274" s="24" t="str">
        <f>IF(OR($J274="",$J274="odešel"),IF($F274="žena","",IF(L274="","",(CHOOSE(_xlfn.ARABIC($H274),MATCH(L274+1,'[1]Normy VP'!$G$10:$J$10,-1),MATCH(L274+1,'[1]Normy VP'!$G$11:$J$11,-1),MATCH(L274+1,'[1]Normy VP'!$G$12:$J$12,-1),MATCH(L274+1,'[1]Normy VP'!$G$13:$J$13,-1),MATCH(L274+1,'[1]Normy VP'!$G$14:$J$14,-1),"")))),"O")</f>
        <v/>
      </c>
      <c r="R274" s="34" t="str">
        <f t="shared" si="17"/>
        <v>N</v>
      </c>
      <c r="S274" s="24" t="str">
        <f>IF(OR($J274="",$J274="odešel"),IF(M274="","N",IF($F274="žena",CHOOSE(_xlfn.ARABIC($H274),MATCH(M274+1,'[1]Normy VP'!$G$25:$J$25,-1),MATCH(M274+1,'[1]Normy VP'!$G$26:$J$26,-1),MATCH(M274+1,'[1]Normy VP'!$G$27:$J$27,-1),MATCH(M274+1,'[1]Normy VP'!$G$28:$J$28,-1),MATCH(M274+1,'[1]Normy VP'!$G$29:$J$29,-1),"muž"),(CHOOSE(_xlfn.ARABIC($H274),MATCH(M274+1,'[1]Normy VP'!$K$10:$N$10,-1),MATCH(M274+1,'[1]Normy VP'!$K$11:$N$11,-1),MATCH(M274+1,'[1]Normy VP'!$K$12:$N$12,-1),MATCH(M274+1,'[1]Normy VP'!$K$13:$N$13,-1),MATCH(M274+1,'[1]Normy VP'!$K$14:$N$14,-1),"")))),"O")</f>
        <v>N</v>
      </c>
      <c r="T274" s="34" t="str">
        <f t="shared" si="18"/>
        <v>N</v>
      </c>
      <c r="U274" s="24" t="str">
        <f>IF(OR($J274="",$J274="odešel"),IF(N274="","N",IF($F274="žena",CHOOSE(_xlfn.ARABIC($H274),MATCH(N274+1,'[1]Normy VP'!$K$25:$N$25,-1),MATCH(N274+1,'[1]Normy VP'!$K$26:$N$26,-1),MATCH(N274+1,'[1]Normy VP'!$K$27:$N$27,-1),MATCH(N274+1,'[1]Normy VP'!$K$28:$N$28,-1),MATCH(N274+1,'[1]Normy VP'!$K$29:$N$29,-1),MATCH(N274+1,'[1]Normy VP'!$K$30:$N$30,-1)),CHOOSE(_xlfn.ARABIC($H274),MATCH(N274+1,'[1]Normy VP'!$O$10:$R$10,-1),MATCH(N274+1,'[1]Normy VP'!$O$11:$R$11,-1),MATCH(N274+1,'[1]Normy VP'!$O$12:$R$12,-1),MATCH(N274+1,'[1]Normy VP'!$O$13:$R$13,-1),MATCH(N274+1,'[1]Normy VP'!$O$14:$R$14,-1),MATCH(N274+1,'[1]Normy VP'!$O$15:$R$15,-1)))),"O")</f>
        <v>N</v>
      </c>
      <c r="V274" s="26" t="str">
        <f>IF(OR($J274="",$J274="odešel"),IF(O274="","N",IF($F274="žena",CHOOSE(_xlfn.ARABIC($H274),MATCH(O274-1,'[1]Normy VP'!$O$25:$R$25),MATCH(O274-1,'[1]Normy VP'!$O$26:$R$26),MATCH(O274-1,'[1]Normy VP'!$O$27:$R$27),MATCH(O274-1,'[1]Normy VP'!$O$28:$R$28),MATCH(O274-1,'[1]Normy VP'!$O$29:$R$29),MATCH(O274-1,'[1]Normy VP'!$O$30:$R$30)),CHOOSE(_xlfn.ARABIC($H274),MATCH(O274-1,'[1]Normy VP'!$S$10:$V$10),MATCH(O274-1,'[1]Normy VP'!$S$11:$V$11),MATCH(O274-1,'[1]Normy VP'!$S$12:$V$12),MATCH(O274-1,'[1]Normy VP'!$S$13:$V$13),MATCH(O274-1,'[1]Normy VP'!$S$14:$V$14),MATCH(O274-1,'[1]Normy VP'!$S$15:$V$15)))),"O")</f>
        <v>N</v>
      </c>
      <c r="W274" s="34" t="str">
        <f t="shared" si="19"/>
        <v>N</v>
      </c>
      <c r="X274" s="27" t="str">
        <f>IF(COUNTIF(B274:G274,"")&gt;0,"",IF(COUNTIF([1]PP!$A:$A,A274)=0,"neni v PP",IF(OR(Y274="odešel",VLOOKUP(A274,[1]PP!$A:$W,22,FALSE)="odešel"),"odešel",IF(OR(Y274="N",VLOOKUP(A274,[1]PP!$A:$W,22,FALSE)="N"),"N",IF(OR(Y274="C",VLOOKUP(A274,[1]PP!$A:$W,22,FALSE)="C"),"C",IF(OR(Y274="DZO",VLOOKUP(A274,[1]PP!$A:$W,22,FALSE)="DZO"),"DZO",IF(OR(Y274="mise",Y274="disp.",Y274="končí",Y274="DSC",VLOOKUP(A274,[1]PP!$A:$W,22,FALSE)="mise",VLOOKUP(A274,[1]PP!$A:$W,22,FALSE)="disp.",VLOOKUP(A274,[1]PP!$A:$W,22,FALSE)="končí",VLOOKUP(A274,[1]PP!$A:$W,22,FALSE)="DSC"),"jiné",IF(OR(Y274=4,VLOOKUP(A274,[1]PP!$A:$W,22,FALSE)=4),4,IF(OR(Y274=3,VLOOKUP(A274,[1]PP!$A:$W,22,FALSE)=3),3,IF(OR(Y274=2,VLOOKUP(A274,[1]PP!$A:$W,22,FALSE)=2),2,IF(AND(Y274=1,VLOOKUP(A274,[1]PP!$A:$W,22,FALSE)=1),1)))))))))))</f>
        <v/>
      </c>
      <c r="Y274" s="28" t="str">
        <f>IF(COUNTIF(B274:G274,"")&gt;0,"",IF(COUNTIF([1]PP!$A:$A,A274)=0,"neni v PP",IF(VLOOKUP(A274,[1]PP!$A:$W,8,FALSE)="odešel","odešel",IF(F274="","",IF(J274="",IF(OR(T274=4,W274=4),4,IF(AND(T274="N",W274="N"),"N",IF(OR(T274="N",W274="N"),4,ROUND(AVERAGE(T274,W274),0)))),J274)))))</f>
        <v/>
      </c>
      <c r="Z274" s="29" t="str">
        <f>IF(COUNTIF(B274:G274,"")=0,IF(X274="neni v PP",CONCATENATE("ID: &lt;",A274,"&gt; se neshoduje s žádným IDem v kartě PP"),IF(COUNTIF($A:$A,A274)&gt;1,CONCATENATE("ID: &lt;",A274,"&gt; se v kartě VP opakuje. Je nutné tyto IDy od sebe odlišit, např. mezerou za příjmením."),IF(COUNTIF([1]PP!A:A,A274)&gt;1,CONCATENATE("ID: &lt;",A274,"&gt; se v kartě PP opakuje. Je nutné tyto IDy od sebe odlišit, např. mezerou za příjmením."),IF(VLOOKUP(A274,[1]PP!$A:$W,5,FALSE)&lt;&gt;E274,CONCATENATE($E$4," &lt;",E274,"&gt; se neshoduje s jednotkou v kartě PP"," &lt;",VLOOKUP(A274,[1]PP!$A:$W,5,FALSE),"&gt;"),IF(AND(COUNTIF(K274:O274,"")&lt;5,J274="",I274=""),CONCATENATE("Doplň: ",$I$4),IF(AND(YEAR(I274)&lt;&gt;$E$2,COUNTIF(I274,"")=0),CONCATENATE("špatně uveden &lt;",$D$2,"&gt; nebo &lt;",$I$4,"&gt;"),IF(OR(AND(OR(COUNTIF(C274,"*a"),COUNTIF(C274,"*ie"),COUNTIF(C274,"*ine"),COUNTIF(D274,"*Á")),F274="muž"),AND(AND(COUNTIF(C274,"&lt;&gt;"&amp;"*a"),COUNTIF(C274,"&lt;&gt;"&amp;"*ie"),COUNTIF(C274,"&lt;&gt;"&amp;"*ine"),COUNTIF(D274,"&lt;&gt;"&amp;"*Á")),F274="žena")),CONCATENATE(C274," ",D274," je ",F274,"?"),""))))))),IF(COUNTIF(B274:O274,"")=14,"",CONCATENATE("Doplň: ",IF(B274="",CONCATENATE($B$4,IF(COUNTIF(C274:G274,"")=0,"",", ")),""),IF(C274="",CONCATENATE($C$4,IF(COUNTIF(D274:G274,"")=0,"",", ")),""),IF(D274="",CONCATENATE($D$4,IF(COUNTIF(E274:G274,"")=0,"",", ")),""),IF(E274="",CONCATENATE($E$4,IF(COUNTIF(F274:G274,"")=0,"",", ")),""),IF(F274="",CONCATENATE($F$4,IF(G274="",", ","")),""),IF(G274="",$G$4,""))))</f>
        <v/>
      </c>
      <c r="AA274" s="30"/>
    </row>
    <row r="275" spans="1:27" ht="16" x14ac:dyDescent="0.35">
      <c r="A275" s="14" t="str">
        <f t="shared" si="16"/>
        <v xml:space="preserve">  </v>
      </c>
      <c r="B275" s="15"/>
      <c r="C275" s="31"/>
      <c r="D275" s="31"/>
      <c r="E275" s="17"/>
      <c r="F275" s="18"/>
      <c r="G275" s="32"/>
      <c r="H275" s="33" t="str">
        <f>IF(G275="","",IF(F275="žena",ROMAN(MATCH(G275+1,'[1]Normy VP'!$Y$27:$Y$33,-1)),ROMAN(MATCH(G275+1,'[1]Normy VP'!$Y$19:$Y$25,-1))))</f>
        <v/>
      </c>
      <c r="I275" s="21"/>
      <c r="J275" s="22"/>
      <c r="K275" s="23"/>
      <c r="L275" s="23"/>
      <c r="M275" s="23"/>
      <c r="N275" s="22"/>
      <c r="O275" s="22"/>
      <c r="P275" s="24" t="str">
        <f>IF(OR($J275="",$J275="odešel"),IF(K275="","",IF($F275="žena",CHOOSE(_xlfn.ARABIC($H275),MATCH(K275+1,'[1]Normy VP'!$C$25:$F$25,-1),MATCH(K275+1,'[1]Normy VP'!$C$26:$F$26,-1),MATCH(K275+1,'[1]Normy VP'!$C$27:$F$27,-1),MATCH(K275+1,'[1]Normy VP'!$C$28:$F$28,-1),MATCH(K275+1,'[1]Normy VP'!$C$29:$F$29,-1),"muž"),CHOOSE(_xlfn.ARABIC($H275),MATCH(K275+1,'[1]Normy VP'!$C$10:$F$10,-1),MATCH(K275+1,'[1]Normy VP'!$C$11:$F$11,-1),MATCH(K275+1,'[1]Normy VP'!$C$12:$F$12,-1),MATCH(K275+1,'[1]Normy VP'!$C$13:$F$13,-1),MATCH(K275+1,'[1]Normy VP'!$C$14:$F$14,-1),""))),"O")</f>
        <v/>
      </c>
      <c r="Q275" s="24" t="str">
        <f>IF(OR($J275="",$J275="odešel"),IF($F275="žena","",IF(L275="","",(CHOOSE(_xlfn.ARABIC($H275),MATCH(L275+1,'[1]Normy VP'!$G$10:$J$10,-1),MATCH(L275+1,'[1]Normy VP'!$G$11:$J$11,-1),MATCH(L275+1,'[1]Normy VP'!$G$12:$J$12,-1),MATCH(L275+1,'[1]Normy VP'!$G$13:$J$13,-1),MATCH(L275+1,'[1]Normy VP'!$G$14:$J$14,-1),"")))),"O")</f>
        <v/>
      </c>
      <c r="R275" s="34" t="str">
        <f t="shared" si="17"/>
        <v>N</v>
      </c>
      <c r="S275" s="24" t="str">
        <f>IF(OR($J275="",$J275="odešel"),IF(M275="","N",IF($F275="žena",CHOOSE(_xlfn.ARABIC($H275),MATCH(M275+1,'[1]Normy VP'!$G$25:$J$25,-1),MATCH(M275+1,'[1]Normy VP'!$G$26:$J$26,-1),MATCH(M275+1,'[1]Normy VP'!$G$27:$J$27,-1),MATCH(M275+1,'[1]Normy VP'!$G$28:$J$28,-1),MATCH(M275+1,'[1]Normy VP'!$G$29:$J$29,-1),"muž"),(CHOOSE(_xlfn.ARABIC($H275),MATCH(M275+1,'[1]Normy VP'!$K$10:$N$10,-1),MATCH(M275+1,'[1]Normy VP'!$K$11:$N$11,-1),MATCH(M275+1,'[1]Normy VP'!$K$12:$N$12,-1),MATCH(M275+1,'[1]Normy VP'!$K$13:$N$13,-1),MATCH(M275+1,'[1]Normy VP'!$K$14:$N$14,-1),"")))),"O")</f>
        <v>N</v>
      </c>
      <c r="T275" s="34" t="str">
        <f t="shared" si="18"/>
        <v>N</v>
      </c>
      <c r="U275" s="24" t="str">
        <f>IF(OR($J275="",$J275="odešel"),IF(N275="","N",IF($F275="žena",CHOOSE(_xlfn.ARABIC($H275),MATCH(N275+1,'[1]Normy VP'!$K$25:$N$25,-1),MATCH(N275+1,'[1]Normy VP'!$K$26:$N$26,-1),MATCH(N275+1,'[1]Normy VP'!$K$27:$N$27,-1),MATCH(N275+1,'[1]Normy VP'!$K$28:$N$28,-1),MATCH(N275+1,'[1]Normy VP'!$K$29:$N$29,-1),MATCH(N275+1,'[1]Normy VP'!$K$30:$N$30,-1)),CHOOSE(_xlfn.ARABIC($H275),MATCH(N275+1,'[1]Normy VP'!$O$10:$R$10,-1),MATCH(N275+1,'[1]Normy VP'!$O$11:$R$11,-1),MATCH(N275+1,'[1]Normy VP'!$O$12:$R$12,-1),MATCH(N275+1,'[1]Normy VP'!$O$13:$R$13,-1),MATCH(N275+1,'[1]Normy VP'!$O$14:$R$14,-1),MATCH(N275+1,'[1]Normy VP'!$O$15:$R$15,-1)))),"O")</f>
        <v>N</v>
      </c>
      <c r="V275" s="26" t="str">
        <f>IF(OR($J275="",$J275="odešel"),IF(O275="","N",IF($F275="žena",CHOOSE(_xlfn.ARABIC($H275),MATCH(O275-1,'[1]Normy VP'!$O$25:$R$25),MATCH(O275-1,'[1]Normy VP'!$O$26:$R$26),MATCH(O275-1,'[1]Normy VP'!$O$27:$R$27),MATCH(O275-1,'[1]Normy VP'!$O$28:$R$28),MATCH(O275-1,'[1]Normy VP'!$O$29:$R$29),MATCH(O275-1,'[1]Normy VP'!$O$30:$R$30)),CHOOSE(_xlfn.ARABIC($H275),MATCH(O275-1,'[1]Normy VP'!$S$10:$V$10),MATCH(O275-1,'[1]Normy VP'!$S$11:$V$11),MATCH(O275-1,'[1]Normy VP'!$S$12:$V$12),MATCH(O275-1,'[1]Normy VP'!$S$13:$V$13),MATCH(O275-1,'[1]Normy VP'!$S$14:$V$14),MATCH(O275-1,'[1]Normy VP'!$S$15:$V$15)))),"O")</f>
        <v>N</v>
      </c>
      <c r="W275" s="34" t="str">
        <f t="shared" si="19"/>
        <v>N</v>
      </c>
      <c r="X275" s="27" t="str">
        <f>IF(COUNTIF(B275:G275,"")&gt;0,"",IF(COUNTIF([1]PP!$A:$A,A275)=0,"neni v PP",IF(OR(Y275="odešel",VLOOKUP(A275,[1]PP!$A:$W,22,FALSE)="odešel"),"odešel",IF(OR(Y275="N",VLOOKUP(A275,[1]PP!$A:$W,22,FALSE)="N"),"N",IF(OR(Y275="C",VLOOKUP(A275,[1]PP!$A:$W,22,FALSE)="C"),"C",IF(OR(Y275="DZO",VLOOKUP(A275,[1]PP!$A:$W,22,FALSE)="DZO"),"DZO",IF(OR(Y275="mise",Y275="disp.",Y275="končí",Y275="DSC",VLOOKUP(A275,[1]PP!$A:$W,22,FALSE)="mise",VLOOKUP(A275,[1]PP!$A:$W,22,FALSE)="disp.",VLOOKUP(A275,[1]PP!$A:$W,22,FALSE)="končí",VLOOKUP(A275,[1]PP!$A:$W,22,FALSE)="DSC"),"jiné",IF(OR(Y275=4,VLOOKUP(A275,[1]PP!$A:$W,22,FALSE)=4),4,IF(OR(Y275=3,VLOOKUP(A275,[1]PP!$A:$W,22,FALSE)=3),3,IF(OR(Y275=2,VLOOKUP(A275,[1]PP!$A:$W,22,FALSE)=2),2,IF(AND(Y275=1,VLOOKUP(A275,[1]PP!$A:$W,22,FALSE)=1),1)))))))))))</f>
        <v/>
      </c>
      <c r="Y275" s="28" t="str">
        <f>IF(COUNTIF(B275:G275,"")&gt;0,"",IF(COUNTIF([1]PP!$A:$A,A275)=0,"neni v PP",IF(VLOOKUP(A275,[1]PP!$A:$W,8,FALSE)="odešel","odešel",IF(F275="","",IF(J275="",IF(OR(T275=4,W275=4),4,IF(AND(T275="N",W275="N"),"N",IF(OR(T275="N",W275="N"),4,ROUND(AVERAGE(T275,W275),0)))),J275)))))</f>
        <v/>
      </c>
      <c r="Z275" s="29" t="str">
        <f>IF(COUNTIF(B275:G275,"")=0,IF(X275="neni v PP",CONCATENATE("ID: &lt;",A275,"&gt; se neshoduje s žádným IDem v kartě PP"),IF(COUNTIF($A:$A,A275)&gt;1,CONCATENATE("ID: &lt;",A275,"&gt; se v kartě VP opakuje. Je nutné tyto IDy od sebe odlišit, např. mezerou za příjmením."),IF(COUNTIF([1]PP!A:A,A275)&gt;1,CONCATENATE("ID: &lt;",A275,"&gt; se v kartě PP opakuje. Je nutné tyto IDy od sebe odlišit, např. mezerou za příjmením."),IF(VLOOKUP(A275,[1]PP!$A:$W,5,FALSE)&lt;&gt;E275,CONCATENATE($E$4," &lt;",E275,"&gt; se neshoduje s jednotkou v kartě PP"," &lt;",VLOOKUP(A275,[1]PP!$A:$W,5,FALSE),"&gt;"),IF(AND(COUNTIF(K275:O275,"")&lt;5,J275="",I275=""),CONCATENATE("Doplň: ",$I$4),IF(AND(YEAR(I275)&lt;&gt;$E$2,COUNTIF(I275,"")=0),CONCATENATE("špatně uveden &lt;",$D$2,"&gt; nebo &lt;",$I$4,"&gt;"),IF(OR(AND(OR(COUNTIF(C275,"*a"),COUNTIF(C275,"*ie"),COUNTIF(C275,"*ine"),COUNTIF(D275,"*Á")),F275="muž"),AND(AND(COUNTIF(C275,"&lt;&gt;"&amp;"*a"),COUNTIF(C275,"&lt;&gt;"&amp;"*ie"),COUNTIF(C275,"&lt;&gt;"&amp;"*ine"),COUNTIF(D275,"&lt;&gt;"&amp;"*Á")),F275="žena")),CONCATENATE(C275," ",D275," je ",F275,"?"),""))))))),IF(COUNTIF(B275:O275,"")=14,"",CONCATENATE("Doplň: ",IF(B275="",CONCATENATE($B$4,IF(COUNTIF(C275:G275,"")=0,"",", ")),""),IF(C275="",CONCATENATE($C$4,IF(COUNTIF(D275:G275,"")=0,"",", ")),""),IF(D275="",CONCATENATE($D$4,IF(COUNTIF(E275:G275,"")=0,"",", ")),""),IF(E275="",CONCATENATE($E$4,IF(COUNTIF(F275:G275,"")=0,"",", ")),""),IF(F275="",CONCATENATE($F$4,IF(G275="",", ","")),""),IF(G275="",$G$4,""))))</f>
        <v/>
      </c>
      <c r="AA275" s="30"/>
    </row>
    <row r="276" spans="1:27" ht="16" x14ac:dyDescent="0.35">
      <c r="A276" s="14" t="str">
        <f t="shared" si="16"/>
        <v xml:space="preserve">  </v>
      </c>
      <c r="B276" s="15"/>
      <c r="C276" s="31"/>
      <c r="D276" s="31"/>
      <c r="E276" s="17"/>
      <c r="F276" s="18"/>
      <c r="G276" s="32"/>
      <c r="H276" s="33" t="str">
        <f>IF(G276="","",IF(F276="žena",ROMAN(MATCH(G276+1,'[1]Normy VP'!$Y$27:$Y$33,-1)),ROMAN(MATCH(G276+1,'[1]Normy VP'!$Y$19:$Y$25,-1))))</f>
        <v/>
      </c>
      <c r="I276" s="21"/>
      <c r="J276" s="22"/>
      <c r="K276" s="23"/>
      <c r="L276" s="23"/>
      <c r="M276" s="23"/>
      <c r="N276" s="22"/>
      <c r="O276" s="22"/>
      <c r="P276" s="24" t="str">
        <f>IF(OR($J276="",$J276="odešel"),IF(K276="","",IF($F276="žena",CHOOSE(_xlfn.ARABIC($H276),MATCH(K276+1,'[1]Normy VP'!$C$25:$F$25,-1),MATCH(K276+1,'[1]Normy VP'!$C$26:$F$26,-1),MATCH(K276+1,'[1]Normy VP'!$C$27:$F$27,-1),MATCH(K276+1,'[1]Normy VP'!$C$28:$F$28,-1),MATCH(K276+1,'[1]Normy VP'!$C$29:$F$29,-1),"muž"),CHOOSE(_xlfn.ARABIC($H276),MATCH(K276+1,'[1]Normy VP'!$C$10:$F$10,-1),MATCH(K276+1,'[1]Normy VP'!$C$11:$F$11,-1),MATCH(K276+1,'[1]Normy VP'!$C$12:$F$12,-1),MATCH(K276+1,'[1]Normy VP'!$C$13:$F$13,-1),MATCH(K276+1,'[1]Normy VP'!$C$14:$F$14,-1),""))),"O")</f>
        <v/>
      </c>
      <c r="Q276" s="24" t="str">
        <f>IF(OR($J276="",$J276="odešel"),IF($F276="žena","",IF(L276="","",(CHOOSE(_xlfn.ARABIC($H276),MATCH(L276+1,'[1]Normy VP'!$G$10:$J$10,-1),MATCH(L276+1,'[1]Normy VP'!$G$11:$J$11,-1),MATCH(L276+1,'[1]Normy VP'!$G$12:$J$12,-1),MATCH(L276+1,'[1]Normy VP'!$G$13:$J$13,-1),MATCH(L276+1,'[1]Normy VP'!$G$14:$J$14,-1),"")))),"O")</f>
        <v/>
      </c>
      <c r="R276" s="34" t="str">
        <f t="shared" si="17"/>
        <v>N</v>
      </c>
      <c r="S276" s="24" t="str">
        <f>IF(OR($J276="",$J276="odešel"),IF(M276="","N",IF($F276="žena",CHOOSE(_xlfn.ARABIC($H276),MATCH(M276+1,'[1]Normy VP'!$G$25:$J$25,-1),MATCH(M276+1,'[1]Normy VP'!$G$26:$J$26,-1),MATCH(M276+1,'[1]Normy VP'!$G$27:$J$27,-1),MATCH(M276+1,'[1]Normy VP'!$G$28:$J$28,-1),MATCH(M276+1,'[1]Normy VP'!$G$29:$J$29,-1),"muž"),(CHOOSE(_xlfn.ARABIC($H276),MATCH(M276+1,'[1]Normy VP'!$K$10:$N$10,-1),MATCH(M276+1,'[1]Normy VP'!$K$11:$N$11,-1),MATCH(M276+1,'[1]Normy VP'!$K$12:$N$12,-1),MATCH(M276+1,'[1]Normy VP'!$K$13:$N$13,-1),MATCH(M276+1,'[1]Normy VP'!$K$14:$N$14,-1),"")))),"O")</f>
        <v>N</v>
      </c>
      <c r="T276" s="34" t="str">
        <f t="shared" si="18"/>
        <v>N</v>
      </c>
      <c r="U276" s="24" t="str">
        <f>IF(OR($J276="",$J276="odešel"),IF(N276="","N",IF($F276="žena",CHOOSE(_xlfn.ARABIC($H276),MATCH(N276+1,'[1]Normy VP'!$K$25:$N$25,-1),MATCH(N276+1,'[1]Normy VP'!$K$26:$N$26,-1),MATCH(N276+1,'[1]Normy VP'!$K$27:$N$27,-1),MATCH(N276+1,'[1]Normy VP'!$K$28:$N$28,-1),MATCH(N276+1,'[1]Normy VP'!$K$29:$N$29,-1),MATCH(N276+1,'[1]Normy VP'!$K$30:$N$30,-1)),CHOOSE(_xlfn.ARABIC($H276),MATCH(N276+1,'[1]Normy VP'!$O$10:$R$10,-1),MATCH(N276+1,'[1]Normy VP'!$O$11:$R$11,-1),MATCH(N276+1,'[1]Normy VP'!$O$12:$R$12,-1),MATCH(N276+1,'[1]Normy VP'!$O$13:$R$13,-1),MATCH(N276+1,'[1]Normy VP'!$O$14:$R$14,-1),MATCH(N276+1,'[1]Normy VP'!$O$15:$R$15,-1)))),"O")</f>
        <v>N</v>
      </c>
      <c r="V276" s="26" t="str">
        <f>IF(OR($J276="",$J276="odešel"),IF(O276="","N",IF($F276="žena",CHOOSE(_xlfn.ARABIC($H276),MATCH(O276-1,'[1]Normy VP'!$O$25:$R$25),MATCH(O276-1,'[1]Normy VP'!$O$26:$R$26),MATCH(O276-1,'[1]Normy VP'!$O$27:$R$27),MATCH(O276-1,'[1]Normy VP'!$O$28:$R$28),MATCH(O276-1,'[1]Normy VP'!$O$29:$R$29),MATCH(O276-1,'[1]Normy VP'!$O$30:$R$30)),CHOOSE(_xlfn.ARABIC($H276),MATCH(O276-1,'[1]Normy VP'!$S$10:$V$10),MATCH(O276-1,'[1]Normy VP'!$S$11:$V$11),MATCH(O276-1,'[1]Normy VP'!$S$12:$V$12),MATCH(O276-1,'[1]Normy VP'!$S$13:$V$13),MATCH(O276-1,'[1]Normy VP'!$S$14:$V$14),MATCH(O276-1,'[1]Normy VP'!$S$15:$V$15)))),"O")</f>
        <v>N</v>
      </c>
      <c r="W276" s="34" t="str">
        <f t="shared" si="19"/>
        <v>N</v>
      </c>
      <c r="X276" s="27" t="str">
        <f>IF(COUNTIF(B276:G276,"")&gt;0,"",IF(COUNTIF([1]PP!$A:$A,A276)=0,"neni v PP",IF(OR(Y276="odešel",VLOOKUP(A276,[1]PP!$A:$W,22,FALSE)="odešel"),"odešel",IF(OR(Y276="N",VLOOKUP(A276,[1]PP!$A:$W,22,FALSE)="N"),"N",IF(OR(Y276="C",VLOOKUP(A276,[1]PP!$A:$W,22,FALSE)="C"),"C",IF(OR(Y276="DZO",VLOOKUP(A276,[1]PP!$A:$W,22,FALSE)="DZO"),"DZO",IF(OR(Y276="mise",Y276="disp.",Y276="končí",Y276="DSC",VLOOKUP(A276,[1]PP!$A:$W,22,FALSE)="mise",VLOOKUP(A276,[1]PP!$A:$W,22,FALSE)="disp.",VLOOKUP(A276,[1]PP!$A:$W,22,FALSE)="končí",VLOOKUP(A276,[1]PP!$A:$W,22,FALSE)="DSC"),"jiné",IF(OR(Y276=4,VLOOKUP(A276,[1]PP!$A:$W,22,FALSE)=4),4,IF(OR(Y276=3,VLOOKUP(A276,[1]PP!$A:$W,22,FALSE)=3),3,IF(OR(Y276=2,VLOOKUP(A276,[1]PP!$A:$W,22,FALSE)=2),2,IF(AND(Y276=1,VLOOKUP(A276,[1]PP!$A:$W,22,FALSE)=1),1)))))))))))</f>
        <v/>
      </c>
      <c r="Y276" s="28" t="str">
        <f>IF(COUNTIF(B276:G276,"")&gt;0,"",IF(COUNTIF([1]PP!$A:$A,A276)=0,"neni v PP",IF(VLOOKUP(A276,[1]PP!$A:$W,8,FALSE)="odešel","odešel",IF(F276="","",IF(J276="",IF(OR(T276=4,W276=4),4,IF(AND(T276="N",W276="N"),"N",IF(OR(T276="N",W276="N"),4,ROUND(AVERAGE(T276,W276),0)))),J276)))))</f>
        <v/>
      </c>
      <c r="Z276" s="29" t="str">
        <f>IF(COUNTIF(B276:G276,"")=0,IF(X276="neni v PP",CONCATENATE("ID: &lt;",A276,"&gt; se neshoduje s žádným IDem v kartě PP"),IF(COUNTIF($A:$A,A276)&gt;1,CONCATENATE("ID: &lt;",A276,"&gt; se v kartě VP opakuje. Je nutné tyto IDy od sebe odlišit, např. mezerou za příjmením."),IF(COUNTIF([1]PP!A:A,A276)&gt;1,CONCATENATE("ID: &lt;",A276,"&gt; se v kartě PP opakuje. Je nutné tyto IDy od sebe odlišit, např. mezerou za příjmením."),IF(VLOOKUP(A276,[1]PP!$A:$W,5,FALSE)&lt;&gt;E276,CONCATENATE($E$4," &lt;",E276,"&gt; se neshoduje s jednotkou v kartě PP"," &lt;",VLOOKUP(A276,[1]PP!$A:$W,5,FALSE),"&gt;"),IF(AND(COUNTIF(K276:O276,"")&lt;5,J276="",I276=""),CONCATENATE("Doplň: ",$I$4),IF(AND(YEAR(I276)&lt;&gt;$E$2,COUNTIF(I276,"")=0),CONCATENATE("špatně uveden &lt;",$D$2,"&gt; nebo &lt;",$I$4,"&gt;"),IF(OR(AND(OR(COUNTIF(C276,"*a"),COUNTIF(C276,"*ie"),COUNTIF(C276,"*ine"),COUNTIF(D276,"*Á")),F276="muž"),AND(AND(COUNTIF(C276,"&lt;&gt;"&amp;"*a"),COUNTIF(C276,"&lt;&gt;"&amp;"*ie"),COUNTIF(C276,"&lt;&gt;"&amp;"*ine"),COUNTIF(D276,"&lt;&gt;"&amp;"*Á")),F276="žena")),CONCATENATE(C276," ",D276," je ",F276,"?"),""))))))),IF(COUNTIF(B276:O276,"")=14,"",CONCATENATE("Doplň: ",IF(B276="",CONCATENATE($B$4,IF(COUNTIF(C276:G276,"")=0,"",", ")),""),IF(C276="",CONCATENATE($C$4,IF(COUNTIF(D276:G276,"")=0,"",", ")),""),IF(D276="",CONCATENATE($D$4,IF(COUNTIF(E276:G276,"")=0,"",", ")),""),IF(E276="",CONCATENATE($E$4,IF(COUNTIF(F276:G276,"")=0,"",", ")),""),IF(F276="",CONCATENATE($F$4,IF(G276="",", ","")),""),IF(G276="",$G$4,""))))</f>
        <v/>
      </c>
      <c r="AA276" s="30"/>
    </row>
    <row r="277" spans="1:27" ht="16" x14ac:dyDescent="0.35">
      <c r="A277" s="14" t="str">
        <f t="shared" si="16"/>
        <v xml:space="preserve">  </v>
      </c>
      <c r="B277" s="15"/>
      <c r="C277" s="31"/>
      <c r="D277" s="31"/>
      <c r="E277" s="17"/>
      <c r="F277" s="18"/>
      <c r="G277" s="32"/>
      <c r="H277" s="33" t="str">
        <f>IF(G277="","",IF(F277="žena",ROMAN(MATCH(G277+1,'[1]Normy VP'!$Y$27:$Y$33,-1)),ROMAN(MATCH(G277+1,'[1]Normy VP'!$Y$19:$Y$25,-1))))</f>
        <v/>
      </c>
      <c r="I277" s="21"/>
      <c r="J277" s="22"/>
      <c r="K277" s="23"/>
      <c r="L277" s="23"/>
      <c r="M277" s="23"/>
      <c r="N277" s="22"/>
      <c r="O277" s="22"/>
      <c r="P277" s="24" t="str">
        <f>IF(OR($J277="",$J277="odešel"),IF(K277="","",IF($F277="žena",CHOOSE(_xlfn.ARABIC($H277),MATCH(K277+1,'[1]Normy VP'!$C$25:$F$25,-1),MATCH(K277+1,'[1]Normy VP'!$C$26:$F$26,-1),MATCH(K277+1,'[1]Normy VP'!$C$27:$F$27,-1),MATCH(K277+1,'[1]Normy VP'!$C$28:$F$28,-1),MATCH(K277+1,'[1]Normy VP'!$C$29:$F$29,-1),"muž"),CHOOSE(_xlfn.ARABIC($H277),MATCH(K277+1,'[1]Normy VP'!$C$10:$F$10,-1),MATCH(K277+1,'[1]Normy VP'!$C$11:$F$11,-1),MATCH(K277+1,'[1]Normy VP'!$C$12:$F$12,-1),MATCH(K277+1,'[1]Normy VP'!$C$13:$F$13,-1),MATCH(K277+1,'[1]Normy VP'!$C$14:$F$14,-1),""))),"O")</f>
        <v/>
      </c>
      <c r="Q277" s="24" t="str">
        <f>IF(OR($J277="",$J277="odešel"),IF($F277="žena","",IF(L277="","",(CHOOSE(_xlfn.ARABIC($H277),MATCH(L277+1,'[1]Normy VP'!$G$10:$J$10,-1),MATCH(L277+1,'[1]Normy VP'!$G$11:$J$11,-1),MATCH(L277+1,'[1]Normy VP'!$G$12:$J$12,-1),MATCH(L277+1,'[1]Normy VP'!$G$13:$J$13,-1),MATCH(L277+1,'[1]Normy VP'!$G$14:$J$14,-1),"")))),"O")</f>
        <v/>
      </c>
      <c r="R277" s="34" t="str">
        <f t="shared" si="17"/>
        <v>N</v>
      </c>
      <c r="S277" s="24" t="str">
        <f>IF(OR($J277="",$J277="odešel"),IF(M277="","N",IF($F277="žena",CHOOSE(_xlfn.ARABIC($H277),MATCH(M277+1,'[1]Normy VP'!$G$25:$J$25,-1),MATCH(M277+1,'[1]Normy VP'!$G$26:$J$26,-1),MATCH(M277+1,'[1]Normy VP'!$G$27:$J$27,-1),MATCH(M277+1,'[1]Normy VP'!$G$28:$J$28,-1),MATCH(M277+1,'[1]Normy VP'!$G$29:$J$29,-1),"muž"),(CHOOSE(_xlfn.ARABIC($H277),MATCH(M277+1,'[1]Normy VP'!$K$10:$N$10,-1),MATCH(M277+1,'[1]Normy VP'!$K$11:$N$11,-1),MATCH(M277+1,'[1]Normy VP'!$K$12:$N$12,-1),MATCH(M277+1,'[1]Normy VP'!$K$13:$N$13,-1),MATCH(M277+1,'[1]Normy VP'!$K$14:$N$14,-1),"")))),"O")</f>
        <v>N</v>
      </c>
      <c r="T277" s="34" t="str">
        <f t="shared" si="18"/>
        <v>N</v>
      </c>
      <c r="U277" s="24" t="str">
        <f>IF(OR($J277="",$J277="odešel"),IF(N277="","N",IF($F277="žena",CHOOSE(_xlfn.ARABIC($H277),MATCH(N277+1,'[1]Normy VP'!$K$25:$N$25,-1),MATCH(N277+1,'[1]Normy VP'!$K$26:$N$26,-1),MATCH(N277+1,'[1]Normy VP'!$K$27:$N$27,-1),MATCH(N277+1,'[1]Normy VP'!$K$28:$N$28,-1),MATCH(N277+1,'[1]Normy VP'!$K$29:$N$29,-1),MATCH(N277+1,'[1]Normy VP'!$K$30:$N$30,-1)),CHOOSE(_xlfn.ARABIC($H277),MATCH(N277+1,'[1]Normy VP'!$O$10:$R$10,-1),MATCH(N277+1,'[1]Normy VP'!$O$11:$R$11,-1),MATCH(N277+1,'[1]Normy VP'!$O$12:$R$12,-1),MATCH(N277+1,'[1]Normy VP'!$O$13:$R$13,-1),MATCH(N277+1,'[1]Normy VP'!$O$14:$R$14,-1),MATCH(N277+1,'[1]Normy VP'!$O$15:$R$15,-1)))),"O")</f>
        <v>N</v>
      </c>
      <c r="V277" s="26" t="str">
        <f>IF(OR($J277="",$J277="odešel"),IF(O277="","N",IF($F277="žena",CHOOSE(_xlfn.ARABIC($H277),MATCH(O277-1,'[1]Normy VP'!$O$25:$R$25),MATCH(O277-1,'[1]Normy VP'!$O$26:$R$26),MATCH(O277-1,'[1]Normy VP'!$O$27:$R$27),MATCH(O277-1,'[1]Normy VP'!$O$28:$R$28),MATCH(O277-1,'[1]Normy VP'!$O$29:$R$29),MATCH(O277-1,'[1]Normy VP'!$O$30:$R$30)),CHOOSE(_xlfn.ARABIC($H277),MATCH(O277-1,'[1]Normy VP'!$S$10:$V$10),MATCH(O277-1,'[1]Normy VP'!$S$11:$V$11),MATCH(O277-1,'[1]Normy VP'!$S$12:$V$12),MATCH(O277-1,'[1]Normy VP'!$S$13:$V$13),MATCH(O277-1,'[1]Normy VP'!$S$14:$V$14),MATCH(O277-1,'[1]Normy VP'!$S$15:$V$15)))),"O")</f>
        <v>N</v>
      </c>
      <c r="W277" s="34" t="str">
        <f t="shared" si="19"/>
        <v>N</v>
      </c>
      <c r="X277" s="27" t="str">
        <f>IF(COUNTIF(B277:G277,"")&gt;0,"",IF(COUNTIF([1]PP!$A:$A,A277)=0,"neni v PP",IF(OR(Y277="odešel",VLOOKUP(A277,[1]PP!$A:$W,22,FALSE)="odešel"),"odešel",IF(OR(Y277="N",VLOOKUP(A277,[1]PP!$A:$W,22,FALSE)="N"),"N",IF(OR(Y277="C",VLOOKUP(A277,[1]PP!$A:$W,22,FALSE)="C"),"C",IF(OR(Y277="DZO",VLOOKUP(A277,[1]PP!$A:$W,22,FALSE)="DZO"),"DZO",IF(OR(Y277="mise",Y277="disp.",Y277="končí",Y277="DSC",VLOOKUP(A277,[1]PP!$A:$W,22,FALSE)="mise",VLOOKUP(A277,[1]PP!$A:$W,22,FALSE)="disp.",VLOOKUP(A277,[1]PP!$A:$W,22,FALSE)="končí",VLOOKUP(A277,[1]PP!$A:$W,22,FALSE)="DSC"),"jiné",IF(OR(Y277=4,VLOOKUP(A277,[1]PP!$A:$W,22,FALSE)=4),4,IF(OR(Y277=3,VLOOKUP(A277,[1]PP!$A:$W,22,FALSE)=3),3,IF(OR(Y277=2,VLOOKUP(A277,[1]PP!$A:$W,22,FALSE)=2),2,IF(AND(Y277=1,VLOOKUP(A277,[1]PP!$A:$W,22,FALSE)=1),1)))))))))))</f>
        <v/>
      </c>
      <c r="Y277" s="28" t="str">
        <f>IF(COUNTIF(B277:G277,"")&gt;0,"",IF(COUNTIF([1]PP!$A:$A,A277)=0,"neni v PP",IF(VLOOKUP(A277,[1]PP!$A:$W,8,FALSE)="odešel","odešel",IF(F277="","",IF(J277="",IF(OR(T277=4,W277=4),4,IF(AND(T277="N",W277="N"),"N",IF(OR(T277="N",W277="N"),4,ROUND(AVERAGE(T277,W277),0)))),J277)))))</f>
        <v/>
      </c>
      <c r="Z277" s="29" t="str">
        <f>IF(COUNTIF(B277:G277,"")=0,IF(X277="neni v PP",CONCATENATE("ID: &lt;",A277,"&gt; se neshoduje s žádným IDem v kartě PP"),IF(COUNTIF($A:$A,A277)&gt;1,CONCATENATE("ID: &lt;",A277,"&gt; se v kartě VP opakuje. Je nutné tyto IDy od sebe odlišit, např. mezerou za příjmením."),IF(COUNTIF([1]PP!A:A,A277)&gt;1,CONCATENATE("ID: &lt;",A277,"&gt; se v kartě PP opakuje. Je nutné tyto IDy od sebe odlišit, např. mezerou za příjmením."),IF(VLOOKUP(A277,[1]PP!$A:$W,5,FALSE)&lt;&gt;E277,CONCATENATE($E$4," &lt;",E277,"&gt; se neshoduje s jednotkou v kartě PP"," &lt;",VLOOKUP(A277,[1]PP!$A:$W,5,FALSE),"&gt;"),IF(AND(COUNTIF(K277:O277,"")&lt;5,J277="",I277=""),CONCATENATE("Doplň: ",$I$4),IF(AND(YEAR(I277)&lt;&gt;$E$2,COUNTIF(I277,"")=0),CONCATENATE("špatně uveden &lt;",$D$2,"&gt; nebo &lt;",$I$4,"&gt;"),IF(OR(AND(OR(COUNTIF(C277,"*a"),COUNTIF(C277,"*ie"),COUNTIF(C277,"*ine"),COUNTIF(D277,"*Á")),F277="muž"),AND(AND(COUNTIF(C277,"&lt;&gt;"&amp;"*a"),COUNTIF(C277,"&lt;&gt;"&amp;"*ie"),COUNTIF(C277,"&lt;&gt;"&amp;"*ine"),COUNTIF(D277,"&lt;&gt;"&amp;"*Á")),F277="žena")),CONCATENATE(C277," ",D277," je ",F277,"?"),""))))))),IF(COUNTIF(B277:O277,"")=14,"",CONCATENATE("Doplň: ",IF(B277="",CONCATENATE($B$4,IF(COUNTIF(C277:G277,"")=0,"",", ")),""),IF(C277="",CONCATENATE($C$4,IF(COUNTIF(D277:G277,"")=0,"",", ")),""),IF(D277="",CONCATENATE($D$4,IF(COUNTIF(E277:G277,"")=0,"",", ")),""),IF(E277="",CONCATENATE($E$4,IF(COUNTIF(F277:G277,"")=0,"",", ")),""),IF(F277="",CONCATENATE($F$4,IF(G277="",", ","")),""),IF(G277="",$G$4,""))))</f>
        <v/>
      </c>
      <c r="AA277" s="30"/>
    </row>
    <row r="278" spans="1:27" ht="16" x14ac:dyDescent="0.35">
      <c r="A278" s="14" t="str">
        <f t="shared" si="16"/>
        <v xml:space="preserve">  </v>
      </c>
      <c r="B278" s="15"/>
      <c r="C278" s="31"/>
      <c r="D278" s="31"/>
      <c r="E278" s="17"/>
      <c r="F278" s="18"/>
      <c r="G278" s="32"/>
      <c r="H278" s="33" t="str">
        <f>IF(G278="","",IF(F278="žena",ROMAN(MATCH(G278+1,'[1]Normy VP'!$Y$27:$Y$33,-1)),ROMAN(MATCH(G278+1,'[1]Normy VP'!$Y$19:$Y$25,-1))))</f>
        <v/>
      </c>
      <c r="I278" s="21"/>
      <c r="J278" s="22"/>
      <c r="K278" s="23"/>
      <c r="L278" s="23"/>
      <c r="M278" s="23"/>
      <c r="N278" s="22"/>
      <c r="O278" s="22"/>
      <c r="P278" s="24" t="str">
        <f>IF(OR($J278="",$J278="odešel"),IF(K278="","",IF($F278="žena",CHOOSE(_xlfn.ARABIC($H278),MATCH(K278+1,'[1]Normy VP'!$C$25:$F$25,-1),MATCH(K278+1,'[1]Normy VP'!$C$26:$F$26,-1),MATCH(K278+1,'[1]Normy VP'!$C$27:$F$27,-1),MATCH(K278+1,'[1]Normy VP'!$C$28:$F$28,-1),MATCH(K278+1,'[1]Normy VP'!$C$29:$F$29,-1),"muž"),CHOOSE(_xlfn.ARABIC($H278),MATCH(K278+1,'[1]Normy VP'!$C$10:$F$10,-1),MATCH(K278+1,'[1]Normy VP'!$C$11:$F$11,-1),MATCH(K278+1,'[1]Normy VP'!$C$12:$F$12,-1),MATCH(K278+1,'[1]Normy VP'!$C$13:$F$13,-1),MATCH(K278+1,'[1]Normy VP'!$C$14:$F$14,-1),""))),"O")</f>
        <v/>
      </c>
      <c r="Q278" s="24" t="str">
        <f>IF(OR($J278="",$J278="odešel"),IF($F278="žena","",IF(L278="","",(CHOOSE(_xlfn.ARABIC($H278),MATCH(L278+1,'[1]Normy VP'!$G$10:$J$10,-1),MATCH(L278+1,'[1]Normy VP'!$G$11:$J$11,-1),MATCH(L278+1,'[1]Normy VP'!$G$12:$J$12,-1),MATCH(L278+1,'[1]Normy VP'!$G$13:$J$13,-1),MATCH(L278+1,'[1]Normy VP'!$G$14:$J$14,-1),"")))),"O")</f>
        <v/>
      </c>
      <c r="R278" s="34" t="str">
        <f t="shared" si="17"/>
        <v>N</v>
      </c>
      <c r="S278" s="24" t="str">
        <f>IF(OR($J278="",$J278="odešel"),IF(M278="","N",IF($F278="žena",CHOOSE(_xlfn.ARABIC($H278),MATCH(M278+1,'[1]Normy VP'!$G$25:$J$25,-1),MATCH(M278+1,'[1]Normy VP'!$G$26:$J$26,-1),MATCH(M278+1,'[1]Normy VP'!$G$27:$J$27,-1),MATCH(M278+1,'[1]Normy VP'!$G$28:$J$28,-1),MATCH(M278+1,'[1]Normy VP'!$G$29:$J$29,-1),"muž"),(CHOOSE(_xlfn.ARABIC($H278),MATCH(M278+1,'[1]Normy VP'!$K$10:$N$10,-1),MATCH(M278+1,'[1]Normy VP'!$K$11:$N$11,-1),MATCH(M278+1,'[1]Normy VP'!$K$12:$N$12,-1),MATCH(M278+1,'[1]Normy VP'!$K$13:$N$13,-1),MATCH(M278+1,'[1]Normy VP'!$K$14:$N$14,-1),"")))),"O")</f>
        <v>N</v>
      </c>
      <c r="T278" s="34" t="str">
        <f t="shared" si="18"/>
        <v>N</v>
      </c>
      <c r="U278" s="24" t="str">
        <f>IF(OR($J278="",$J278="odešel"),IF(N278="","N",IF($F278="žena",CHOOSE(_xlfn.ARABIC($H278),MATCH(N278+1,'[1]Normy VP'!$K$25:$N$25,-1),MATCH(N278+1,'[1]Normy VP'!$K$26:$N$26,-1),MATCH(N278+1,'[1]Normy VP'!$K$27:$N$27,-1),MATCH(N278+1,'[1]Normy VP'!$K$28:$N$28,-1),MATCH(N278+1,'[1]Normy VP'!$K$29:$N$29,-1),MATCH(N278+1,'[1]Normy VP'!$K$30:$N$30,-1)),CHOOSE(_xlfn.ARABIC($H278),MATCH(N278+1,'[1]Normy VP'!$O$10:$R$10,-1),MATCH(N278+1,'[1]Normy VP'!$O$11:$R$11,-1),MATCH(N278+1,'[1]Normy VP'!$O$12:$R$12,-1),MATCH(N278+1,'[1]Normy VP'!$O$13:$R$13,-1),MATCH(N278+1,'[1]Normy VP'!$O$14:$R$14,-1),MATCH(N278+1,'[1]Normy VP'!$O$15:$R$15,-1)))),"O")</f>
        <v>N</v>
      </c>
      <c r="V278" s="26" t="str">
        <f>IF(OR($J278="",$J278="odešel"),IF(O278="","N",IF($F278="žena",CHOOSE(_xlfn.ARABIC($H278),MATCH(O278-1,'[1]Normy VP'!$O$25:$R$25),MATCH(O278-1,'[1]Normy VP'!$O$26:$R$26),MATCH(O278-1,'[1]Normy VP'!$O$27:$R$27),MATCH(O278-1,'[1]Normy VP'!$O$28:$R$28),MATCH(O278-1,'[1]Normy VP'!$O$29:$R$29),MATCH(O278-1,'[1]Normy VP'!$O$30:$R$30)),CHOOSE(_xlfn.ARABIC($H278),MATCH(O278-1,'[1]Normy VP'!$S$10:$V$10),MATCH(O278-1,'[1]Normy VP'!$S$11:$V$11),MATCH(O278-1,'[1]Normy VP'!$S$12:$V$12),MATCH(O278-1,'[1]Normy VP'!$S$13:$V$13),MATCH(O278-1,'[1]Normy VP'!$S$14:$V$14),MATCH(O278-1,'[1]Normy VP'!$S$15:$V$15)))),"O")</f>
        <v>N</v>
      </c>
      <c r="W278" s="34" t="str">
        <f t="shared" si="19"/>
        <v>N</v>
      </c>
      <c r="X278" s="27" t="str">
        <f>IF(COUNTIF(B278:G278,"")&gt;0,"",IF(COUNTIF([1]PP!$A:$A,A278)=0,"neni v PP",IF(OR(Y278="odešel",VLOOKUP(A278,[1]PP!$A:$W,22,FALSE)="odešel"),"odešel",IF(OR(Y278="N",VLOOKUP(A278,[1]PP!$A:$W,22,FALSE)="N"),"N",IF(OR(Y278="C",VLOOKUP(A278,[1]PP!$A:$W,22,FALSE)="C"),"C",IF(OR(Y278="DZO",VLOOKUP(A278,[1]PP!$A:$W,22,FALSE)="DZO"),"DZO",IF(OR(Y278="mise",Y278="disp.",Y278="končí",Y278="DSC",VLOOKUP(A278,[1]PP!$A:$W,22,FALSE)="mise",VLOOKUP(A278,[1]PP!$A:$W,22,FALSE)="disp.",VLOOKUP(A278,[1]PP!$A:$W,22,FALSE)="končí",VLOOKUP(A278,[1]PP!$A:$W,22,FALSE)="DSC"),"jiné",IF(OR(Y278=4,VLOOKUP(A278,[1]PP!$A:$W,22,FALSE)=4),4,IF(OR(Y278=3,VLOOKUP(A278,[1]PP!$A:$W,22,FALSE)=3),3,IF(OR(Y278=2,VLOOKUP(A278,[1]PP!$A:$W,22,FALSE)=2),2,IF(AND(Y278=1,VLOOKUP(A278,[1]PP!$A:$W,22,FALSE)=1),1)))))))))))</f>
        <v/>
      </c>
      <c r="Y278" s="28" t="str">
        <f>IF(COUNTIF(B278:G278,"")&gt;0,"",IF(COUNTIF([1]PP!$A:$A,A278)=0,"neni v PP",IF(VLOOKUP(A278,[1]PP!$A:$W,8,FALSE)="odešel","odešel",IF(F278="","",IF(J278="",IF(OR(T278=4,W278=4),4,IF(AND(T278="N",W278="N"),"N",IF(OR(T278="N",W278="N"),4,ROUND(AVERAGE(T278,W278),0)))),J278)))))</f>
        <v/>
      </c>
      <c r="Z278" s="29" t="str">
        <f>IF(COUNTIF(B278:G278,"")=0,IF(X278="neni v PP",CONCATENATE("ID: &lt;",A278,"&gt; se neshoduje s žádným IDem v kartě PP"),IF(COUNTIF($A:$A,A278)&gt;1,CONCATENATE("ID: &lt;",A278,"&gt; se v kartě VP opakuje. Je nutné tyto IDy od sebe odlišit, např. mezerou za příjmením."),IF(COUNTIF([1]PP!A:A,A278)&gt;1,CONCATENATE("ID: &lt;",A278,"&gt; se v kartě PP opakuje. Je nutné tyto IDy od sebe odlišit, např. mezerou za příjmením."),IF(VLOOKUP(A278,[1]PP!$A:$W,5,FALSE)&lt;&gt;E278,CONCATENATE($E$4," &lt;",E278,"&gt; se neshoduje s jednotkou v kartě PP"," &lt;",VLOOKUP(A278,[1]PP!$A:$W,5,FALSE),"&gt;"),IF(AND(COUNTIF(K278:O278,"")&lt;5,J278="",I278=""),CONCATENATE("Doplň: ",$I$4),IF(AND(YEAR(I278)&lt;&gt;$E$2,COUNTIF(I278,"")=0),CONCATENATE("špatně uveden &lt;",$D$2,"&gt; nebo &lt;",$I$4,"&gt;"),IF(OR(AND(OR(COUNTIF(C278,"*a"),COUNTIF(C278,"*ie"),COUNTIF(C278,"*ine"),COUNTIF(D278,"*Á")),F278="muž"),AND(AND(COUNTIF(C278,"&lt;&gt;"&amp;"*a"),COUNTIF(C278,"&lt;&gt;"&amp;"*ie"),COUNTIF(C278,"&lt;&gt;"&amp;"*ine"),COUNTIF(D278,"&lt;&gt;"&amp;"*Á")),F278="žena")),CONCATENATE(C278," ",D278," je ",F278,"?"),""))))))),IF(COUNTIF(B278:O278,"")=14,"",CONCATENATE("Doplň: ",IF(B278="",CONCATENATE($B$4,IF(COUNTIF(C278:G278,"")=0,"",", ")),""),IF(C278="",CONCATENATE($C$4,IF(COUNTIF(D278:G278,"")=0,"",", ")),""),IF(D278="",CONCATENATE($D$4,IF(COUNTIF(E278:G278,"")=0,"",", ")),""),IF(E278="",CONCATENATE($E$4,IF(COUNTIF(F278:G278,"")=0,"",", ")),""),IF(F278="",CONCATENATE($F$4,IF(G278="",", ","")),""),IF(G278="",$G$4,""))))</f>
        <v/>
      </c>
      <c r="AA278" s="30"/>
    </row>
    <row r="279" spans="1:27" ht="16" x14ac:dyDescent="0.35">
      <c r="A279" s="14" t="str">
        <f t="shared" si="16"/>
        <v xml:space="preserve">  </v>
      </c>
      <c r="B279" s="15"/>
      <c r="C279" s="31"/>
      <c r="D279" s="31"/>
      <c r="E279" s="17"/>
      <c r="F279" s="18"/>
      <c r="G279" s="32"/>
      <c r="H279" s="33" t="str">
        <f>IF(G279="","",IF(F279="žena",ROMAN(MATCH(G279+1,'[1]Normy VP'!$Y$27:$Y$33,-1)),ROMAN(MATCH(G279+1,'[1]Normy VP'!$Y$19:$Y$25,-1))))</f>
        <v/>
      </c>
      <c r="I279" s="21"/>
      <c r="J279" s="22"/>
      <c r="K279" s="23"/>
      <c r="L279" s="23"/>
      <c r="M279" s="23"/>
      <c r="N279" s="22"/>
      <c r="O279" s="22"/>
      <c r="P279" s="24" t="str">
        <f>IF(OR($J279="",$J279="odešel"),IF(K279="","",IF($F279="žena",CHOOSE(_xlfn.ARABIC($H279),MATCH(K279+1,'[1]Normy VP'!$C$25:$F$25,-1),MATCH(K279+1,'[1]Normy VP'!$C$26:$F$26,-1),MATCH(K279+1,'[1]Normy VP'!$C$27:$F$27,-1),MATCH(K279+1,'[1]Normy VP'!$C$28:$F$28,-1),MATCH(K279+1,'[1]Normy VP'!$C$29:$F$29,-1),"muž"),CHOOSE(_xlfn.ARABIC($H279),MATCH(K279+1,'[1]Normy VP'!$C$10:$F$10,-1),MATCH(K279+1,'[1]Normy VP'!$C$11:$F$11,-1),MATCH(K279+1,'[1]Normy VP'!$C$12:$F$12,-1),MATCH(K279+1,'[1]Normy VP'!$C$13:$F$13,-1),MATCH(K279+1,'[1]Normy VP'!$C$14:$F$14,-1),""))),"O")</f>
        <v/>
      </c>
      <c r="Q279" s="24" t="str">
        <f>IF(OR($J279="",$J279="odešel"),IF($F279="žena","",IF(L279="","",(CHOOSE(_xlfn.ARABIC($H279),MATCH(L279+1,'[1]Normy VP'!$G$10:$J$10,-1),MATCH(L279+1,'[1]Normy VP'!$G$11:$J$11,-1),MATCH(L279+1,'[1]Normy VP'!$G$12:$J$12,-1),MATCH(L279+1,'[1]Normy VP'!$G$13:$J$13,-1),MATCH(L279+1,'[1]Normy VP'!$G$14:$J$14,-1),"")))),"O")</f>
        <v/>
      </c>
      <c r="R279" s="34" t="str">
        <f t="shared" si="17"/>
        <v>N</v>
      </c>
      <c r="S279" s="24" t="str">
        <f>IF(OR($J279="",$J279="odešel"),IF(M279="","N",IF($F279="žena",CHOOSE(_xlfn.ARABIC($H279),MATCH(M279+1,'[1]Normy VP'!$G$25:$J$25,-1),MATCH(M279+1,'[1]Normy VP'!$G$26:$J$26,-1),MATCH(M279+1,'[1]Normy VP'!$G$27:$J$27,-1),MATCH(M279+1,'[1]Normy VP'!$G$28:$J$28,-1),MATCH(M279+1,'[1]Normy VP'!$G$29:$J$29,-1),"muž"),(CHOOSE(_xlfn.ARABIC($H279),MATCH(M279+1,'[1]Normy VP'!$K$10:$N$10,-1),MATCH(M279+1,'[1]Normy VP'!$K$11:$N$11,-1),MATCH(M279+1,'[1]Normy VP'!$K$12:$N$12,-1),MATCH(M279+1,'[1]Normy VP'!$K$13:$N$13,-1),MATCH(M279+1,'[1]Normy VP'!$K$14:$N$14,-1),"")))),"O")</f>
        <v>N</v>
      </c>
      <c r="T279" s="34" t="str">
        <f t="shared" si="18"/>
        <v>N</v>
      </c>
      <c r="U279" s="24" t="str">
        <f>IF(OR($J279="",$J279="odešel"),IF(N279="","N",IF($F279="žena",CHOOSE(_xlfn.ARABIC($H279),MATCH(N279+1,'[1]Normy VP'!$K$25:$N$25,-1),MATCH(N279+1,'[1]Normy VP'!$K$26:$N$26,-1),MATCH(N279+1,'[1]Normy VP'!$K$27:$N$27,-1),MATCH(N279+1,'[1]Normy VP'!$K$28:$N$28,-1),MATCH(N279+1,'[1]Normy VP'!$K$29:$N$29,-1),MATCH(N279+1,'[1]Normy VP'!$K$30:$N$30,-1)),CHOOSE(_xlfn.ARABIC($H279),MATCH(N279+1,'[1]Normy VP'!$O$10:$R$10,-1),MATCH(N279+1,'[1]Normy VP'!$O$11:$R$11,-1),MATCH(N279+1,'[1]Normy VP'!$O$12:$R$12,-1),MATCH(N279+1,'[1]Normy VP'!$O$13:$R$13,-1),MATCH(N279+1,'[1]Normy VP'!$O$14:$R$14,-1),MATCH(N279+1,'[1]Normy VP'!$O$15:$R$15,-1)))),"O")</f>
        <v>N</v>
      </c>
      <c r="V279" s="26" t="str">
        <f>IF(OR($J279="",$J279="odešel"),IF(O279="","N",IF($F279="žena",CHOOSE(_xlfn.ARABIC($H279),MATCH(O279-1,'[1]Normy VP'!$O$25:$R$25),MATCH(O279-1,'[1]Normy VP'!$O$26:$R$26),MATCH(O279-1,'[1]Normy VP'!$O$27:$R$27),MATCH(O279-1,'[1]Normy VP'!$O$28:$R$28),MATCH(O279-1,'[1]Normy VP'!$O$29:$R$29),MATCH(O279-1,'[1]Normy VP'!$O$30:$R$30)),CHOOSE(_xlfn.ARABIC($H279),MATCH(O279-1,'[1]Normy VP'!$S$10:$V$10),MATCH(O279-1,'[1]Normy VP'!$S$11:$V$11),MATCH(O279-1,'[1]Normy VP'!$S$12:$V$12),MATCH(O279-1,'[1]Normy VP'!$S$13:$V$13),MATCH(O279-1,'[1]Normy VP'!$S$14:$V$14),MATCH(O279-1,'[1]Normy VP'!$S$15:$V$15)))),"O")</f>
        <v>N</v>
      </c>
      <c r="W279" s="34" t="str">
        <f t="shared" si="19"/>
        <v>N</v>
      </c>
      <c r="X279" s="27" t="str">
        <f>IF(COUNTIF(B279:G279,"")&gt;0,"",IF(COUNTIF([1]PP!$A:$A,A279)=0,"neni v PP",IF(OR(Y279="odešel",VLOOKUP(A279,[1]PP!$A:$W,22,FALSE)="odešel"),"odešel",IF(OR(Y279="N",VLOOKUP(A279,[1]PP!$A:$W,22,FALSE)="N"),"N",IF(OR(Y279="C",VLOOKUP(A279,[1]PP!$A:$W,22,FALSE)="C"),"C",IF(OR(Y279="DZO",VLOOKUP(A279,[1]PP!$A:$W,22,FALSE)="DZO"),"DZO",IF(OR(Y279="mise",Y279="disp.",Y279="končí",Y279="DSC",VLOOKUP(A279,[1]PP!$A:$W,22,FALSE)="mise",VLOOKUP(A279,[1]PP!$A:$W,22,FALSE)="disp.",VLOOKUP(A279,[1]PP!$A:$W,22,FALSE)="končí",VLOOKUP(A279,[1]PP!$A:$W,22,FALSE)="DSC"),"jiné",IF(OR(Y279=4,VLOOKUP(A279,[1]PP!$A:$W,22,FALSE)=4),4,IF(OR(Y279=3,VLOOKUP(A279,[1]PP!$A:$W,22,FALSE)=3),3,IF(OR(Y279=2,VLOOKUP(A279,[1]PP!$A:$W,22,FALSE)=2),2,IF(AND(Y279=1,VLOOKUP(A279,[1]PP!$A:$W,22,FALSE)=1),1)))))))))))</f>
        <v/>
      </c>
      <c r="Y279" s="28" t="str">
        <f>IF(COUNTIF(B279:G279,"")&gt;0,"",IF(COUNTIF([1]PP!$A:$A,A279)=0,"neni v PP",IF(VLOOKUP(A279,[1]PP!$A:$W,8,FALSE)="odešel","odešel",IF(F279="","",IF(J279="",IF(OR(T279=4,W279=4),4,IF(AND(T279="N",W279="N"),"N",IF(OR(T279="N",W279="N"),4,ROUND(AVERAGE(T279,W279),0)))),J279)))))</f>
        <v/>
      </c>
      <c r="Z279" s="29" t="str">
        <f>IF(COUNTIF(B279:G279,"")=0,IF(X279="neni v PP",CONCATENATE("ID: &lt;",A279,"&gt; se neshoduje s žádným IDem v kartě PP"),IF(COUNTIF($A:$A,A279)&gt;1,CONCATENATE("ID: &lt;",A279,"&gt; se v kartě VP opakuje. Je nutné tyto IDy od sebe odlišit, např. mezerou za příjmením."),IF(COUNTIF([1]PP!A:A,A279)&gt;1,CONCATENATE("ID: &lt;",A279,"&gt; se v kartě PP opakuje. Je nutné tyto IDy od sebe odlišit, např. mezerou za příjmením."),IF(VLOOKUP(A279,[1]PP!$A:$W,5,FALSE)&lt;&gt;E279,CONCATENATE($E$4," &lt;",E279,"&gt; se neshoduje s jednotkou v kartě PP"," &lt;",VLOOKUP(A279,[1]PP!$A:$W,5,FALSE),"&gt;"),IF(AND(COUNTIF(K279:O279,"")&lt;5,J279="",I279=""),CONCATENATE("Doplň: ",$I$4),IF(AND(YEAR(I279)&lt;&gt;$E$2,COUNTIF(I279,"")=0),CONCATENATE("špatně uveden &lt;",$D$2,"&gt; nebo &lt;",$I$4,"&gt;"),IF(OR(AND(OR(COUNTIF(C279,"*a"),COUNTIF(C279,"*ie"),COUNTIF(C279,"*ine"),COUNTIF(D279,"*Á")),F279="muž"),AND(AND(COUNTIF(C279,"&lt;&gt;"&amp;"*a"),COUNTIF(C279,"&lt;&gt;"&amp;"*ie"),COUNTIF(C279,"&lt;&gt;"&amp;"*ine"),COUNTIF(D279,"&lt;&gt;"&amp;"*Á")),F279="žena")),CONCATENATE(C279," ",D279," je ",F279,"?"),""))))))),IF(COUNTIF(B279:O279,"")=14,"",CONCATENATE("Doplň: ",IF(B279="",CONCATENATE($B$4,IF(COUNTIF(C279:G279,"")=0,"",", ")),""),IF(C279="",CONCATENATE($C$4,IF(COUNTIF(D279:G279,"")=0,"",", ")),""),IF(D279="",CONCATENATE($D$4,IF(COUNTIF(E279:G279,"")=0,"",", ")),""),IF(E279="",CONCATENATE($E$4,IF(COUNTIF(F279:G279,"")=0,"",", ")),""),IF(F279="",CONCATENATE($F$4,IF(G279="",", ","")),""),IF(G279="",$G$4,""))))</f>
        <v/>
      </c>
      <c r="AA279" s="30"/>
    </row>
    <row r="280" spans="1:27" ht="16" x14ac:dyDescent="0.35">
      <c r="A280" s="14" t="str">
        <f t="shared" si="16"/>
        <v xml:space="preserve">  </v>
      </c>
      <c r="B280" s="15"/>
      <c r="C280" s="31"/>
      <c r="D280" s="31"/>
      <c r="E280" s="17"/>
      <c r="F280" s="18"/>
      <c r="G280" s="32"/>
      <c r="H280" s="33" t="str">
        <f>IF(G280="","",IF(F280="žena",ROMAN(MATCH(G280+1,'[1]Normy VP'!$Y$27:$Y$33,-1)),ROMAN(MATCH(G280+1,'[1]Normy VP'!$Y$19:$Y$25,-1))))</f>
        <v/>
      </c>
      <c r="I280" s="21"/>
      <c r="J280" s="22"/>
      <c r="K280" s="23"/>
      <c r="L280" s="23"/>
      <c r="M280" s="23"/>
      <c r="N280" s="22"/>
      <c r="O280" s="22"/>
      <c r="P280" s="24" t="str">
        <f>IF(OR($J280="",$J280="odešel"),IF(K280="","",IF($F280="žena",CHOOSE(_xlfn.ARABIC($H280),MATCH(K280+1,'[1]Normy VP'!$C$25:$F$25,-1),MATCH(K280+1,'[1]Normy VP'!$C$26:$F$26,-1),MATCH(K280+1,'[1]Normy VP'!$C$27:$F$27,-1),MATCH(K280+1,'[1]Normy VP'!$C$28:$F$28,-1),MATCH(K280+1,'[1]Normy VP'!$C$29:$F$29,-1),"muž"),CHOOSE(_xlfn.ARABIC($H280),MATCH(K280+1,'[1]Normy VP'!$C$10:$F$10,-1),MATCH(K280+1,'[1]Normy VP'!$C$11:$F$11,-1),MATCH(K280+1,'[1]Normy VP'!$C$12:$F$12,-1),MATCH(K280+1,'[1]Normy VP'!$C$13:$F$13,-1),MATCH(K280+1,'[1]Normy VP'!$C$14:$F$14,-1),""))),"O")</f>
        <v/>
      </c>
      <c r="Q280" s="24" t="str">
        <f>IF(OR($J280="",$J280="odešel"),IF($F280="žena","",IF(L280="","",(CHOOSE(_xlfn.ARABIC($H280),MATCH(L280+1,'[1]Normy VP'!$G$10:$J$10,-1),MATCH(L280+1,'[1]Normy VP'!$G$11:$J$11,-1),MATCH(L280+1,'[1]Normy VP'!$G$12:$J$12,-1),MATCH(L280+1,'[1]Normy VP'!$G$13:$J$13,-1),MATCH(L280+1,'[1]Normy VP'!$G$14:$J$14,-1),"")))),"O")</f>
        <v/>
      </c>
      <c r="R280" s="34" t="str">
        <f t="shared" si="17"/>
        <v>N</v>
      </c>
      <c r="S280" s="24" t="str">
        <f>IF(OR($J280="",$J280="odešel"),IF(M280="","N",IF($F280="žena",CHOOSE(_xlfn.ARABIC($H280),MATCH(M280+1,'[1]Normy VP'!$G$25:$J$25,-1),MATCH(M280+1,'[1]Normy VP'!$G$26:$J$26,-1),MATCH(M280+1,'[1]Normy VP'!$G$27:$J$27,-1),MATCH(M280+1,'[1]Normy VP'!$G$28:$J$28,-1),MATCH(M280+1,'[1]Normy VP'!$G$29:$J$29,-1),"muž"),(CHOOSE(_xlfn.ARABIC($H280),MATCH(M280+1,'[1]Normy VP'!$K$10:$N$10,-1),MATCH(M280+1,'[1]Normy VP'!$K$11:$N$11,-1),MATCH(M280+1,'[1]Normy VP'!$K$12:$N$12,-1),MATCH(M280+1,'[1]Normy VP'!$K$13:$N$13,-1),MATCH(M280+1,'[1]Normy VP'!$K$14:$N$14,-1),"")))),"O")</f>
        <v>N</v>
      </c>
      <c r="T280" s="34" t="str">
        <f t="shared" si="18"/>
        <v>N</v>
      </c>
      <c r="U280" s="24" t="str">
        <f>IF(OR($J280="",$J280="odešel"),IF(N280="","N",IF($F280="žena",CHOOSE(_xlfn.ARABIC($H280),MATCH(N280+1,'[1]Normy VP'!$K$25:$N$25,-1),MATCH(N280+1,'[1]Normy VP'!$K$26:$N$26,-1),MATCH(N280+1,'[1]Normy VP'!$K$27:$N$27,-1),MATCH(N280+1,'[1]Normy VP'!$K$28:$N$28,-1),MATCH(N280+1,'[1]Normy VP'!$K$29:$N$29,-1),MATCH(N280+1,'[1]Normy VP'!$K$30:$N$30,-1)),CHOOSE(_xlfn.ARABIC($H280),MATCH(N280+1,'[1]Normy VP'!$O$10:$R$10,-1),MATCH(N280+1,'[1]Normy VP'!$O$11:$R$11,-1),MATCH(N280+1,'[1]Normy VP'!$O$12:$R$12,-1),MATCH(N280+1,'[1]Normy VP'!$O$13:$R$13,-1),MATCH(N280+1,'[1]Normy VP'!$O$14:$R$14,-1),MATCH(N280+1,'[1]Normy VP'!$O$15:$R$15,-1)))),"O")</f>
        <v>N</v>
      </c>
      <c r="V280" s="26" t="str">
        <f>IF(OR($J280="",$J280="odešel"),IF(O280="","N",IF($F280="žena",CHOOSE(_xlfn.ARABIC($H280),MATCH(O280-1,'[1]Normy VP'!$O$25:$R$25),MATCH(O280-1,'[1]Normy VP'!$O$26:$R$26),MATCH(O280-1,'[1]Normy VP'!$O$27:$R$27),MATCH(O280-1,'[1]Normy VP'!$O$28:$R$28),MATCH(O280-1,'[1]Normy VP'!$O$29:$R$29),MATCH(O280-1,'[1]Normy VP'!$O$30:$R$30)),CHOOSE(_xlfn.ARABIC($H280),MATCH(O280-1,'[1]Normy VP'!$S$10:$V$10),MATCH(O280-1,'[1]Normy VP'!$S$11:$V$11),MATCH(O280-1,'[1]Normy VP'!$S$12:$V$12),MATCH(O280-1,'[1]Normy VP'!$S$13:$V$13),MATCH(O280-1,'[1]Normy VP'!$S$14:$V$14),MATCH(O280-1,'[1]Normy VP'!$S$15:$V$15)))),"O")</f>
        <v>N</v>
      </c>
      <c r="W280" s="34" t="str">
        <f t="shared" si="19"/>
        <v>N</v>
      </c>
      <c r="X280" s="27" t="str">
        <f>IF(COUNTIF(B280:G280,"")&gt;0,"",IF(COUNTIF([1]PP!$A:$A,A280)=0,"neni v PP",IF(OR(Y280="odešel",VLOOKUP(A280,[1]PP!$A:$W,22,FALSE)="odešel"),"odešel",IF(OR(Y280="N",VLOOKUP(A280,[1]PP!$A:$W,22,FALSE)="N"),"N",IF(OR(Y280="C",VLOOKUP(A280,[1]PP!$A:$W,22,FALSE)="C"),"C",IF(OR(Y280="DZO",VLOOKUP(A280,[1]PP!$A:$W,22,FALSE)="DZO"),"DZO",IF(OR(Y280="mise",Y280="disp.",Y280="končí",Y280="DSC",VLOOKUP(A280,[1]PP!$A:$W,22,FALSE)="mise",VLOOKUP(A280,[1]PP!$A:$W,22,FALSE)="disp.",VLOOKUP(A280,[1]PP!$A:$W,22,FALSE)="končí",VLOOKUP(A280,[1]PP!$A:$W,22,FALSE)="DSC"),"jiné",IF(OR(Y280=4,VLOOKUP(A280,[1]PP!$A:$W,22,FALSE)=4),4,IF(OR(Y280=3,VLOOKUP(A280,[1]PP!$A:$W,22,FALSE)=3),3,IF(OR(Y280=2,VLOOKUP(A280,[1]PP!$A:$W,22,FALSE)=2),2,IF(AND(Y280=1,VLOOKUP(A280,[1]PP!$A:$W,22,FALSE)=1),1)))))))))))</f>
        <v/>
      </c>
      <c r="Y280" s="28" t="str">
        <f>IF(COUNTIF(B280:G280,"")&gt;0,"",IF(COUNTIF([1]PP!$A:$A,A280)=0,"neni v PP",IF(VLOOKUP(A280,[1]PP!$A:$W,8,FALSE)="odešel","odešel",IF(F280="","",IF(J280="",IF(OR(T280=4,W280=4),4,IF(AND(T280="N",W280="N"),"N",IF(OR(T280="N",W280="N"),4,ROUND(AVERAGE(T280,W280),0)))),J280)))))</f>
        <v/>
      </c>
      <c r="Z280" s="29" t="str">
        <f>IF(COUNTIF(B280:G280,"")=0,IF(X280="neni v PP",CONCATENATE("ID: &lt;",A280,"&gt; se neshoduje s žádným IDem v kartě PP"),IF(COUNTIF($A:$A,A280)&gt;1,CONCATENATE("ID: &lt;",A280,"&gt; se v kartě VP opakuje. Je nutné tyto IDy od sebe odlišit, např. mezerou za příjmením."),IF(COUNTIF([1]PP!A:A,A280)&gt;1,CONCATENATE("ID: &lt;",A280,"&gt; se v kartě PP opakuje. Je nutné tyto IDy od sebe odlišit, např. mezerou za příjmením."),IF(VLOOKUP(A280,[1]PP!$A:$W,5,FALSE)&lt;&gt;E280,CONCATENATE($E$4," &lt;",E280,"&gt; se neshoduje s jednotkou v kartě PP"," &lt;",VLOOKUP(A280,[1]PP!$A:$W,5,FALSE),"&gt;"),IF(AND(COUNTIF(K280:O280,"")&lt;5,J280="",I280=""),CONCATENATE("Doplň: ",$I$4),IF(AND(YEAR(I280)&lt;&gt;$E$2,COUNTIF(I280,"")=0),CONCATENATE("špatně uveden &lt;",$D$2,"&gt; nebo &lt;",$I$4,"&gt;"),IF(OR(AND(OR(COUNTIF(C280,"*a"),COUNTIF(C280,"*ie"),COUNTIF(C280,"*ine"),COUNTIF(D280,"*Á")),F280="muž"),AND(AND(COUNTIF(C280,"&lt;&gt;"&amp;"*a"),COUNTIF(C280,"&lt;&gt;"&amp;"*ie"),COUNTIF(C280,"&lt;&gt;"&amp;"*ine"),COUNTIF(D280,"&lt;&gt;"&amp;"*Á")),F280="žena")),CONCATENATE(C280," ",D280," je ",F280,"?"),""))))))),IF(COUNTIF(B280:O280,"")=14,"",CONCATENATE("Doplň: ",IF(B280="",CONCATENATE($B$4,IF(COUNTIF(C280:G280,"")=0,"",", ")),""),IF(C280="",CONCATENATE($C$4,IF(COUNTIF(D280:G280,"")=0,"",", ")),""),IF(D280="",CONCATENATE($D$4,IF(COUNTIF(E280:G280,"")=0,"",", ")),""),IF(E280="",CONCATENATE($E$4,IF(COUNTIF(F280:G280,"")=0,"",", ")),""),IF(F280="",CONCATENATE($F$4,IF(G280="",", ","")),""),IF(G280="",$G$4,""))))</f>
        <v/>
      </c>
      <c r="AA280" s="30"/>
    </row>
    <row r="281" spans="1:27" ht="16" x14ac:dyDescent="0.35">
      <c r="A281" s="14" t="str">
        <f t="shared" si="16"/>
        <v xml:space="preserve">  </v>
      </c>
      <c r="B281" s="15"/>
      <c r="C281" s="31"/>
      <c r="D281" s="31"/>
      <c r="E281" s="17"/>
      <c r="F281" s="18"/>
      <c r="G281" s="32"/>
      <c r="H281" s="33" t="str">
        <f>IF(G281="","",IF(F281="žena",ROMAN(MATCH(G281+1,'[1]Normy VP'!$Y$27:$Y$33,-1)),ROMAN(MATCH(G281+1,'[1]Normy VP'!$Y$19:$Y$25,-1))))</f>
        <v/>
      </c>
      <c r="I281" s="21"/>
      <c r="J281" s="22"/>
      <c r="K281" s="23"/>
      <c r="L281" s="23"/>
      <c r="M281" s="23"/>
      <c r="N281" s="22"/>
      <c r="O281" s="22"/>
      <c r="P281" s="24" t="str">
        <f>IF(OR($J281="",$J281="odešel"),IF(K281="","",IF($F281="žena",CHOOSE(_xlfn.ARABIC($H281),MATCH(K281+1,'[1]Normy VP'!$C$25:$F$25,-1),MATCH(K281+1,'[1]Normy VP'!$C$26:$F$26,-1),MATCH(K281+1,'[1]Normy VP'!$C$27:$F$27,-1),MATCH(K281+1,'[1]Normy VP'!$C$28:$F$28,-1),MATCH(K281+1,'[1]Normy VP'!$C$29:$F$29,-1),"muž"),CHOOSE(_xlfn.ARABIC($H281),MATCH(K281+1,'[1]Normy VP'!$C$10:$F$10,-1),MATCH(K281+1,'[1]Normy VP'!$C$11:$F$11,-1),MATCH(K281+1,'[1]Normy VP'!$C$12:$F$12,-1),MATCH(K281+1,'[1]Normy VP'!$C$13:$F$13,-1),MATCH(K281+1,'[1]Normy VP'!$C$14:$F$14,-1),""))),"O")</f>
        <v/>
      </c>
      <c r="Q281" s="24" t="str">
        <f>IF(OR($J281="",$J281="odešel"),IF($F281="žena","",IF(L281="","",(CHOOSE(_xlfn.ARABIC($H281),MATCH(L281+1,'[1]Normy VP'!$G$10:$J$10,-1),MATCH(L281+1,'[1]Normy VP'!$G$11:$J$11,-1),MATCH(L281+1,'[1]Normy VP'!$G$12:$J$12,-1),MATCH(L281+1,'[1]Normy VP'!$G$13:$J$13,-1),MATCH(L281+1,'[1]Normy VP'!$G$14:$J$14,-1),"")))),"O")</f>
        <v/>
      </c>
      <c r="R281" s="34" t="str">
        <f t="shared" si="17"/>
        <v>N</v>
      </c>
      <c r="S281" s="24" t="str">
        <f>IF(OR($J281="",$J281="odešel"),IF(M281="","N",IF($F281="žena",CHOOSE(_xlfn.ARABIC($H281),MATCH(M281+1,'[1]Normy VP'!$G$25:$J$25,-1),MATCH(M281+1,'[1]Normy VP'!$G$26:$J$26,-1),MATCH(M281+1,'[1]Normy VP'!$G$27:$J$27,-1),MATCH(M281+1,'[1]Normy VP'!$G$28:$J$28,-1),MATCH(M281+1,'[1]Normy VP'!$G$29:$J$29,-1),"muž"),(CHOOSE(_xlfn.ARABIC($H281),MATCH(M281+1,'[1]Normy VP'!$K$10:$N$10,-1),MATCH(M281+1,'[1]Normy VP'!$K$11:$N$11,-1),MATCH(M281+1,'[1]Normy VP'!$K$12:$N$12,-1),MATCH(M281+1,'[1]Normy VP'!$K$13:$N$13,-1),MATCH(M281+1,'[1]Normy VP'!$K$14:$N$14,-1),"")))),"O")</f>
        <v>N</v>
      </c>
      <c r="T281" s="34" t="str">
        <f t="shared" si="18"/>
        <v>N</v>
      </c>
      <c r="U281" s="24" t="str">
        <f>IF(OR($J281="",$J281="odešel"),IF(N281="","N",IF($F281="žena",CHOOSE(_xlfn.ARABIC($H281),MATCH(N281+1,'[1]Normy VP'!$K$25:$N$25,-1),MATCH(N281+1,'[1]Normy VP'!$K$26:$N$26,-1),MATCH(N281+1,'[1]Normy VP'!$K$27:$N$27,-1),MATCH(N281+1,'[1]Normy VP'!$K$28:$N$28,-1),MATCH(N281+1,'[1]Normy VP'!$K$29:$N$29,-1),MATCH(N281+1,'[1]Normy VP'!$K$30:$N$30,-1)),CHOOSE(_xlfn.ARABIC($H281),MATCH(N281+1,'[1]Normy VP'!$O$10:$R$10,-1),MATCH(N281+1,'[1]Normy VP'!$O$11:$R$11,-1),MATCH(N281+1,'[1]Normy VP'!$O$12:$R$12,-1),MATCH(N281+1,'[1]Normy VP'!$O$13:$R$13,-1),MATCH(N281+1,'[1]Normy VP'!$O$14:$R$14,-1),MATCH(N281+1,'[1]Normy VP'!$O$15:$R$15,-1)))),"O")</f>
        <v>N</v>
      </c>
      <c r="V281" s="26" t="str">
        <f>IF(OR($J281="",$J281="odešel"),IF(O281="","N",IF($F281="žena",CHOOSE(_xlfn.ARABIC($H281),MATCH(O281-1,'[1]Normy VP'!$O$25:$R$25),MATCH(O281-1,'[1]Normy VP'!$O$26:$R$26),MATCH(O281-1,'[1]Normy VP'!$O$27:$R$27),MATCH(O281-1,'[1]Normy VP'!$O$28:$R$28),MATCH(O281-1,'[1]Normy VP'!$O$29:$R$29),MATCH(O281-1,'[1]Normy VP'!$O$30:$R$30)),CHOOSE(_xlfn.ARABIC($H281),MATCH(O281-1,'[1]Normy VP'!$S$10:$V$10),MATCH(O281-1,'[1]Normy VP'!$S$11:$V$11),MATCH(O281-1,'[1]Normy VP'!$S$12:$V$12),MATCH(O281-1,'[1]Normy VP'!$S$13:$V$13),MATCH(O281-1,'[1]Normy VP'!$S$14:$V$14),MATCH(O281-1,'[1]Normy VP'!$S$15:$V$15)))),"O")</f>
        <v>N</v>
      </c>
      <c r="W281" s="34" t="str">
        <f t="shared" si="19"/>
        <v>N</v>
      </c>
      <c r="X281" s="27" t="str">
        <f>IF(COUNTIF(B281:G281,"")&gt;0,"",IF(COUNTIF([1]PP!$A:$A,A281)=0,"neni v PP",IF(OR(Y281="odešel",VLOOKUP(A281,[1]PP!$A:$W,22,FALSE)="odešel"),"odešel",IF(OR(Y281="N",VLOOKUP(A281,[1]PP!$A:$W,22,FALSE)="N"),"N",IF(OR(Y281="C",VLOOKUP(A281,[1]PP!$A:$W,22,FALSE)="C"),"C",IF(OR(Y281="DZO",VLOOKUP(A281,[1]PP!$A:$W,22,FALSE)="DZO"),"DZO",IF(OR(Y281="mise",Y281="disp.",Y281="končí",Y281="DSC",VLOOKUP(A281,[1]PP!$A:$W,22,FALSE)="mise",VLOOKUP(A281,[1]PP!$A:$W,22,FALSE)="disp.",VLOOKUP(A281,[1]PP!$A:$W,22,FALSE)="končí",VLOOKUP(A281,[1]PP!$A:$W,22,FALSE)="DSC"),"jiné",IF(OR(Y281=4,VLOOKUP(A281,[1]PP!$A:$W,22,FALSE)=4),4,IF(OR(Y281=3,VLOOKUP(A281,[1]PP!$A:$W,22,FALSE)=3),3,IF(OR(Y281=2,VLOOKUP(A281,[1]PP!$A:$W,22,FALSE)=2),2,IF(AND(Y281=1,VLOOKUP(A281,[1]PP!$A:$W,22,FALSE)=1),1)))))))))))</f>
        <v/>
      </c>
      <c r="Y281" s="28" t="str">
        <f>IF(COUNTIF(B281:G281,"")&gt;0,"",IF(COUNTIF([1]PP!$A:$A,A281)=0,"neni v PP",IF(VLOOKUP(A281,[1]PP!$A:$W,8,FALSE)="odešel","odešel",IF(F281="","",IF(J281="",IF(OR(T281=4,W281=4),4,IF(AND(T281="N",W281="N"),"N",IF(OR(T281="N",W281="N"),4,ROUND(AVERAGE(T281,W281),0)))),J281)))))</f>
        <v/>
      </c>
      <c r="Z281" s="29" t="str">
        <f>IF(COUNTIF(B281:G281,"")=0,IF(X281="neni v PP",CONCATENATE("ID: &lt;",A281,"&gt; se neshoduje s žádným IDem v kartě PP"),IF(COUNTIF($A:$A,A281)&gt;1,CONCATENATE("ID: &lt;",A281,"&gt; se v kartě VP opakuje. Je nutné tyto IDy od sebe odlišit, např. mezerou za příjmením."),IF(COUNTIF([1]PP!A:A,A281)&gt;1,CONCATENATE("ID: &lt;",A281,"&gt; se v kartě PP opakuje. Je nutné tyto IDy od sebe odlišit, např. mezerou za příjmením."),IF(VLOOKUP(A281,[1]PP!$A:$W,5,FALSE)&lt;&gt;E281,CONCATENATE($E$4," &lt;",E281,"&gt; se neshoduje s jednotkou v kartě PP"," &lt;",VLOOKUP(A281,[1]PP!$A:$W,5,FALSE),"&gt;"),IF(AND(COUNTIF(K281:O281,"")&lt;5,J281="",I281=""),CONCATENATE("Doplň: ",$I$4),IF(AND(YEAR(I281)&lt;&gt;$E$2,COUNTIF(I281,"")=0),CONCATENATE("špatně uveden &lt;",$D$2,"&gt; nebo &lt;",$I$4,"&gt;"),IF(OR(AND(OR(COUNTIF(C281,"*a"),COUNTIF(C281,"*ie"),COUNTIF(C281,"*ine"),COUNTIF(D281,"*Á")),F281="muž"),AND(AND(COUNTIF(C281,"&lt;&gt;"&amp;"*a"),COUNTIF(C281,"&lt;&gt;"&amp;"*ie"),COUNTIF(C281,"&lt;&gt;"&amp;"*ine"),COUNTIF(D281,"&lt;&gt;"&amp;"*Á")),F281="žena")),CONCATENATE(C281," ",D281," je ",F281,"?"),""))))))),IF(COUNTIF(B281:O281,"")=14,"",CONCATENATE("Doplň: ",IF(B281="",CONCATENATE($B$4,IF(COUNTIF(C281:G281,"")=0,"",", ")),""),IF(C281="",CONCATENATE($C$4,IF(COUNTIF(D281:G281,"")=0,"",", ")),""),IF(D281="",CONCATENATE($D$4,IF(COUNTIF(E281:G281,"")=0,"",", ")),""),IF(E281="",CONCATENATE($E$4,IF(COUNTIF(F281:G281,"")=0,"",", ")),""),IF(F281="",CONCATENATE($F$4,IF(G281="",", ","")),""),IF(G281="",$G$4,""))))</f>
        <v/>
      </c>
      <c r="AA281" s="30"/>
    </row>
    <row r="282" spans="1:27" ht="16" x14ac:dyDescent="0.35">
      <c r="A282" s="14" t="str">
        <f t="shared" si="16"/>
        <v xml:space="preserve">  </v>
      </c>
      <c r="B282" s="15"/>
      <c r="C282" s="31"/>
      <c r="D282" s="31"/>
      <c r="E282" s="17"/>
      <c r="F282" s="18"/>
      <c r="G282" s="32"/>
      <c r="H282" s="33" t="str">
        <f>IF(G282="","",IF(F282="žena",ROMAN(MATCH(G282+1,'[1]Normy VP'!$Y$27:$Y$33,-1)),ROMAN(MATCH(G282+1,'[1]Normy VP'!$Y$19:$Y$25,-1))))</f>
        <v/>
      </c>
      <c r="I282" s="21"/>
      <c r="J282" s="22"/>
      <c r="K282" s="23"/>
      <c r="L282" s="23"/>
      <c r="M282" s="23"/>
      <c r="N282" s="22"/>
      <c r="O282" s="22"/>
      <c r="P282" s="24" t="str">
        <f>IF(OR($J282="",$J282="odešel"),IF(K282="","",IF($F282="žena",CHOOSE(_xlfn.ARABIC($H282),MATCH(K282+1,'[1]Normy VP'!$C$25:$F$25,-1),MATCH(K282+1,'[1]Normy VP'!$C$26:$F$26,-1),MATCH(K282+1,'[1]Normy VP'!$C$27:$F$27,-1),MATCH(K282+1,'[1]Normy VP'!$C$28:$F$28,-1),MATCH(K282+1,'[1]Normy VP'!$C$29:$F$29,-1),"muž"),CHOOSE(_xlfn.ARABIC($H282),MATCH(K282+1,'[1]Normy VP'!$C$10:$F$10,-1),MATCH(K282+1,'[1]Normy VP'!$C$11:$F$11,-1),MATCH(K282+1,'[1]Normy VP'!$C$12:$F$12,-1),MATCH(K282+1,'[1]Normy VP'!$C$13:$F$13,-1),MATCH(K282+1,'[1]Normy VP'!$C$14:$F$14,-1),""))),"O")</f>
        <v/>
      </c>
      <c r="Q282" s="24" t="str">
        <f>IF(OR($J282="",$J282="odešel"),IF($F282="žena","",IF(L282="","",(CHOOSE(_xlfn.ARABIC($H282),MATCH(L282+1,'[1]Normy VP'!$G$10:$J$10,-1),MATCH(L282+1,'[1]Normy VP'!$G$11:$J$11,-1),MATCH(L282+1,'[1]Normy VP'!$G$12:$J$12,-1),MATCH(L282+1,'[1]Normy VP'!$G$13:$J$13,-1),MATCH(L282+1,'[1]Normy VP'!$G$14:$J$14,-1),"")))),"O")</f>
        <v/>
      </c>
      <c r="R282" s="34" t="str">
        <f t="shared" si="17"/>
        <v>N</v>
      </c>
      <c r="S282" s="24" t="str">
        <f>IF(OR($J282="",$J282="odešel"),IF(M282="","N",IF($F282="žena",CHOOSE(_xlfn.ARABIC($H282),MATCH(M282+1,'[1]Normy VP'!$G$25:$J$25,-1),MATCH(M282+1,'[1]Normy VP'!$G$26:$J$26,-1),MATCH(M282+1,'[1]Normy VP'!$G$27:$J$27,-1),MATCH(M282+1,'[1]Normy VP'!$G$28:$J$28,-1),MATCH(M282+1,'[1]Normy VP'!$G$29:$J$29,-1),"muž"),(CHOOSE(_xlfn.ARABIC($H282),MATCH(M282+1,'[1]Normy VP'!$K$10:$N$10,-1),MATCH(M282+1,'[1]Normy VP'!$K$11:$N$11,-1),MATCH(M282+1,'[1]Normy VP'!$K$12:$N$12,-1),MATCH(M282+1,'[1]Normy VP'!$K$13:$N$13,-1),MATCH(M282+1,'[1]Normy VP'!$K$14:$N$14,-1),"")))),"O")</f>
        <v>N</v>
      </c>
      <c r="T282" s="34" t="str">
        <f t="shared" si="18"/>
        <v>N</v>
      </c>
      <c r="U282" s="24" t="str">
        <f>IF(OR($J282="",$J282="odešel"),IF(N282="","N",IF($F282="žena",CHOOSE(_xlfn.ARABIC($H282),MATCH(N282+1,'[1]Normy VP'!$K$25:$N$25,-1),MATCH(N282+1,'[1]Normy VP'!$K$26:$N$26,-1),MATCH(N282+1,'[1]Normy VP'!$K$27:$N$27,-1),MATCH(N282+1,'[1]Normy VP'!$K$28:$N$28,-1),MATCH(N282+1,'[1]Normy VP'!$K$29:$N$29,-1),MATCH(N282+1,'[1]Normy VP'!$K$30:$N$30,-1)),CHOOSE(_xlfn.ARABIC($H282),MATCH(N282+1,'[1]Normy VP'!$O$10:$R$10,-1),MATCH(N282+1,'[1]Normy VP'!$O$11:$R$11,-1),MATCH(N282+1,'[1]Normy VP'!$O$12:$R$12,-1),MATCH(N282+1,'[1]Normy VP'!$O$13:$R$13,-1),MATCH(N282+1,'[1]Normy VP'!$O$14:$R$14,-1),MATCH(N282+1,'[1]Normy VP'!$O$15:$R$15,-1)))),"O")</f>
        <v>N</v>
      </c>
      <c r="V282" s="26" t="str">
        <f>IF(OR($J282="",$J282="odešel"),IF(O282="","N",IF($F282="žena",CHOOSE(_xlfn.ARABIC($H282),MATCH(O282-1,'[1]Normy VP'!$O$25:$R$25),MATCH(O282-1,'[1]Normy VP'!$O$26:$R$26),MATCH(O282-1,'[1]Normy VP'!$O$27:$R$27),MATCH(O282-1,'[1]Normy VP'!$O$28:$R$28),MATCH(O282-1,'[1]Normy VP'!$O$29:$R$29),MATCH(O282-1,'[1]Normy VP'!$O$30:$R$30)),CHOOSE(_xlfn.ARABIC($H282),MATCH(O282-1,'[1]Normy VP'!$S$10:$V$10),MATCH(O282-1,'[1]Normy VP'!$S$11:$V$11),MATCH(O282-1,'[1]Normy VP'!$S$12:$V$12),MATCH(O282-1,'[1]Normy VP'!$S$13:$V$13),MATCH(O282-1,'[1]Normy VP'!$S$14:$V$14),MATCH(O282-1,'[1]Normy VP'!$S$15:$V$15)))),"O")</f>
        <v>N</v>
      </c>
      <c r="W282" s="34" t="str">
        <f t="shared" si="19"/>
        <v>N</v>
      </c>
      <c r="X282" s="27" t="str">
        <f>IF(COUNTIF(B282:G282,"")&gt;0,"",IF(COUNTIF([1]PP!$A:$A,A282)=0,"neni v PP",IF(OR(Y282="odešel",VLOOKUP(A282,[1]PP!$A:$W,22,FALSE)="odešel"),"odešel",IF(OR(Y282="N",VLOOKUP(A282,[1]PP!$A:$W,22,FALSE)="N"),"N",IF(OR(Y282="C",VLOOKUP(A282,[1]PP!$A:$W,22,FALSE)="C"),"C",IF(OR(Y282="DZO",VLOOKUP(A282,[1]PP!$A:$W,22,FALSE)="DZO"),"DZO",IF(OR(Y282="mise",Y282="disp.",Y282="končí",Y282="DSC",VLOOKUP(A282,[1]PP!$A:$W,22,FALSE)="mise",VLOOKUP(A282,[1]PP!$A:$W,22,FALSE)="disp.",VLOOKUP(A282,[1]PP!$A:$W,22,FALSE)="končí",VLOOKUP(A282,[1]PP!$A:$W,22,FALSE)="DSC"),"jiné",IF(OR(Y282=4,VLOOKUP(A282,[1]PP!$A:$W,22,FALSE)=4),4,IF(OR(Y282=3,VLOOKUP(A282,[1]PP!$A:$W,22,FALSE)=3),3,IF(OR(Y282=2,VLOOKUP(A282,[1]PP!$A:$W,22,FALSE)=2),2,IF(AND(Y282=1,VLOOKUP(A282,[1]PP!$A:$W,22,FALSE)=1),1)))))))))))</f>
        <v/>
      </c>
      <c r="Y282" s="28" t="str">
        <f>IF(COUNTIF(B282:G282,"")&gt;0,"",IF(COUNTIF([1]PP!$A:$A,A282)=0,"neni v PP",IF(VLOOKUP(A282,[1]PP!$A:$W,8,FALSE)="odešel","odešel",IF(F282="","",IF(J282="",IF(OR(T282=4,W282=4),4,IF(AND(T282="N",W282="N"),"N",IF(OR(T282="N",W282="N"),4,ROUND(AVERAGE(T282,W282),0)))),J282)))))</f>
        <v/>
      </c>
      <c r="Z282" s="29" t="str">
        <f>IF(COUNTIF(B282:G282,"")=0,IF(X282="neni v PP",CONCATENATE("ID: &lt;",A282,"&gt; se neshoduje s žádným IDem v kartě PP"),IF(COUNTIF($A:$A,A282)&gt;1,CONCATENATE("ID: &lt;",A282,"&gt; se v kartě VP opakuje. Je nutné tyto IDy od sebe odlišit, např. mezerou za příjmením."),IF(COUNTIF([1]PP!A:A,A282)&gt;1,CONCATENATE("ID: &lt;",A282,"&gt; se v kartě PP opakuje. Je nutné tyto IDy od sebe odlišit, např. mezerou za příjmením."),IF(VLOOKUP(A282,[1]PP!$A:$W,5,FALSE)&lt;&gt;E282,CONCATENATE($E$4," &lt;",E282,"&gt; se neshoduje s jednotkou v kartě PP"," &lt;",VLOOKUP(A282,[1]PP!$A:$W,5,FALSE),"&gt;"),IF(AND(COUNTIF(K282:O282,"")&lt;5,J282="",I282=""),CONCATENATE("Doplň: ",$I$4),IF(AND(YEAR(I282)&lt;&gt;$E$2,COUNTIF(I282,"")=0),CONCATENATE("špatně uveden &lt;",$D$2,"&gt; nebo &lt;",$I$4,"&gt;"),IF(OR(AND(OR(COUNTIF(C282,"*a"),COUNTIF(C282,"*ie"),COUNTIF(C282,"*ine"),COUNTIF(D282,"*Á")),F282="muž"),AND(AND(COUNTIF(C282,"&lt;&gt;"&amp;"*a"),COUNTIF(C282,"&lt;&gt;"&amp;"*ie"),COUNTIF(C282,"&lt;&gt;"&amp;"*ine"),COUNTIF(D282,"&lt;&gt;"&amp;"*Á")),F282="žena")),CONCATENATE(C282," ",D282," je ",F282,"?"),""))))))),IF(COUNTIF(B282:O282,"")=14,"",CONCATENATE("Doplň: ",IF(B282="",CONCATENATE($B$4,IF(COUNTIF(C282:G282,"")=0,"",", ")),""),IF(C282="",CONCATENATE($C$4,IF(COUNTIF(D282:G282,"")=0,"",", ")),""),IF(D282="",CONCATENATE($D$4,IF(COUNTIF(E282:G282,"")=0,"",", ")),""),IF(E282="",CONCATENATE($E$4,IF(COUNTIF(F282:G282,"")=0,"",", ")),""),IF(F282="",CONCATENATE($F$4,IF(G282="",", ","")),""),IF(G282="",$G$4,""))))</f>
        <v/>
      </c>
      <c r="AA282" s="30"/>
    </row>
    <row r="283" spans="1:27" ht="16" x14ac:dyDescent="0.35">
      <c r="A283" s="14" t="str">
        <f t="shared" si="16"/>
        <v xml:space="preserve">  </v>
      </c>
      <c r="B283" s="15"/>
      <c r="C283" s="31"/>
      <c r="D283" s="31"/>
      <c r="E283" s="17"/>
      <c r="F283" s="18"/>
      <c r="G283" s="32"/>
      <c r="H283" s="33" t="str">
        <f>IF(G283="","",IF(F283="žena",ROMAN(MATCH(G283+1,'[1]Normy VP'!$Y$27:$Y$33,-1)),ROMAN(MATCH(G283+1,'[1]Normy VP'!$Y$19:$Y$25,-1))))</f>
        <v/>
      </c>
      <c r="I283" s="21"/>
      <c r="J283" s="22"/>
      <c r="K283" s="23"/>
      <c r="L283" s="23"/>
      <c r="M283" s="23"/>
      <c r="N283" s="22"/>
      <c r="O283" s="22"/>
      <c r="P283" s="24" t="str">
        <f>IF(OR($J283="",$J283="odešel"),IF(K283="","",IF($F283="žena",CHOOSE(_xlfn.ARABIC($H283),MATCH(K283+1,'[1]Normy VP'!$C$25:$F$25,-1),MATCH(K283+1,'[1]Normy VP'!$C$26:$F$26,-1),MATCH(K283+1,'[1]Normy VP'!$C$27:$F$27,-1),MATCH(K283+1,'[1]Normy VP'!$C$28:$F$28,-1),MATCH(K283+1,'[1]Normy VP'!$C$29:$F$29,-1),"muž"),CHOOSE(_xlfn.ARABIC($H283),MATCH(K283+1,'[1]Normy VP'!$C$10:$F$10,-1),MATCH(K283+1,'[1]Normy VP'!$C$11:$F$11,-1),MATCH(K283+1,'[1]Normy VP'!$C$12:$F$12,-1),MATCH(K283+1,'[1]Normy VP'!$C$13:$F$13,-1),MATCH(K283+1,'[1]Normy VP'!$C$14:$F$14,-1),""))),"O")</f>
        <v/>
      </c>
      <c r="Q283" s="24" t="str">
        <f>IF(OR($J283="",$J283="odešel"),IF($F283="žena","",IF(L283="","",(CHOOSE(_xlfn.ARABIC($H283),MATCH(L283+1,'[1]Normy VP'!$G$10:$J$10,-1),MATCH(L283+1,'[1]Normy VP'!$G$11:$J$11,-1),MATCH(L283+1,'[1]Normy VP'!$G$12:$J$12,-1),MATCH(L283+1,'[1]Normy VP'!$G$13:$J$13,-1),MATCH(L283+1,'[1]Normy VP'!$G$14:$J$14,-1),"")))),"O")</f>
        <v/>
      </c>
      <c r="R283" s="34" t="str">
        <f t="shared" si="17"/>
        <v>N</v>
      </c>
      <c r="S283" s="24" t="str">
        <f>IF(OR($J283="",$J283="odešel"),IF(M283="","N",IF($F283="žena",CHOOSE(_xlfn.ARABIC($H283),MATCH(M283+1,'[1]Normy VP'!$G$25:$J$25,-1),MATCH(M283+1,'[1]Normy VP'!$G$26:$J$26,-1),MATCH(M283+1,'[1]Normy VP'!$G$27:$J$27,-1),MATCH(M283+1,'[1]Normy VP'!$G$28:$J$28,-1),MATCH(M283+1,'[1]Normy VP'!$G$29:$J$29,-1),"muž"),(CHOOSE(_xlfn.ARABIC($H283),MATCH(M283+1,'[1]Normy VP'!$K$10:$N$10,-1),MATCH(M283+1,'[1]Normy VP'!$K$11:$N$11,-1),MATCH(M283+1,'[1]Normy VP'!$K$12:$N$12,-1),MATCH(M283+1,'[1]Normy VP'!$K$13:$N$13,-1),MATCH(M283+1,'[1]Normy VP'!$K$14:$N$14,-1),"")))),"O")</f>
        <v>N</v>
      </c>
      <c r="T283" s="34" t="str">
        <f t="shared" si="18"/>
        <v>N</v>
      </c>
      <c r="U283" s="24" t="str">
        <f>IF(OR($J283="",$J283="odešel"),IF(N283="","N",IF($F283="žena",CHOOSE(_xlfn.ARABIC($H283),MATCH(N283+1,'[1]Normy VP'!$K$25:$N$25,-1),MATCH(N283+1,'[1]Normy VP'!$K$26:$N$26,-1),MATCH(N283+1,'[1]Normy VP'!$K$27:$N$27,-1),MATCH(N283+1,'[1]Normy VP'!$K$28:$N$28,-1),MATCH(N283+1,'[1]Normy VP'!$K$29:$N$29,-1),MATCH(N283+1,'[1]Normy VP'!$K$30:$N$30,-1)),CHOOSE(_xlfn.ARABIC($H283),MATCH(N283+1,'[1]Normy VP'!$O$10:$R$10,-1),MATCH(N283+1,'[1]Normy VP'!$O$11:$R$11,-1),MATCH(N283+1,'[1]Normy VP'!$O$12:$R$12,-1),MATCH(N283+1,'[1]Normy VP'!$O$13:$R$13,-1),MATCH(N283+1,'[1]Normy VP'!$O$14:$R$14,-1),MATCH(N283+1,'[1]Normy VP'!$O$15:$R$15,-1)))),"O")</f>
        <v>N</v>
      </c>
      <c r="V283" s="26" t="str">
        <f>IF(OR($J283="",$J283="odešel"),IF(O283="","N",IF($F283="žena",CHOOSE(_xlfn.ARABIC($H283),MATCH(O283-1,'[1]Normy VP'!$O$25:$R$25),MATCH(O283-1,'[1]Normy VP'!$O$26:$R$26),MATCH(O283-1,'[1]Normy VP'!$O$27:$R$27),MATCH(O283-1,'[1]Normy VP'!$O$28:$R$28),MATCH(O283-1,'[1]Normy VP'!$O$29:$R$29),MATCH(O283-1,'[1]Normy VP'!$O$30:$R$30)),CHOOSE(_xlfn.ARABIC($H283),MATCH(O283-1,'[1]Normy VP'!$S$10:$V$10),MATCH(O283-1,'[1]Normy VP'!$S$11:$V$11),MATCH(O283-1,'[1]Normy VP'!$S$12:$V$12),MATCH(O283-1,'[1]Normy VP'!$S$13:$V$13),MATCH(O283-1,'[1]Normy VP'!$S$14:$V$14),MATCH(O283-1,'[1]Normy VP'!$S$15:$V$15)))),"O")</f>
        <v>N</v>
      </c>
      <c r="W283" s="34" t="str">
        <f t="shared" si="19"/>
        <v>N</v>
      </c>
      <c r="X283" s="27" t="str">
        <f>IF(COUNTIF(B283:G283,"")&gt;0,"",IF(COUNTIF([1]PP!$A:$A,A283)=0,"neni v PP",IF(OR(Y283="odešel",VLOOKUP(A283,[1]PP!$A:$W,22,FALSE)="odešel"),"odešel",IF(OR(Y283="N",VLOOKUP(A283,[1]PP!$A:$W,22,FALSE)="N"),"N",IF(OR(Y283="C",VLOOKUP(A283,[1]PP!$A:$W,22,FALSE)="C"),"C",IF(OR(Y283="DZO",VLOOKUP(A283,[1]PP!$A:$W,22,FALSE)="DZO"),"DZO",IF(OR(Y283="mise",Y283="disp.",Y283="končí",Y283="DSC",VLOOKUP(A283,[1]PP!$A:$W,22,FALSE)="mise",VLOOKUP(A283,[1]PP!$A:$W,22,FALSE)="disp.",VLOOKUP(A283,[1]PP!$A:$W,22,FALSE)="končí",VLOOKUP(A283,[1]PP!$A:$W,22,FALSE)="DSC"),"jiné",IF(OR(Y283=4,VLOOKUP(A283,[1]PP!$A:$W,22,FALSE)=4),4,IF(OR(Y283=3,VLOOKUP(A283,[1]PP!$A:$W,22,FALSE)=3),3,IF(OR(Y283=2,VLOOKUP(A283,[1]PP!$A:$W,22,FALSE)=2),2,IF(AND(Y283=1,VLOOKUP(A283,[1]PP!$A:$W,22,FALSE)=1),1)))))))))))</f>
        <v/>
      </c>
      <c r="Y283" s="28" t="str">
        <f>IF(COUNTIF(B283:G283,"")&gt;0,"",IF(COUNTIF([1]PP!$A:$A,A283)=0,"neni v PP",IF(VLOOKUP(A283,[1]PP!$A:$W,8,FALSE)="odešel","odešel",IF(F283="","",IF(J283="",IF(OR(T283=4,W283=4),4,IF(AND(T283="N",W283="N"),"N",IF(OR(T283="N",W283="N"),4,ROUND(AVERAGE(T283,W283),0)))),J283)))))</f>
        <v/>
      </c>
      <c r="Z283" s="29" t="str">
        <f>IF(COUNTIF(B283:G283,"")=0,IF(X283="neni v PP",CONCATENATE("ID: &lt;",A283,"&gt; se neshoduje s žádným IDem v kartě PP"),IF(COUNTIF($A:$A,A283)&gt;1,CONCATENATE("ID: &lt;",A283,"&gt; se v kartě VP opakuje. Je nutné tyto IDy od sebe odlišit, např. mezerou za příjmením."),IF(COUNTIF([1]PP!A:A,A283)&gt;1,CONCATENATE("ID: &lt;",A283,"&gt; se v kartě PP opakuje. Je nutné tyto IDy od sebe odlišit, např. mezerou za příjmením."),IF(VLOOKUP(A283,[1]PP!$A:$W,5,FALSE)&lt;&gt;E283,CONCATENATE($E$4," &lt;",E283,"&gt; se neshoduje s jednotkou v kartě PP"," &lt;",VLOOKUP(A283,[1]PP!$A:$W,5,FALSE),"&gt;"),IF(AND(COUNTIF(K283:O283,"")&lt;5,J283="",I283=""),CONCATENATE("Doplň: ",$I$4),IF(AND(YEAR(I283)&lt;&gt;$E$2,COUNTIF(I283,"")=0),CONCATENATE("špatně uveden &lt;",$D$2,"&gt; nebo &lt;",$I$4,"&gt;"),IF(OR(AND(OR(COUNTIF(C283,"*a"),COUNTIF(C283,"*ie"),COUNTIF(C283,"*ine"),COUNTIF(D283,"*Á")),F283="muž"),AND(AND(COUNTIF(C283,"&lt;&gt;"&amp;"*a"),COUNTIF(C283,"&lt;&gt;"&amp;"*ie"),COUNTIF(C283,"&lt;&gt;"&amp;"*ine"),COUNTIF(D283,"&lt;&gt;"&amp;"*Á")),F283="žena")),CONCATENATE(C283," ",D283," je ",F283,"?"),""))))))),IF(COUNTIF(B283:O283,"")=14,"",CONCATENATE("Doplň: ",IF(B283="",CONCATENATE($B$4,IF(COUNTIF(C283:G283,"")=0,"",", ")),""),IF(C283="",CONCATENATE($C$4,IF(COUNTIF(D283:G283,"")=0,"",", ")),""),IF(D283="",CONCATENATE($D$4,IF(COUNTIF(E283:G283,"")=0,"",", ")),""),IF(E283="",CONCATENATE($E$4,IF(COUNTIF(F283:G283,"")=0,"",", ")),""),IF(F283="",CONCATENATE($F$4,IF(G283="",", ","")),""),IF(G283="",$G$4,""))))</f>
        <v/>
      </c>
      <c r="AA283" s="30"/>
    </row>
    <row r="284" spans="1:27" ht="16" x14ac:dyDescent="0.35">
      <c r="A284" s="14" t="str">
        <f t="shared" si="16"/>
        <v xml:space="preserve">  </v>
      </c>
      <c r="B284" s="15"/>
      <c r="C284" s="31"/>
      <c r="D284" s="31"/>
      <c r="E284" s="17"/>
      <c r="F284" s="18"/>
      <c r="G284" s="32"/>
      <c r="H284" s="33" t="str">
        <f>IF(G284="","",IF(F284="žena",ROMAN(MATCH(G284+1,'[1]Normy VP'!$Y$27:$Y$33,-1)),ROMAN(MATCH(G284+1,'[1]Normy VP'!$Y$19:$Y$25,-1))))</f>
        <v/>
      </c>
      <c r="I284" s="21"/>
      <c r="J284" s="22"/>
      <c r="K284" s="23"/>
      <c r="L284" s="23"/>
      <c r="M284" s="23"/>
      <c r="N284" s="22"/>
      <c r="O284" s="22"/>
      <c r="P284" s="24" t="str">
        <f>IF(OR($J284="",$J284="odešel"),IF(K284="","",IF($F284="žena",CHOOSE(_xlfn.ARABIC($H284),MATCH(K284+1,'[1]Normy VP'!$C$25:$F$25,-1),MATCH(K284+1,'[1]Normy VP'!$C$26:$F$26,-1),MATCH(K284+1,'[1]Normy VP'!$C$27:$F$27,-1),MATCH(K284+1,'[1]Normy VP'!$C$28:$F$28,-1),MATCH(K284+1,'[1]Normy VP'!$C$29:$F$29,-1),"muž"),CHOOSE(_xlfn.ARABIC($H284),MATCH(K284+1,'[1]Normy VP'!$C$10:$F$10,-1),MATCH(K284+1,'[1]Normy VP'!$C$11:$F$11,-1),MATCH(K284+1,'[1]Normy VP'!$C$12:$F$12,-1),MATCH(K284+1,'[1]Normy VP'!$C$13:$F$13,-1),MATCH(K284+1,'[1]Normy VP'!$C$14:$F$14,-1),""))),"O")</f>
        <v/>
      </c>
      <c r="Q284" s="24" t="str">
        <f>IF(OR($J284="",$J284="odešel"),IF($F284="žena","",IF(L284="","",(CHOOSE(_xlfn.ARABIC($H284),MATCH(L284+1,'[1]Normy VP'!$G$10:$J$10,-1),MATCH(L284+1,'[1]Normy VP'!$G$11:$J$11,-1),MATCH(L284+1,'[1]Normy VP'!$G$12:$J$12,-1),MATCH(L284+1,'[1]Normy VP'!$G$13:$J$13,-1),MATCH(L284+1,'[1]Normy VP'!$G$14:$J$14,-1),"")))),"O")</f>
        <v/>
      </c>
      <c r="R284" s="34" t="str">
        <f t="shared" si="17"/>
        <v>N</v>
      </c>
      <c r="S284" s="24" t="str">
        <f>IF(OR($J284="",$J284="odešel"),IF(M284="","N",IF($F284="žena",CHOOSE(_xlfn.ARABIC($H284),MATCH(M284+1,'[1]Normy VP'!$G$25:$J$25,-1),MATCH(M284+1,'[1]Normy VP'!$G$26:$J$26,-1),MATCH(M284+1,'[1]Normy VP'!$G$27:$J$27,-1),MATCH(M284+1,'[1]Normy VP'!$G$28:$J$28,-1),MATCH(M284+1,'[1]Normy VP'!$G$29:$J$29,-1),"muž"),(CHOOSE(_xlfn.ARABIC($H284),MATCH(M284+1,'[1]Normy VP'!$K$10:$N$10,-1),MATCH(M284+1,'[1]Normy VP'!$K$11:$N$11,-1),MATCH(M284+1,'[1]Normy VP'!$K$12:$N$12,-1),MATCH(M284+1,'[1]Normy VP'!$K$13:$N$13,-1),MATCH(M284+1,'[1]Normy VP'!$K$14:$N$14,-1),"")))),"O")</f>
        <v>N</v>
      </c>
      <c r="T284" s="34" t="str">
        <f t="shared" si="18"/>
        <v>N</v>
      </c>
      <c r="U284" s="24" t="str">
        <f>IF(OR($J284="",$J284="odešel"),IF(N284="","N",IF($F284="žena",CHOOSE(_xlfn.ARABIC($H284),MATCH(N284+1,'[1]Normy VP'!$K$25:$N$25,-1),MATCH(N284+1,'[1]Normy VP'!$K$26:$N$26,-1),MATCH(N284+1,'[1]Normy VP'!$K$27:$N$27,-1),MATCH(N284+1,'[1]Normy VP'!$K$28:$N$28,-1),MATCH(N284+1,'[1]Normy VP'!$K$29:$N$29,-1),MATCH(N284+1,'[1]Normy VP'!$K$30:$N$30,-1)),CHOOSE(_xlfn.ARABIC($H284),MATCH(N284+1,'[1]Normy VP'!$O$10:$R$10,-1),MATCH(N284+1,'[1]Normy VP'!$O$11:$R$11,-1),MATCH(N284+1,'[1]Normy VP'!$O$12:$R$12,-1),MATCH(N284+1,'[1]Normy VP'!$O$13:$R$13,-1),MATCH(N284+1,'[1]Normy VP'!$O$14:$R$14,-1),MATCH(N284+1,'[1]Normy VP'!$O$15:$R$15,-1)))),"O")</f>
        <v>N</v>
      </c>
      <c r="V284" s="26" t="str">
        <f>IF(OR($J284="",$J284="odešel"),IF(O284="","N",IF($F284="žena",CHOOSE(_xlfn.ARABIC($H284),MATCH(O284-1,'[1]Normy VP'!$O$25:$R$25),MATCH(O284-1,'[1]Normy VP'!$O$26:$R$26),MATCH(O284-1,'[1]Normy VP'!$O$27:$R$27),MATCH(O284-1,'[1]Normy VP'!$O$28:$R$28),MATCH(O284-1,'[1]Normy VP'!$O$29:$R$29),MATCH(O284-1,'[1]Normy VP'!$O$30:$R$30)),CHOOSE(_xlfn.ARABIC($H284),MATCH(O284-1,'[1]Normy VP'!$S$10:$V$10),MATCH(O284-1,'[1]Normy VP'!$S$11:$V$11),MATCH(O284-1,'[1]Normy VP'!$S$12:$V$12),MATCH(O284-1,'[1]Normy VP'!$S$13:$V$13),MATCH(O284-1,'[1]Normy VP'!$S$14:$V$14),MATCH(O284-1,'[1]Normy VP'!$S$15:$V$15)))),"O")</f>
        <v>N</v>
      </c>
      <c r="W284" s="34" t="str">
        <f t="shared" si="19"/>
        <v>N</v>
      </c>
      <c r="X284" s="27" t="str">
        <f>IF(COUNTIF(B284:G284,"")&gt;0,"",IF(COUNTIF([1]PP!$A:$A,A284)=0,"neni v PP",IF(OR(Y284="odešel",VLOOKUP(A284,[1]PP!$A:$W,22,FALSE)="odešel"),"odešel",IF(OR(Y284="N",VLOOKUP(A284,[1]PP!$A:$W,22,FALSE)="N"),"N",IF(OR(Y284="C",VLOOKUP(A284,[1]PP!$A:$W,22,FALSE)="C"),"C",IF(OR(Y284="DZO",VLOOKUP(A284,[1]PP!$A:$W,22,FALSE)="DZO"),"DZO",IF(OR(Y284="mise",Y284="disp.",Y284="končí",Y284="DSC",VLOOKUP(A284,[1]PP!$A:$W,22,FALSE)="mise",VLOOKUP(A284,[1]PP!$A:$W,22,FALSE)="disp.",VLOOKUP(A284,[1]PP!$A:$W,22,FALSE)="končí",VLOOKUP(A284,[1]PP!$A:$W,22,FALSE)="DSC"),"jiné",IF(OR(Y284=4,VLOOKUP(A284,[1]PP!$A:$W,22,FALSE)=4),4,IF(OR(Y284=3,VLOOKUP(A284,[1]PP!$A:$W,22,FALSE)=3),3,IF(OR(Y284=2,VLOOKUP(A284,[1]PP!$A:$W,22,FALSE)=2),2,IF(AND(Y284=1,VLOOKUP(A284,[1]PP!$A:$W,22,FALSE)=1),1)))))))))))</f>
        <v/>
      </c>
      <c r="Y284" s="28" t="str">
        <f>IF(COUNTIF(B284:G284,"")&gt;0,"",IF(COUNTIF([1]PP!$A:$A,A284)=0,"neni v PP",IF(VLOOKUP(A284,[1]PP!$A:$W,8,FALSE)="odešel","odešel",IF(F284="","",IF(J284="",IF(OR(T284=4,W284=4),4,IF(AND(T284="N",W284="N"),"N",IF(OR(T284="N",W284="N"),4,ROUND(AVERAGE(T284,W284),0)))),J284)))))</f>
        <v/>
      </c>
      <c r="Z284" s="29" t="str">
        <f>IF(COUNTIF(B284:G284,"")=0,IF(X284="neni v PP",CONCATENATE("ID: &lt;",A284,"&gt; se neshoduje s žádným IDem v kartě PP"),IF(COUNTIF($A:$A,A284)&gt;1,CONCATENATE("ID: &lt;",A284,"&gt; se v kartě VP opakuje. Je nutné tyto IDy od sebe odlišit, např. mezerou za příjmením."),IF(COUNTIF([1]PP!A:A,A284)&gt;1,CONCATENATE("ID: &lt;",A284,"&gt; se v kartě PP opakuje. Je nutné tyto IDy od sebe odlišit, např. mezerou za příjmením."),IF(VLOOKUP(A284,[1]PP!$A:$W,5,FALSE)&lt;&gt;E284,CONCATENATE($E$4," &lt;",E284,"&gt; se neshoduje s jednotkou v kartě PP"," &lt;",VLOOKUP(A284,[1]PP!$A:$W,5,FALSE),"&gt;"),IF(AND(COUNTIF(K284:O284,"")&lt;5,J284="",I284=""),CONCATENATE("Doplň: ",$I$4),IF(AND(YEAR(I284)&lt;&gt;$E$2,COUNTIF(I284,"")=0),CONCATENATE("špatně uveden &lt;",$D$2,"&gt; nebo &lt;",$I$4,"&gt;"),IF(OR(AND(OR(COUNTIF(C284,"*a"),COUNTIF(C284,"*ie"),COUNTIF(C284,"*ine"),COUNTIF(D284,"*Á")),F284="muž"),AND(AND(COUNTIF(C284,"&lt;&gt;"&amp;"*a"),COUNTIF(C284,"&lt;&gt;"&amp;"*ie"),COUNTIF(C284,"&lt;&gt;"&amp;"*ine"),COUNTIF(D284,"&lt;&gt;"&amp;"*Á")),F284="žena")),CONCATENATE(C284," ",D284," je ",F284,"?"),""))))))),IF(COUNTIF(B284:O284,"")=14,"",CONCATENATE("Doplň: ",IF(B284="",CONCATENATE($B$4,IF(COUNTIF(C284:G284,"")=0,"",", ")),""),IF(C284="",CONCATENATE($C$4,IF(COUNTIF(D284:G284,"")=0,"",", ")),""),IF(D284="",CONCATENATE($D$4,IF(COUNTIF(E284:G284,"")=0,"",", ")),""),IF(E284="",CONCATENATE($E$4,IF(COUNTIF(F284:G284,"")=0,"",", ")),""),IF(F284="",CONCATENATE($F$4,IF(G284="",", ","")),""),IF(G284="",$G$4,""))))</f>
        <v/>
      </c>
      <c r="AA284" s="30"/>
    </row>
    <row r="285" spans="1:27" ht="16" x14ac:dyDescent="0.35">
      <c r="A285" s="14" t="str">
        <f t="shared" si="16"/>
        <v xml:space="preserve">  </v>
      </c>
      <c r="B285" s="15"/>
      <c r="C285" s="31"/>
      <c r="D285" s="31"/>
      <c r="E285" s="17"/>
      <c r="F285" s="18"/>
      <c r="G285" s="32"/>
      <c r="H285" s="33" t="str">
        <f>IF(G285="","",IF(F285="žena",ROMAN(MATCH(G285+1,'[1]Normy VP'!$Y$27:$Y$33,-1)),ROMAN(MATCH(G285+1,'[1]Normy VP'!$Y$19:$Y$25,-1))))</f>
        <v/>
      </c>
      <c r="I285" s="21"/>
      <c r="J285" s="22"/>
      <c r="K285" s="23"/>
      <c r="L285" s="23"/>
      <c r="M285" s="23"/>
      <c r="N285" s="22"/>
      <c r="O285" s="22"/>
      <c r="P285" s="24" t="str">
        <f>IF(OR($J285="",$J285="odešel"),IF(K285="","",IF($F285="žena",CHOOSE(_xlfn.ARABIC($H285),MATCH(K285+1,'[1]Normy VP'!$C$25:$F$25,-1),MATCH(K285+1,'[1]Normy VP'!$C$26:$F$26,-1),MATCH(K285+1,'[1]Normy VP'!$C$27:$F$27,-1),MATCH(K285+1,'[1]Normy VP'!$C$28:$F$28,-1),MATCH(K285+1,'[1]Normy VP'!$C$29:$F$29,-1),"muž"),CHOOSE(_xlfn.ARABIC($H285),MATCH(K285+1,'[1]Normy VP'!$C$10:$F$10,-1),MATCH(K285+1,'[1]Normy VP'!$C$11:$F$11,-1),MATCH(K285+1,'[1]Normy VP'!$C$12:$F$12,-1),MATCH(K285+1,'[1]Normy VP'!$C$13:$F$13,-1),MATCH(K285+1,'[1]Normy VP'!$C$14:$F$14,-1),""))),"O")</f>
        <v/>
      </c>
      <c r="Q285" s="24" t="str">
        <f>IF(OR($J285="",$J285="odešel"),IF($F285="žena","",IF(L285="","",(CHOOSE(_xlfn.ARABIC($H285),MATCH(L285+1,'[1]Normy VP'!$G$10:$J$10,-1),MATCH(L285+1,'[1]Normy VP'!$G$11:$J$11,-1),MATCH(L285+1,'[1]Normy VP'!$G$12:$J$12,-1),MATCH(L285+1,'[1]Normy VP'!$G$13:$J$13,-1),MATCH(L285+1,'[1]Normy VP'!$G$14:$J$14,-1),"")))),"O")</f>
        <v/>
      </c>
      <c r="R285" s="34" t="str">
        <f t="shared" si="17"/>
        <v>N</v>
      </c>
      <c r="S285" s="24" t="str">
        <f>IF(OR($J285="",$J285="odešel"),IF(M285="","N",IF($F285="žena",CHOOSE(_xlfn.ARABIC($H285),MATCH(M285+1,'[1]Normy VP'!$G$25:$J$25,-1),MATCH(M285+1,'[1]Normy VP'!$G$26:$J$26,-1),MATCH(M285+1,'[1]Normy VP'!$G$27:$J$27,-1),MATCH(M285+1,'[1]Normy VP'!$G$28:$J$28,-1),MATCH(M285+1,'[1]Normy VP'!$G$29:$J$29,-1),"muž"),(CHOOSE(_xlfn.ARABIC($H285),MATCH(M285+1,'[1]Normy VP'!$K$10:$N$10,-1),MATCH(M285+1,'[1]Normy VP'!$K$11:$N$11,-1),MATCH(M285+1,'[1]Normy VP'!$K$12:$N$12,-1),MATCH(M285+1,'[1]Normy VP'!$K$13:$N$13,-1),MATCH(M285+1,'[1]Normy VP'!$K$14:$N$14,-1),"")))),"O")</f>
        <v>N</v>
      </c>
      <c r="T285" s="34" t="str">
        <f t="shared" si="18"/>
        <v>N</v>
      </c>
      <c r="U285" s="24" t="str">
        <f>IF(OR($J285="",$J285="odešel"),IF(N285="","N",IF($F285="žena",CHOOSE(_xlfn.ARABIC($H285),MATCH(N285+1,'[1]Normy VP'!$K$25:$N$25,-1),MATCH(N285+1,'[1]Normy VP'!$K$26:$N$26,-1),MATCH(N285+1,'[1]Normy VP'!$K$27:$N$27,-1),MATCH(N285+1,'[1]Normy VP'!$K$28:$N$28,-1),MATCH(N285+1,'[1]Normy VP'!$K$29:$N$29,-1),MATCH(N285+1,'[1]Normy VP'!$K$30:$N$30,-1)),CHOOSE(_xlfn.ARABIC($H285),MATCH(N285+1,'[1]Normy VP'!$O$10:$R$10,-1),MATCH(N285+1,'[1]Normy VP'!$O$11:$R$11,-1),MATCH(N285+1,'[1]Normy VP'!$O$12:$R$12,-1),MATCH(N285+1,'[1]Normy VP'!$O$13:$R$13,-1),MATCH(N285+1,'[1]Normy VP'!$O$14:$R$14,-1),MATCH(N285+1,'[1]Normy VP'!$O$15:$R$15,-1)))),"O")</f>
        <v>N</v>
      </c>
      <c r="V285" s="26" t="str">
        <f>IF(OR($J285="",$J285="odešel"),IF(O285="","N",IF($F285="žena",CHOOSE(_xlfn.ARABIC($H285),MATCH(O285-1,'[1]Normy VP'!$O$25:$R$25),MATCH(O285-1,'[1]Normy VP'!$O$26:$R$26),MATCH(O285-1,'[1]Normy VP'!$O$27:$R$27),MATCH(O285-1,'[1]Normy VP'!$O$28:$R$28),MATCH(O285-1,'[1]Normy VP'!$O$29:$R$29),MATCH(O285-1,'[1]Normy VP'!$O$30:$R$30)),CHOOSE(_xlfn.ARABIC($H285),MATCH(O285-1,'[1]Normy VP'!$S$10:$V$10),MATCH(O285-1,'[1]Normy VP'!$S$11:$V$11),MATCH(O285-1,'[1]Normy VP'!$S$12:$V$12),MATCH(O285-1,'[1]Normy VP'!$S$13:$V$13),MATCH(O285-1,'[1]Normy VP'!$S$14:$V$14),MATCH(O285-1,'[1]Normy VP'!$S$15:$V$15)))),"O")</f>
        <v>N</v>
      </c>
      <c r="W285" s="34" t="str">
        <f t="shared" si="19"/>
        <v>N</v>
      </c>
      <c r="X285" s="27" t="str">
        <f>IF(COUNTIF(B285:G285,"")&gt;0,"",IF(COUNTIF([1]PP!$A:$A,A285)=0,"neni v PP",IF(OR(Y285="odešel",VLOOKUP(A285,[1]PP!$A:$W,22,FALSE)="odešel"),"odešel",IF(OR(Y285="N",VLOOKUP(A285,[1]PP!$A:$W,22,FALSE)="N"),"N",IF(OR(Y285="C",VLOOKUP(A285,[1]PP!$A:$W,22,FALSE)="C"),"C",IF(OR(Y285="DZO",VLOOKUP(A285,[1]PP!$A:$W,22,FALSE)="DZO"),"DZO",IF(OR(Y285="mise",Y285="disp.",Y285="končí",Y285="DSC",VLOOKUP(A285,[1]PP!$A:$W,22,FALSE)="mise",VLOOKUP(A285,[1]PP!$A:$W,22,FALSE)="disp.",VLOOKUP(A285,[1]PP!$A:$W,22,FALSE)="končí",VLOOKUP(A285,[1]PP!$A:$W,22,FALSE)="DSC"),"jiné",IF(OR(Y285=4,VLOOKUP(A285,[1]PP!$A:$W,22,FALSE)=4),4,IF(OR(Y285=3,VLOOKUP(A285,[1]PP!$A:$W,22,FALSE)=3),3,IF(OR(Y285=2,VLOOKUP(A285,[1]PP!$A:$W,22,FALSE)=2),2,IF(AND(Y285=1,VLOOKUP(A285,[1]PP!$A:$W,22,FALSE)=1),1)))))))))))</f>
        <v/>
      </c>
      <c r="Y285" s="28" t="str">
        <f>IF(COUNTIF(B285:G285,"")&gt;0,"",IF(COUNTIF([1]PP!$A:$A,A285)=0,"neni v PP",IF(VLOOKUP(A285,[1]PP!$A:$W,8,FALSE)="odešel","odešel",IF(F285="","",IF(J285="",IF(OR(T285=4,W285=4),4,IF(AND(T285="N",W285="N"),"N",IF(OR(T285="N",W285="N"),4,ROUND(AVERAGE(T285,W285),0)))),J285)))))</f>
        <v/>
      </c>
      <c r="Z285" s="29" t="str">
        <f>IF(COUNTIF(B285:G285,"")=0,IF(X285="neni v PP",CONCATENATE("ID: &lt;",A285,"&gt; se neshoduje s žádným IDem v kartě PP"),IF(COUNTIF($A:$A,A285)&gt;1,CONCATENATE("ID: &lt;",A285,"&gt; se v kartě VP opakuje. Je nutné tyto IDy od sebe odlišit, např. mezerou za příjmením."),IF(COUNTIF([1]PP!A:A,A285)&gt;1,CONCATENATE("ID: &lt;",A285,"&gt; se v kartě PP opakuje. Je nutné tyto IDy od sebe odlišit, např. mezerou za příjmením."),IF(VLOOKUP(A285,[1]PP!$A:$W,5,FALSE)&lt;&gt;E285,CONCATENATE($E$4," &lt;",E285,"&gt; se neshoduje s jednotkou v kartě PP"," &lt;",VLOOKUP(A285,[1]PP!$A:$W,5,FALSE),"&gt;"),IF(AND(COUNTIF(K285:O285,"")&lt;5,J285="",I285=""),CONCATENATE("Doplň: ",$I$4),IF(AND(YEAR(I285)&lt;&gt;$E$2,COUNTIF(I285,"")=0),CONCATENATE("špatně uveden &lt;",$D$2,"&gt; nebo &lt;",$I$4,"&gt;"),IF(OR(AND(OR(COUNTIF(C285,"*a"),COUNTIF(C285,"*ie"),COUNTIF(C285,"*ine"),COUNTIF(D285,"*Á")),F285="muž"),AND(AND(COUNTIF(C285,"&lt;&gt;"&amp;"*a"),COUNTIF(C285,"&lt;&gt;"&amp;"*ie"),COUNTIF(C285,"&lt;&gt;"&amp;"*ine"),COUNTIF(D285,"&lt;&gt;"&amp;"*Á")),F285="žena")),CONCATENATE(C285," ",D285," je ",F285,"?"),""))))))),IF(COUNTIF(B285:O285,"")=14,"",CONCATENATE("Doplň: ",IF(B285="",CONCATENATE($B$4,IF(COUNTIF(C285:G285,"")=0,"",", ")),""),IF(C285="",CONCATENATE($C$4,IF(COUNTIF(D285:G285,"")=0,"",", ")),""),IF(D285="",CONCATENATE($D$4,IF(COUNTIF(E285:G285,"")=0,"",", ")),""),IF(E285="",CONCATENATE($E$4,IF(COUNTIF(F285:G285,"")=0,"",", ")),""),IF(F285="",CONCATENATE($F$4,IF(G285="",", ","")),""),IF(G285="",$G$4,""))))</f>
        <v/>
      </c>
      <c r="AA285" s="30"/>
    </row>
    <row r="286" spans="1:27" ht="16" x14ac:dyDescent="0.35">
      <c r="A286" s="14" t="str">
        <f t="shared" si="16"/>
        <v xml:space="preserve">  </v>
      </c>
      <c r="B286" s="15"/>
      <c r="C286" s="31"/>
      <c r="D286" s="31"/>
      <c r="E286" s="17"/>
      <c r="F286" s="18"/>
      <c r="G286" s="32"/>
      <c r="H286" s="33" t="str">
        <f>IF(G286="","",IF(F286="žena",ROMAN(MATCH(G286+1,'[1]Normy VP'!$Y$27:$Y$33,-1)),ROMAN(MATCH(G286+1,'[1]Normy VP'!$Y$19:$Y$25,-1))))</f>
        <v/>
      </c>
      <c r="I286" s="21"/>
      <c r="J286" s="22"/>
      <c r="K286" s="23"/>
      <c r="L286" s="23"/>
      <c r="M286" s="23"/>
      <c r="N286" s="22"/>
      <c r="O286" s="22"/>
      <c r="P286" s="24" t="str">
        <f>IF(OR($J286="",$J286="odešel"),IF(K286="","",IF($F286="žena",CHOOSE(_xlfn.ARABIC($H286),MATCH(K286+1,'[1]Normy VP'!$C$25:$F$25,-1),MATCH(K286+1,'[1]Normy VP'!$C$26:$F$26,-1),MATCH(K286+1,'[1]Normy VP'!$C$27:$F$27,-1),MATCH(K286+1,'[1]Normy VP'!$C$28:$F$28,-1),MATCH(K286+1,'[1]Normy VP'!$C$29:$F$29,-1),"muž"),CHOOSE(_xlfn.ARABIC($H286),MATCH(K286+1,'[1]Normy VP'!$C$10:$F$10,-1),MATCH(K286+1,'[1]Normy VP'!$C$11:$F$11,-1),MATCH(K286+1,'[1]Normy VP'!$C$12:$F$12,-1),MATCH(K286+1,'[1]Normy VP'!$C$13:$F$13,-1),MATCH(K286+1,'[1]Normy VP'!$C$14:$F$14,-1),""))),"O")</f>
        <v/>
      </c>
      <c r="Q286" s="24" t="str">
        <f>IF(OR($J286="",$J286="odešel"),IF($F286="žena","",IF(L286="","",(CHOOSE(_xlfn.ARABIC($H286),MATCH(L286+1,'[1]Normy VP'!$G$10:$J$10,-1),MATCH(L286+1,'[1]Normy VP'!$G$11:$J$11,-1),MATCH(L286+1,'[1]Normy VP'!$G$12:$J$12,-1),MATCH(L286+1,'[1]Normy VP'!$G$13:$J$13,-1),MATCH(L286+1,'[1]Normy VP'!$G$14:$J$14,-1),"")))),"O")</f>
        <v/>
      </c>
      <c r="R286" s="34" t="str">
        <f t="shared" si="17"/>
        <v>N</v>
      </c>
      <c r="S286" s="24" t="str">
        <f>IF(OR($J286="",$J286="odešel"),IF(M286="","N",IF($F286="žena",CHOOSE(_xlfn.ARABIC($H286),MATCH(M286+1,'[1]Normy VP'!$G$25:$J$25,-1),MATCH(M286+1,'[1]Normy VP'!$G$26:$J$26,-1),MATCH(M286+1,'[1]Normy VP'!$G$27:$J$27,-1),MATCH(M286+1,'[1]Normy VP'!$G$28:$J$28,-1),MATCH(M286+1,'[1]Normy VP'!$G$29:$J$29,-1),"muž"),(CHOOSE(_xlfn.ARABIC($H286),MATCH(M286+1,'[1]Normy VP'!$K$10:$N$10,-1),MATCH(M286+1,'[1]Normy VP'!$K$11:$N$11,-1),MATCH(M286+1,'[1]Normy VP'!$K$12:$N$12,-1),MATCH(M286+1,'[1]Normy VP'!$K$13:$N$13,-1),MATCH(M286+1,'[1]Normy VP'!$K$14:$N$14,-1),"")))),"O")</f>
        <v>N</v>
      </c>
      <c r="T286" s="34" t="str">
        <f t="shared" si="18"/>
        <v>N</v>
      </c>
      <c r="U286" s="24" t="str">
        <f>IF(OR($J286="",$J286="odešel"),IF(N286="","N",IF($F286="žena",CHOOSE(_xlfn.ARABIC($H286),MATCH(N286+1,'[1]Normy VP'!$K$25:$N$25,-1),MATCH(N286+1,'[1]Normy VP'!$K$26:$N$26,-1),MATCH(N286+1,'[1]Normy VP'!$K$27:$N$27,-1),MATCH(N286+1,'[1]Normy VP'!$K$28:$N$28,-1),MATCH(N286+1,'[1]Normy VP'!$K$29:$N$29,-1),MATCH(N286+1,'[1]Normy VP'!$K$30:$N$30,-1)),CHOOSE(_xlfn.ARABIC($H286),MATCH(N286+1,'[1]Normy VP'!$O$10:$R$10,-1),MATCH(N286+1,'[1]Normy VP'!$O$11:$R$11,-1),MATCH(N286+1,'[1]Normy VP'!$O$12:$R$12,-1),MATCH(N286+1,'[1]Normy VP'!$O$13:$R$13,-1),MATCH(N286+1,'[1]Normy VP'!$O$14:$R$14,-1),MATCH(N286+1,'[1]Normy VP'!$O$15:$R$15,-1)))),"O")</f>
        <v>N</v>
      </c>
      <c r="V286" s="26" t="str">
        <f>IF(OR($J286="",$J286="odešel"),IF(O286="","N",IF($F286="žena",CHOOSE(_xlfn.ARABIC($H286),MATCH(O286-1,'[1]Normy VP'!$O$25:$R$25),MATCH(O286-1,'[1]Normy VP'!$O$26:$R$26),MATCH(O286-1,'[1]Normy VP'!$O$27:$R$27),MATCH(O286-1,'[1]Normy VP'!$O$28:$R$28),MATCH(O286-1,'[1]Normy VP'!$O$29:$R$29),MATCH(O286-1,'[1]Normy VP'!$O$30:$R$30)),CHOOSE(_xlfn.ARABIC($H286),MATCH(O286-1,'[1]Normy VP'!$S$10:$V$10),MATCH(O286-1,'[1]Normy VP'!$S$11:$V$11),MATCH(O286-1,'[1]Normy VP'!$S$12:$V$12),MATCH(O286-1,'[1]Normy VP'!$S$13:$V$13),MATCH(O286-1,'[1]Normy VP'!$S$14:$V$14),MATCH(O286-1,'[1]Normy VP'!$S$15:$V$15)))),"O")</f>
        <v>N</v>
      </c>
      <c r="W286" s="34" t="str">
        <f t="shared" si="19"/>
        <v>N</v>
      </c>
      <c r="X286" s="27" t="str">
        <f>IF(COUNTIF(B286:G286,"")&gt;0,"",IF(COUNTIF([1]PP!$A:$A,A286)=0,"neni v PP",IF(OR(Y286="odešel",VLOOKUP(A286,[1]PP!$A:$W,22,FALSE)="odešel"),"odešel",IF(OR(Y286="N",VLOOKUP(A286,[1]PP!$A:$W,22,FALSE)="N"),"N",IF(OR(Y286="C",VLOOKUP(A286,[1]PP!$A:$W,22,FALSE)="C"),"C",IF(OR(Y286="DZO",VLOOKUP(A286,[1]PP!$A:$W,22,FALSE)="DZO"),"DZO",IF(OR(Y286="mise",Y286="disp.",Y286="končí",Y286="DSC",VLOOKUP(A286,[1]PP!$A:$W,22,FALSE)="mise",VLOOKUP(A286,[1]PP!$A:$W,22,FALSE)="disp.",VLOOKUP(A286,[1]PP!$A:$W,22,FALSE)="končí",VLOOKUP(A286,[1]PP!$A:$W,22,FALSE)="DSC"),"jiné",IF(OR(Y286=4,VLOOKUP(A286,[1]PP!$A:$W,22,FALSE)=4),4,IF(OR(Y286=3,VLOOKUP(A286,[1]PP!$A:$W,22,FALSE)=3),3,IF(OR(Y286=2,VLOOKUP(A286,[1]PP!$A:$W,22,FALSE)=2),2,IF(AND(Y286=1,VLOOKUP(A286,[1]PP!$A:$W,22,FALSE)=1),1)))))))))))</f>
        <v/>
      </c>
      <c r="Y286" s="28" t="str">
        <f>IF(COUNTIF(B286:G286,"")&gt;0,"",IF(COUNTIF([1]PP!$A:$A,A286)=0,"neni v PP",IF(VLOOKUP(A286,[1]PP!$A:$W,8,FALSE)="odešel","odešel",IF(F286="","",IF(J286="",IF(OR(T286=4,W286=4),4,IF(AND(T286="N",W286="N"),"N",IF(OR(T286="N",W286="N"),4,ROUND(AVERAGE(T286,W286),0)))),J286)))))</f>
        <v/>
      </c>
      <c r="Z286" s="29" t="str">
        <f>IF(COUNTIF(B286:G286,"")=0,IF(X286="neni v PP",CONCATENATE("ID: &lt;",A286,"&gt; se neshoduje s žádným IDem v kartě PP"),IF(COUNTIF($A:$A,A286)&gt;1,CONCATENATE("ID: &lt;",A286,"&gt; se v kartě VP opakuje. Je nutné tyto IDy od sebe odlišit, např. mezerou za příjmením."),IF(COUNTIF([1]PP!A:A,A286)&gt;1,CONCATENATE("ID: &lt;",A286,"&gt; se v kartě PP opakuje. Je nutné tyto IDy od sebe odlišit, např. mezerou za příjmením."),IF(VLOOKUP(A286,[1]PP!$A:$W,5,FALSE)&lt;&gt;E286,CONCATENATE($E$4," &lt;",E286,"&gt; se neshoduje s jednotkou v kartě PP"," &lt;",VLOOKUP(A286,[1]PP!$A:$W,5,FALSE),"&gt;"),IF(AND(COUNTIF(K286:O286,"")&lt;5,J286="",I286=""),CONCATENATE("Doplň: ",$I$4),IF(AND(YEAR(I286)&lt;&gt;$E$2,COUNTIF(I286,"")=0),CONCATENATE("špatně uveden &lt;",$D$2,"&gt; nebo &lt;",$I$4,"&gt;"),IF(OR(AND(OR(COUNTIF(C286,"*a"),COUNTIF(C286,"*ie"),COUNTIF(C286,"*ine"),COUNTIF(D286,"*Á")),F286="muž"),AND(AND(COUNTIF(C286,"&lt;&gt;"&amp;"*a"),COUNTIF(C286,"&lt;&gt;"&amp;"*ie"),COUNTIF(C286,"&lt;&gt;"&amp;"*ine"),COUNTIF(D286,"&lt;&gt;"&amp;"*Á")),F286="žena")),CONCATENATE(C286," ",D286," je ",F286,"?"),""))))))),IF(COUNTIF(B286:O286,"")=14,"",CONCATENATE("Doplň: ",IF(B286="",CONCATENATE($B$4,IF(COUNTIF(C286:G286,"")=0,"",", ")),""),IF(C286="",CONCATENATE($C$4,IF(COUNTIF(D286:G286,"")=0,"",", ")),""),IF(D286="",CONCATENATE($D$4,IF(COUNTIF(E286:G286,"")=0,"",", ")),""),IF(E286="",CONCATENATE($E$4,IF(COUNTIF(F286:G286,"")=0,"",", ")),""),IF(F286="",CONCATENATE($F$4,IF(G286="",", ","")),""),IF(G286="",$G$4,""))))</f>
        <v/>
      </c>
      <c r="AA286" s="30"/>
    </row>
    <row r="287" spans="1:27" ht="16" x14ac:dyDescent="0.35">
      <c r="A287" s="14" t="str">
        <f t="shared" si="16"/>
        <v xml:space="preserve">  </v>
      </c>
      <c r="B287" s="15"/>
      <c r="C287" s="31"/>
      <c r="D287" s="31"/>
      <c r="E287" s="17"/>
      <c r="F287" s="18"/>
      <c r="G287" s="32"/>
      <c r="H287" s="33" t="str">
        <f>IF(G287="","",IF(F287="žena",ROMAN(MATCH(G287+1,'[1]Normy VP'!$Y$27:$Y$33,-1)),ROMAN(MATCH(G287+1,'[1]Normy VP'!$Y$19:$Y$25,-1))))</f>
        <v/>
      </c>
      <c r="I287" s="21"/>
      <c r="J287" s="22"/>
      <c r="K287" s="23"/>
      <c r="L287" s="23"/>
      <c r="M287" s="23"/>
      <c r="N287" s="22"/>
      <c r="O287" s="22"/>
      <c r="P287" s="24" t="str">
        <f>IF(OR($J287="",$J287="odešel"),IF(K287="","",IF($F287="žena",CHOOSE(_xlfn.ARABIC($H287),MATCH(K287+1,'[1]Normy VP'!$C$25:$F$25,-1),MATCH(K287+1,'[1]Normy VP'!$C$26:$F$26,-1),MATCH(K287+1,'[1]Normy VP'!$C$27:$F$27,-1),MATCH(K287+1,'[1]Normy VP'!$C$28:$F$28,-1),MATCH(K287+1,'[1]Normy VP'!$C$29:$F$29,-1),"muž"),CHOOSE(_xlfn.ARABIC($H287),MATCH(K287+1,'[1]Normy VP'!$C$10:$F$10,-1),MATCH(K287+1,'[1]Normy VP'!$C$11:$F$11,-1),MATCH(K287+1,'[1]Normy VP'!$C$12:$F$12,-1),MATCH(K287+1,'[1]Normy VP'!$C$13:$F$13,-1),MATCH(K287+1,'[1]Normy VP'!$C$14:$F$14,-1),""))),"O")</f>
        <v/>
      </c>
      <c r="Q287" s="24" t="str">
        <f>IF(OR($J287="",$J287="odešel"),IF($F287="žena","",IF(L287="","",(CHOOSE(_xlfn.ARABIC($H287),MATCH(L287+1,'[1]Normy VP'!$G$10:$J$10,-1),MATCH(L287+1,'[1]Normy VP'!$G$11:$J$11,-1),MATCH(L287+1,'[1]Normy VP'!$G$12:$J$12,-1),MATCH(L287+1,'[1]Normy VP'!$G$13:$J$13,-1),MATCH(L287+1,'[1]Normy VP'!$G$14:$J$14,-1),"")))),"O")</f>
        <v/>
      </c>
      <c r="R287" s="34" t="str">
        <f t="shared" si="17"/>
        <v>N</v>
      </c>
      <c r="S287" s="24" t="str">
        <f>IF(OR($J287="",$J287="odešel"),IF(M287="","N",IF($F287="žena",CHOOSE(_xlfn.ARABIC($H287),MATCH(M287+1,'[1]Normy VP'!$G$25:$J$25,-1),MATCH(M287+1,'[1]Normy VP'!$G$26:$J$26,-1),MATCH(M287+1,'[1]Normy VP'!$G$27:$J$27,-1),MATCH(M287+1,'[1]Normy VP'!$G$28:$J$28,-1),MATCH(M287+1,'[1]Normy VP'!$G$29:$J$29,-1),"muž"),(CHOOSE(_xlfn.ARABIC($H287),MATCH(M287+1,'[1]Normy VP'!$K$10:$N$10,-1),MATCH(M287+1,'[1]Normy VP'!$K$11:$N$11,-1),MATCH(M287+1,'[1]Normy VP'!$K$12:$N$12,-1),MATCH(M287+1,'[1]Normy VP'!$K$13:$N$13,-1),MATCH(M287+1,'[1]Normy VP'!$K$14:$N$14,-1),"")))),"O")</f>
        <v>N</v>
      </c>
      <c r="T287" s="34" t="str">
        <f t="shared" si="18"/>
        <v>N</v>
      </c>
      <c r="U287" s="24" t="str">
        <f>IF(OR($J287="",$J287="odešel"),IF(N287="","N",IF($F287="žena",CHOOSE(_xlfn.ARABIC($H287),MATCH(N287+1,'[1]Normy VP'!$K$25:$N$25,-1),MATCH(N287+1,'[1]Normy VP'!$K$26:$N$26,-1),MATCH(N287+1,'[1]Normy VP'!$K$27:$N$27,-1),MATCH(N287+1,'[1]Normy VP'!$K$28:$N$28,-1),MATCH(N287+1,'[1]Normy VP'!$K$29:$N$29,-1),MATCH(N287+1,'[1]Normy VP'!$K$30:$N$30,-1)),CHOOSE(_xlfn.ARABIC($H287),MATCH(N287+1,'[1]Normy VP'!$O$10:$R$10,-1),MATCH(N287+1,'[1]Normy VP'!$O$11:$R$11,-1),MATCH(N287+1,'[1]Normy VP'!$O$12:$R$12,-1),MATCH(N287+1,'[1]Normy VP'!$O$13:$R$13,-1),MATCH(N287+1,'[1]Normy VP'!$O$14:$R$14,-1),MATCH(N287+1,'[1]Normy VP'!$O$15:$R$15,-1)))),"O")</f>
        <v>N</v>
      </c>
      <c r="V287" s="26" t="str">
        <f>IF(OR($J287="",$J287="odešel"),IF(O287="","N",IF($F287="žena",CHOOSE(_xlfn.ARABIC($H287),MATCH(O287-1,'[1]Normy VP'!$O$25:$R$25),MATCH(O287-1,'[1]Normy VP'!$O$26:$R$26),MATCH(O287-1,'[1]Normy VP'!$O$27:$R$27),MATCH(O287-1,'[1]Normy VP'!$O$28:$R$28),MATCH(O287-1,'[1]Normy VP'!$O$29:$R$29),MATCH(O287-1,'[1]Normy VP'!$O$30:$R$30)),CHOOSE(_xlfn.ARABIC($H287),MATCH(O287-1,'[1]Normy VP'!$S$10:$V$10),MATCH(O287-1,'[1]Normy VP'!$S$11:$V$11),MATCH(O287-1,'[1]Normy VP'!$S$12:$V$12),MATCH(O287-1,'[1]Normy VP'!$S$13:$V$13),MATCH(O287-1,'[1]Normy VP'!$S$14:$V$14),MATCH(O287-1,'[1]Normy VP'!$S$15:$V$15)))),"O")</f>
        <v>N</v>
      </c>
      <c r="W287" s="34" t="str">
        <f t="shared" si="19"/>
        <v>N</v>
      </c>
      <c r="X287" s="27" t="str">
        <f>IF(COUNTIF(B287:G287,"")&gt;0,"",IF(COUNTIF([1]PP!$A:$A,A287)=0,"neni v PP",IF(OR(Y287="odešel",VLOOKUP(A287,[1]PP!$A:$W,22,FALSE)="odešel"),"odešel",IF(OR(Y287="N",VLOOKUP(A287,[1]PP!$A:$W,22,FALSE)="N"),"N",IF(OR(Y287="C",VLOOKUP(A287,[1]PP!$A:$W,22,FALSE)="C"),"C",IF(OR(Y287="DZO",VLOOKUP(A287,[1]PP!$A:$W,22,FALSE)="DZO"),"DZO",IF(OR(Y287="mise",Y287="disp.",Y287="končí",Y287="DSC",VLOOKUP(A287,[1]PP!$A:$W,22,FALSE)="mise",VLOOKUP(A287,[1]PP!$A:$W,22,FALSE)="disp.",VLOOKUP(A287,[1]PP!$A:$W,22,FALSE)="končí",VLOOKUP(A287,[1]PP!$A:$W,22,FALSE)="DSC"),"jiné",IF(OR(Y287=4,VLOOKUP(A287,[1]PP!$A:$W,22,FALSE)=4),4,IF(OR(Y287=3,VLOOKUP(A287,[1]PP!$A:$W,22,FALSE)=3),3,IF(OR(Y287=2,VLOOKUP(A287,[1]PP!$A:$W,22,FALSE)=2),2,IF(AND(Y287=1,VLOOKUP(A287,[1]PP!$A:$W,22,FALSE)=1),1)))))))))))</f>
        <v/>
      </c>
      <c r="Y287" s="28" t="str">
        <f>IF(COUNTIF(B287:G287,"")&gt;0,"",IF(COUNTIF([1]PP!$A:$A,A287)=0,"neni v PP",IF(VLOOKUP(A287,[1]PP!$A:$W,8,FALSE)="odešel","odešel",IF(F287="","",IF(J287="",IF(OR(T287=4,W287=4),4,IF(AND(T287="N",W287="N"),"N",IF(OR(T287="N",W287="N"),4,ROUND(AVERAGE(T287,W287),0)))),J287)))))</f>
        <v/>
      </c>
      <c r="Z287" s="29" t="str">
        <f>IF(COUNTIF(B287:G287,"")=0,IF(X287="neni v PP",CONCATENATE("ID: &lt;",A287,"&gt; se neshoduje s žádným IDem v kartě PP"),IF(COUNTIF($A:$A,A287)&gt;1,CONCATENATE("ID: &lt;",A287,"&gt; se v kartě VP opakuje. Je nutné tyto IDy od sebe odlišit, např. mezerou za příjmením."),IF(COUNTIF([1]PP!A:A,A287)&gt;1,CONCATENATE("ID: &lt;",A287,"&gt; se v kartě PP opakuje. Je nutné tyto IDy od sebe odlišit, např. mezerou za příjmením."),IF(VLOOKUP(A287,[1]PP!$A:$W,5,FALSE)&lt;&gt;E287,CONCATENATE($E$4," &lt;",E287,"&gt; se neshoduje s jednotkou v kartě PP"," &lt;",VLOOKUP(A287,[1]PP!$A:$W,5,FALSE),"&gt;"),IF(AND(COUNTIF(K287:O287,"")&lt;5,J287="",I287=""),CONCATENATE("Doplň: ",$I$4),IF(AND(YEAR(I287)&lt;&gt;$E$2,COUNTIF(I287,"")=0),CONCATENATE("špatně uveden &lt;",$D$2,"&gt; nebo &lt;",$I$4,"&gt;"),IF(OR(AND(OR(COUNTIF(C287,"*a"),COUNTIF(C287,"*ie"),COUNTIF(C287,"*ine"),COUNTIF(D287,"*Á")),F287="muž"),AND(AND(COUNTIF(C287,"&lt;&gt;"&amp;"*a"),COUNTIF(C287,"&lt;&gt;"&amp;"*ie"),COUNTIF(C287,"&lt;&gt;"&amp;"*ine"),COUNTIF(D287,"&lt;&gt;"&amp;"*Á")),F287="žena")),CONCATENATE(C287," ",D287," je ",F287,"?"),""))))))),IF(COUNTIF(B287:O287,"")=14,"",CONCATENATE("Doplň: ",IF(B287="",CONCATENATE($B$4,IF(COUNTIF(C287:G287,"")=0,"",", ")),""),IF(C287="",CONCATENATE($C$4,IF(COUNTIF(D287:G287,"")=0,"",", ")),""),IF(D287="",CONCATENATE($D$4,IF(COUNTIF(E287:G287,"")=0,"",", ")),""),IF(E287="",CONCATENATE($E$4,IF(COUNTIF(F287:G287,"")=0,"",", ")),""),IF(F287="",CONCATENATE($F$4,IF(G287="",", ","")),""),IF(G287="",$G$4,""))))</f>
        <v/>
      </c>
      <c r="AA287" s="30"/>
    </row>
    <row r="288" spans="1:27" ht="16" x14ac:dyDescent="0.35">
      <c r="A288" s="14" t="str">
        <f t="shared" si="16"/>
        <v xml:space="preserve">  </v>
      </c>
      <c r="B288" s="15"/>
      <c r="C288" s="31"/>
      <c r="D288" s="31"/>
      <c r="E288" s="17"/>
      <c r="F288" s="18"/>
      <c r="G288" s="32"/>
      <c r="H288" s="33" t="str">
        <f>IF(G288="","",IF(F288="žena",ROMAN(MATCH(G288+1,'[1]Normy VP'!$Y$27:$Y$33,-1)),ROMAN(MATCH(G288+1,'[1]Normy VP'!$Y$19:$Y$25,-1))))</f>
        <v/>
      </c>
      <c r="I288" s="21"/>
      <c r="J288" s="22"/>
      <c r="K288" s="23"/>
      <c r="L288" s="23"/>
      <c r="M288" s="23"/>
      <c r="N288" s="22"/>
      <c r="O288" s="22"/>
      <c r="P288" s="24" t="str">
        <f>IF(OR($J288="",$J288="odešel"),IF(K288="","",IF($F288="žena",CHOOSE(_xlfn.ARABIC($H288),MATCH(K288+1,'[1]Normy VP'!$C$25:$F$25,-1),MATCH(K288+1,'[1]Normy VP'!$C$26:$F$26,-1),MATCH(K288+1,'[1]Normy VP'!$C$27:$F$27,-1),MATCH(K288+1,'[1]Normy VP'!$C$28:$F$28,-1),MATCH(K288+1,'[1]Normy VP'!$C$29:$F$29,-1),"muž"),CHOOSE(_xlfn.ARABIC($H288),MATCH(K288+1,'[1]Normy VP'!$C$10:$F$10,-1),MATCH(K288+1,'[1]Normy VP'!$C$11:$F$11,-1),MATCH(K288+1,'[1]Normy VP'!$C$12:$F$12,-1),MATCH(K288+1,'[1]Normy VP'!$C$13:$F$13,-1),MATCH(K288+1,'[1]Normy VP'!$C$14:$F$14,-1),""))),"O")</f>
        <v/>
      </c>
      <c r="Q288" s="24" t="str">
        <f>IF(OR($J288="",$J288="odešel"),IF($F288="žena","",IF(L288="","",(CHOOSE(_xlfn.ARABIC($H288),MATCH(L288+1,'[1]Normy VP'!$G$10:$J$10,-1),MATCH(L288+1,'[1]Normy VP'!$G$11:$J$11,-1),MATCH(L288+1,'[1]Normy VP'!$G$12:$J$12,-1),MATCH(L288+1,'[1]Normy VP'!$G$13:$J$13,-1),MATCH(L288+1,'[1]Normy VP'!$G$14:$J$14,-1),"")))),"O")</f>
        <v/>
      </c>
      <c r="R288" s="34" t="str">
        <f t="shared" si="17"/>
        <v>N</v>
      </c>
      <c r="S288" s="24" t="str">
        <f>IF(OR($J288="",$J288="odešel"),IF(M288="","N",IF($F288="žena",CHOOSE(_xlfn.ARABIC($H288),MATCH(M288+1,'[1]Normy VP'!$G$25:$J$25,-1),MATCH(M288+1,'[1]Normy VP'!$G$26:$J$26,-1),MATCH(M288+1,'[1]Normy VP'!$G$27:$J$27,-1),MATCH(M288+1,'[1]Normy VP'!$G$28:$J$28,-1),MATCH(M288+1,'[1]Normy VP'!$G$29:$J$29,-1),"muž"),(CHOOSE(_xlfn.ARABIC($H288),MATCH(M288+1,'[1]Normy VP'!$K$10:$N$10,-1),MATCH(M288+1,'[1]Normy VP'!$K$11:$N$11,-1),MATCH(M288+1,'[1]Normy VP'!$K$12:$N$12,-1),MATCH(M288+1,'[1]Normy VP'!$K$13:$N$13,-1),MATCH(M288+1,'[1]Normy VP'!$K$14:$N$14,-1),"")))),"O")</f>
        <v>N</v>
      </c>
      <c r="T288" s="34" t="str">
        <f t="shared" si="18"/>
        <v>N</v>
      </c>
      <c r="U288" s="24" t="str">
        <f>IF(OR($J288="",$J288="odešel"),IF(N288="","N",IF($F288="žena",CHOOSE(_xlfn.ARABIC($H288),MATCH(N288+1,'[1]Normy VP'!$K$25:$N$25,-1),MATCH(N288+1,'[1]Normy VP'!$K$26:$N$26,-1),MATCH(N288+1,'[1]Normy VP'!$K$27:$N$27,-1),MATCH(N288+1,'[1]Normy VP'!$K$28:$N$28,-1),MATCH(N288+1,'[1]Normy VP'!$K$29:$N$29,-1),MATCH(N288+1,'[1]Normy VP'!$K$30:$N$30,-1)),CHOOSE(_xlfn.ARABIC($H288),MATCH(N288+1,'[1]Normy VP'!$O$10:$R$10,-1),MATCH(N288+1,'[1]Normy VP'!$O$11:$R$11,-1),MATCH(N288+1,'[1]Normy VP'!$O$12:$R$12,-1),MATCH(N288+1,'[1]Normy VP'!$O$13:$R$13,-1),MATCH(N288+1,'[1]Normy VP'!$O$14:$R$14,-1),MATCH(N288+1,'[1]Normy VP'!$O$15:$R$15,-1)))),"O")</f>
        <v>N</v>
      </c>
      <c r="V288" s="26" t="str">
        <f>IF(OR($J288="",$J288="odešel"),IF(O288="","N",IF($F288="žena",CHOOSE(_xlfn.ARABIC($H288),MATCH(O288-1,'[1]Normy VP'!$O$25:$R$25),MATCH(O288-1,'[1]Normy VP'!$O$26:$R$26),MATCH(O288-1,'[1]Normy VP'!$O$27:$R$27),MATCH(O288-1,'[1]Normy VP'!$O$28:$R$28),MATCH(O288-1,'[1]Normy VP'!$O$29:$R$29),MATCH(O288-1,'[1]Normy VP'!$O$30:$R$30)),CHOOSE(_xlfn.ARABIC($H288),MATCH(O288-1,'[1]Normy VP'!$S$10:$V$10),MATCH(O288-1,'[1]Normy VP'!$S$11:$V$11),MATCH(O288-1,'[1]Normy VP'!$S$12:$V$12),MATCH(O288-1,'[1]Normy VP'!$S$13:$V$13),MATCH(O288-1,'[1]Normy VP'!$S$14:$V$14),MATCH(O288-1,'[1]Normy VP'!$S$15:$V$15)))),"O")</f>
        <v>N</v>
      </c>
      <c r="W288" s="34" t="str">
        <f t="shared" si="19"/>
        <v>N</v>
      </c>
      <c r="X288" s="27" t="str">
        <f>IF(COUNTIF(B288:G288,"")&gt;0,"",IF(COUNTIF([1]PP!$A:$A,A288)=0,"neni v PP",IF(OR(Y288="odešel",VLOOKUP(A288,[1]PP!$A:$W,22,FALSE)="odešel"),"odešel",IF(OR(Y288="N",VLOOKUP(A288,[1]PP!$A:$W,22,FALSE)="N"),"N",IF(OR(Y288="C",VLOOKUP(A288,[1]PP!$A:$W,22,FALSE)="C"),"C",IF(OR(Y288="DZO",VLOOKUP(A288,[1]PP!$A:$W,22,FALSE)="DZO"),"DZO",IF(OR(Y288="mise",Y288="disp.",Y288="končí",Y288="DSC",VLOOKUP(A288,[1]PP!$A:$W,22,FALSE)="mise",VLOOKUP(A288,[1]PP!$A:$W,22,FALSE)="disp.",VLOOKUP(A288,[1]PP!$A:$W,22,FALSE)="končí",VLOOKUP(A288,[1]PP!$A:$W,22,FALSE)="DSC"),"jiné",IF(OR(Y288=4,VLOOKUP(A288,[1]PP!$A:$W,22,FALSE)=4),4,IF(OR(Y288=3,VLOOKUP(A288,[1]PP!$A:$W,22,FALSE)=3),3,IF(OR(Y288=2,VLOOKUP(A288,[1]PP!$A:$W,22,FALSE)=2),2,IF(AND(Y288=1,VLOOKUP(A288,[1]PP!$A:$W,22,FALSE)=1),1)))))))))))</f>
        <v/>
      </c>
      <c r="Y288" s="28" t="str">
        <f>IF(COUNTIF(B288:G288,"")&gt;0,"",IF(COUNTIF([1]PP!$A:$A,A288)=0,"neni v PP",IF(VLOOKUP(A288,[1]PP!$A:$W,8,FALSE)="odešel","odešel",IF(F288="","",IF(J288="",IF(OR(T288=4,W288=4),4,IF(AND(T288="N",W288="N"),"N",IF(OR(T288="N",W288="N"),4,ROUND(AVERAGE(T288,W288),0)))),J288)))))</f>
        <v/>
      </c>
      <c r="Z288" s="29" t="str">
        <f>IF(COUNTIF(B288:G288,"")=0,IF(X288="neni v PP",CONCATENATE("ID: &lt;",A288,"&gt; se neshoduje s žádným IDem v kartě PP"),IF(COUNTIF($A:$A,A288)&gt;1,CONCATENATE("ID: &lt;",A288,"&gt; se v kartě VP opakuje. Je nutné tyto IDy od sebe odlišit, např. mezerou za příjmením."),IF(COUNTIF([1]PP!A:A,A288)&gt;1,CONCATENATE("ID: &lt;",A288,"&gt; se v kartě PP opakuje. Je nutné tyto IDy od sebe odlišit, např. mezerou za příjmením."),IF(VLOOKUP(A288,[1]PP!$A:$W,5,FALSE)&lt;&gt;E288,CONCATENATE($E$4," &lt;",E288,"&gt; se neshoduje s jednotkou v kartě PP"," &lt;",VLOOKUP(A288,[1]PP!$A:$W,5,FALSE),"&gt;"),IF(AND(COUNTIF(K288:O288,"")&lt;5,J288="",I288=""),CONCATENATE("Doplň: ",$I$4),IF(AND(YEAR(I288)&lt;&gt;$E$2,COUNTIF(I288,"")=0),CONCATENATE("špatně uveden &lt;",$D$2,"&gt; nebo &lt;",$I$4,"&gt;"),IF(OR(AND(OR(COUNTIF(C288,"*a"),COUNTIF(C288,"*ie"),COUNTIF(C288,"*ine"),COUNTIF(D288,"*Á")),F288="muž"),AND(AND(COUNTIF(C288,"&lt;&gt;"&amp;"*a"),COUNTIF(C288,"&lt;&gt;"&amp;"*ie"),COUNTIF(C288,"&lt;&gt;"&amp;"*ine"),COUNTIF(D288,"&lt;&gt;"&amp;"*Á")),F288="žena")),CONCATENATE(C288," ",D288," je ",F288,"?"),""))))))),IF(COUNTIF(B288:O288,"")=14,"",CONCATENATE("Doplň: ",IF(B288="",CONCATENATE($B$4,IF(COUNTIF(C288:G288,"")=0,"",", ")),""),IF(C288="",CONCATENATE($C$4,IF(COUNTIF(D288:G288,"")=0,"",", ")),""),IF(D288="",CONCATENATE($D$4,IF(COUNTIF(E288:G288,"")=0,"",", ")),""),IF(E288="",CONCATENATE($E$4,IF(COUNTIF(F288:G288,"")=0,"",", ")),""),IF(F288="",CONCATENATE($F$4,IF(G288="",", ","")),""),IF(G288="",$G$4,""))))</f>
        <v/>
      </c>
      <c r="AA288" s="30"/>
    </row>
    <row r="289" spans="1:27" ht="16" x14ac:dyDescent="0.35">
      <c r="A289" s="14" t="str">
        <f t="shared" si="16"/>
        <v xml:space="preserve">  </v>
      </c>
      <c r="B289" s="15"/>
      <c r="C289" s="31"/>
      <c r="D289" s="31"/>
      <c r="E289" s="17"/>
      <c r="F289" s="18"/>
      <c r="G289" s="32"/>
      <c r="H289" s="33" t="str">
        <f>IF(G289="","",IF(F289="žena",ROMAN(MATCH(G289+1,'[1]Normy VP'!$Y$27:$Y$33,-1)),ROMAN(MATCH(G289+1,'[1]Normy VP'!$Y$19:$Y$25,-1))))</f>
        <v/>
      </c>
      <c r="I289" s="21"/>
      <c r="J289" s="22"/>
      <c r="K289" s="23"/>
      <c r="L289" s="23"/>
      <c r="M289" s="23"/>
      <c r="N289" s="22"/>
      <c r="O289" s="22"/>
      <c r="P289" s="24" t="str">
        <f>IF(OR($J289="",$J289="odešel"),IF(K289="","",IF($F289="žena",CHOOSE(_xlfn.ARABIC($H289),MATCH(K289+1,'[1]Normy VP'!$C$25:$F$25,-1),MATCH(K289+1,'[1]Normy VP'!$C$26:$F$26,-1),MATCH(K289+1,'[1]Normy VP'!$C$27:$F$27,-1),MATCH(K289+1,'[1]Normy VP'!$C$28:$F$28,-1),MATCH(K289+1,'[1]Normy VP'!$C$29:$F$29,-1),"muž"),CHOOSE(_xlfn.ARABIC($H289),MATCH(K289+1,'[1]Normy VP'!$C$10:$F$10,-1),MATCH(K289+1,'[1]Normy VP'!$C$11:$F$11,-1),MATCH(K289+1,'[1]Normy VP'!$C$12:$F$12,-1),MATCH(K289+1,'[1]Normy VP'!$C$13:$F$13,-1),MATCH(K289+1,'[1]Normy VP'!$C$14:$F$14,-1),""))),"O")</f>
        <v/>
      </c>
      <c r="Q289" s="24" t="str">
        <f>IF(OR($J289="",$J289="odešel"),IF($F289="žena","",IF(L289="","",(CHOOSE(_xlfn.ARABIC($H289),MATCH(L289+1,'[1]Normy VP'!$G$10:$J$10,-1),MATCH(L289+1,'[1]Normy VP'!$G$11:$J$11,-1),MATCH(L289+1,'[1]Normy VP'!$G$12:$J$12,-1),MATCH(L289+1,'[1]Normy VP'!$G$13:$J$13,-1),MATCH(L289+1,'[1]Normy VP'!$G$14:$J$14,-1),"")))),"O")</f>
        <v/>
      </c>
      <c r="R289" s="34" t="str">
        <f t="shared" si="17"/>
        <v>N</v>
      </c>
      <c r="S289" s="24" t="str">
        <f>IF(OR($J289="",$J289="odešel"),IF(M289="","N",IF($F289="žena",CHOOSE(_xlfn.ARABIC($H289),MATCH(M289+1,'[1]Normy VP'!$G$25:$J$25,-1),MATCH(M289+1,'[1]Normy VP'!$G$26:$J$26,-1),MATCH(M289+1,'[1]Normy VP'!$G$27:$J$27,-1),MATCH(M289+1,'[1]Normy VP'!$G$28:$J$28,-1),MATCH(M289+1,'[1]Normy VP'!$G$29:$J$29,-1),"muž"),(CHOOSE(_xlfn.ARABIC($H289),MATCH(M289+1,'[1]Normy VP'!$K$10:$N$10,-1),MATCH(M289+1,'[1]Normy VP'!$K$11:$N$11,-1),MATCH(M289+1,'[1]Normy VP'!$K$12:$N$12,-1),MATCH(M289+1,'[1]Normy VP'!$K$13:$N$13,-1),MATCH(M289+1,'[1]Normy VP'!$K$14:$N$14,-1),"")))),"O")</f>
        <v>N</v>
      </c>
      <c r="T289" s="34" t="str">
        <f t="shared" si="18"/>
        <v>N</v>
      </c>
      <c r="U289" s="24" t="str">
        <f>IF(OR($J289="",$J289="odešel"),IF(N289="","N",IF($F289="žena",CHOOSE(_xlfn.ARABIC($H289),MATCH(N289+1,'[1]Normy VP'!$K$25:$N$25,-1),MATCH(N289+1,'[1]Normy VP'!$K$26:$N$26,-1),MATCH(N289+1,'[1]Normy VP'!$K$27:$N$27,-1),MATCH(N289+1,'[1]Normy VP'!$K$28:$N$28,-1),MATCH(N289+1,'[1]Normy VP'!$K$29:$N$29,-1),MATCH(N289+1,'[1]Normy VP'!$K$30:$N$30,-1)),CHOOSE(_xlfn.ARABIC($H289),MATCH(N289+1,'[1]Normy VP'!$O$10:$R$10,-1),MATCH(N289+1,'[1]Normy VP'!$O$11:$R$11,-1),MATCH(N289+1,'[1]Normy VP'!$O$12:$R$12,-1),MATCH(N289+1,'[1]Normy VP'!$O$13:$R$13,-1),MATCH(N289+1,'[1]Normy VP'!$O$14:$R$14,-1),MATCH(N289+1,'[1]Normy VP'!$O$15:$R$15,-1)))),"O")</f>
        <v>N</v>
      </c>
      <c r="V289" s="26" t="str">
        <f>IF(OR($J289="",$J289="odešel"),IF(O289="","N",IF($F289="žena",CHOOSE(_xlfn.ARABIC($H289),MATCH(O289-1,'[1]Normy VP'!$O$25:$R$25),MATCH(O289-1,'[1]Normy VP'!$O$26:$R$26),MATCH(O289-1,'[1]Normy VP'!$O$27:$R$27),MATCH(O289-1,'[1]Normy VP'!$O$28:$R$28),MATCH(O289-1,'[1]Normy VP'!$O$29:$R$29),MATCH(O289-1,'[1]Normy VP'!$O$30:$R$30)),CHOOSE(_xlfn.ARABIC($H289),MATCH(O289-1,'[1]Normy VP'!$S$10:$V$10),MATCH(O289-1,'[1]Normy VP'!$S$11:$V$11),MATCH(O289-1,'[1]Normy VP'!$S$12:$V$12),MATCH(O289-1,'[1]Normy VP'!$S$13:$V$13),MATCH(O289-1,'[1]Normy VP'!$S$14:$V$14),MATCH(O289-1,'[1]Normy VP'!$S$15:$V$15)))),"O")</f>
        <v>N</v>
      </c>
      <c r="W289" s="34" t="str">
        <f t="shared" si="19"/>
        <v>N</v>
      </c>
      <c r="X289" s="27" t="str">
        <f>IF(COUNTIF(B289:G289,"")&gt;0,"",IF(COUNTIF([1]PP!$A:$A,A289)=0,"neni v PP",IF(OR(Y289="odešel",VLOOKUP(A289,[1]PP!$A:$W,22,FALSE)="odešel"),"odešel",IF(OR(Y289="N",VLOOKUP(A289,[1]PP!$A:$W,22,FALSE)="N"),"N",IF(OR(Y289="C",VLOOKUP(A289,[1]PP!$A:$W,22,FALSE)="C"),"C",IF(OR(Y289="DZO",VLOOKUP(A289,[1]PP!$A:$W,22,FALSE)="DZO"),"DZO",IF(OR(Y289="mise",Y289="disp.",Y289="končí",Y289="DSC",VLOOKUP(A289,[1]PP!$A:$W,22,FALSE)="mise",VLOOKUP(A289,[1]PP!$A:$W,22,FALSE)="disp.",VLOOKUP(A289,[1]PP!$A:$W,22,FALSE)="končí",VLOOKUP(A289,[1]PP!$A:$W,22,FALSE)="DSC"),"jiné",IF(OR(Y289=4,VLOOKUP(A289,[1]PP!$A:$W,22,FALSE)=4),4,IF(OR(Y289=3,VLOOKUP(A289,[1]PP!$A:$W,22,FALSE)=3),3,IF(OR(Y289=2,VLOOKUP(A289,[1]PP!$A:$W,22,FALSE)=2),2,IF(AND(Y289=1,VLOOKUP(A289,[1]PP!$A:$W,22,FALSE)=1),1)))))))))))</f>
        <v/>
      </c>
      <c r="Y289" s="28" t="str">
        <f>IF(COUNTIF(B289:G289,"")&gt;0,"",IF(COUNTIF([1]PP!$A:$A,A289)=0,"neni v PP",IF(VLOOKUP(A289,[1]PP!$A:$W,8,FALSE)="odešel","odešel",IF(F289="","",IF(J289="",IF(OR(T289=4,W289=4),4,IF(AND(T289="N",W289="N"),"N",IF(OR(T289="N",W289="N"),4,ROUND(AVERAGE(T289,W289),0)))),J289)))))</f>
        <v/>
      </c>
      <c r="Z289" s="29" t="str">
        <f>IF(COUNTIF(B289:G289,"")=0,IF(X289="neni v PP",CONCATENATE("ID: &lt;",A289,"&gt; se neshoduje s žádným IDem v kartě PP"),IF(COUNTIF($A:$A,A289)&gt;1,CONCATENATE("ID: &lt;",A289,"&gt; se v kartě VP opakuje. Je nutné tyto IDy od sebe odlišit, např. mezerou za příjmením."),IF(COUNTIF([1]PP!A:A,A289)&gt;1,CONCATENATE("ID: &lt;",A289,"&gt; se v kartě PP opakuje. Je nutné tyto IDy od sebe odlišit, např. mezerou za příjmením."),IF(VLOOKUP(A289,[1]PP!$A:$W,5,FALSE)&lt;&gt;E289,CONCATENATE($E$4," &lt;",E289,"&gt; se neshoduje s jednotkou v kartě PP"," &lt;",VLOOKUP(A289,[1]PP!$A:$W,5,FALSE),"&gt;"),IF(AND(COUNTIF(K289:O289,"")&lt;5,J289="",I289=""),CONCATENATE("Doplň: ",$I$4),IF(AND(YEAR(I289)&lt;&gt;$E$2,COUNTIF(I289,"")=0),CONCATENATE("špatně uveden &lt;",$D$2,"&gt; nebo &lt;",$I$4,"&gt;"),IF(OR(AND(OR(COUNTIF(C289,"*a"),COUNTIF(C289,"*ie"),COUNTIF(C289,"*ine"),COUNTIF(D289,"*Á")),F289="muž"),AND(AND(COUNTIF(C289,"&lt;&gt;"&amp;"*a"),COUNTIF(C289,"&lt;&gt;"&amp;"*ie"),COUNTIF(C289,"&lt;&gt;"&amp;"*ine"),COUNTIF(D289,"&lt;&gt;"&amp;"*Á")),F289="žena")),CONCATENATE(C289," ",D289," je ",F289,"?"),""))))))),IF(COUNTIF(B289:O289,"")=14,"",CONCATENATE("Doplň: ",IF(B289="",CONCATENATE($B$4,IF(COUNTIF(C289:G289,"")=0,"",", ")),""),IF(C289="",CONCATENATE($C$4,IF(COUNTIF(D289:G289,"")=0,"",", ")),""),IF(D289="",CONCATENATE($D$4,IF(COUNTIF(E289:G289,"")=0,"",", ")),""),IF(E289="",CONCATENATE($E$4,IF(COUNTIF(F289:G289,"")=0,"",", ")),""),IF(F289="",CONCATENATE($F$4,IF(G289="",", ","")),""),IF(G289="",$G$4,""))))</f>
        <v/>
      </c>
      <c r="AA289" s="30"/>
    </row>
    <row r="290" spans="1:27" ht="16" x14ac:dyDescent="0.35">
      <c r="A290" s="14" t="str">
        <f t="shared" si="16"/>
        <v xml:space="preserve">  </v>
      </c>
      <c r="B290" s="15"/>
      <c r="C290" s="31"/>
      <c r="D290" s="31"/>
      <c r="E290" s="17"/>
      <c r="F290" s="18"/>
      <c r="G290" s="32"/>
      <c r="H290" s="33" t="str">
        <f>IF(G290="","",IF(F290="žena",ROMAN(MATCH(G290+1,'[1]Normy VP'!$Y$27:$Y$33,-1)),ROMAN(MATCH(G290+1,'[1]Normy VP'!$Y$19:$Y$25,-1))))</f>
        <v/>
      </c>
      <c r="I290" s="21"/>
      <c r="J290" s="22"/>
      <c r="K290" s="23"/>
      <c r="L290" s="23"/>
      <c r="M290" s="23"/>
      <c r="N290" s="22"/>
      <c r="O290" s="22"/>
      <c r="P290" s="24" t="str">
        <f>IF(OR($J290="",$J290="odešel"),IF(K290="","",IF($F290="žena",CHOOSE(_xlfn.ARABIC($H290),MATCH(K290+1,'[1]Normy VP'!$C$25:$F$25,-1),MATCH(K290+1,'[1]Normy VP'!$C$26:$F$26,-1),MATCH(K290+1,'[1]Normy VP'!$C$27:$F$27,-1),MATCH(K290+1,'[1]Normy VP'!$C$28:$F$28,-1),MATCH(K290+1,'[1]Normy VP'!$C$29:$F$29,-1),"muž"),CHOOSE(_xlfn.ARABIC($H290),MATCH(K290+1,'[1]Normy VP'!$C$10:$F$10,-1),MATCH(K290+1,'[1]Normy VP'!$C$11:$F$11,-1),MATCH(K290+1,'[1]Normy VP'!$C$12:$F$12,-1),MATCH(K290+1,'[1]Normy VP'!$C$13:$F$13,-1),MATCH(K290+1,'[1]Normy VP'!$C$14:$F$14,-1),""))),"O")</f>
        <v/>
      </c>
      <c r="Q290" s="24" t="str">
        <f>IF(OR($J290="",$J290="odešel"),IF($F290="žena","",IF(L290="","",(CHOOSE(_xlfn.ARABIC($H290),MATCH(L290+1,'[1]Normy VP'!$G$10:$J$10,-1),MATCH(L290+1,'[1]Normy VP'!$G$11:$J$11,-1),MATCH(L290+1,'[1]Normy VP'!$G$12:$J$12,-1),MATCH(L290+1,'[1]Normy VP'!$G$13:$J$13,-1),MATCH(L290+1,'[1]Normy VP'!$G$14:$J$14,-1),"")))),"O")</f>
        <v/>
      </c>
      <c r="R290" s="34" t="str">
        <f t="shared" si="17"/>
        <v>N</v>
      </c>
      <c r="S290" s="24" t="str">
        <f>IF(OR($J290="",$J290="odešel"),IF(M290="","N",IF($F290="žena",CHOOSE(_xlfn.ARABIC($H290),MATCH(M290+1,'[1]Normy VP'!$G$25:$J$25,-1),MATCH(M290+1,'[1]Normy VP'!$G$26:$J$26,-1),MATCH(M290+1,'[1]Normy VP'!$G$27:$J$27,-1),MATCH(M290+1,'[1]Normy VP'!$G$28:$J$28,-1),MATCH(M290+1,'[1]Normy VP'!$G$29:$J$29,-1),"muž"),(CHOOSE(_xlfn.ARABIC($H290),MATCH(M290+1,'[1]Normy VP'!$K$10:$N$10,-1),MATCH(M290+1,'[1]Normy VP'!$K$11:$N$11,-1),MATCH(M290+1,'[1]Normy VP'!$K$12:$N$12,-1),MATCH(M290+1,'[1]Normy VP'!$K$13:$N$13,-1),MATCH(M290+1,'[1]Normy VP'!$K$14:$N$14,-1),"")))),"O")</f>
        <v>N</v>
      </c>
      <c r="T290" s="34" t="str">
        <f t="shared" si="18"/>
        <v>N</v>
      </c>
      <c r="U290" s="24" t="str">
        <f>IF(OR($J290="",$J290="odešel"),IF(N290="","N",IF($F290="žena",CHOOSE(_xlfn.ARABIC($H290),MATCH(N290+1,'[1]Normy VP'!$K$25:$N$25,-1),MATCH(N290+1,'[1]Normy VP'!$K$26:$N$26,-1),MATCH(N290+1,'[1]Normy VP'!$K$27:$N$27,-1),MATCH(N290+1,'[1]Normy VP'!$K$28:$N$28,-1),MATCH(N290+1,'[1]Normy VP'!$K$29:$N$29,-1),MATCH(N290+1,'[1]Normy VP'!$K$30:$N$30,-1)),CHOOSE(_xlfn.ARABIC($H290),MATCH(N290+1,'[1]Normy VP'!$O$10:$R$10,-1),MATCH(N290+1,'[1]Normy VP'!$O$11:$R$11,-1),MATCH(N290+1,'[1]Normy VP'!$O$12:$R$12,-1),MATCH(N290+1,'[1]Normy VP'!$O$13:$R$13,-1),MATCH(N290+1,'[1]Normy VP'!$O$14:$R$14,-1),MATCH(N290+1,'[1]Normy VP'!$O$15:$R$15,-1)))),"O")</f>
        <v>N</v>
      </c>
      <c r="V290" s="26" t="str">
        <f>IF(OR($J290="",$J290="odešel"),IF(O290="","N",IF($F290="žena",CHOOSE(_xlfn.ARABIC($H290),MATCH(O290-1,'[1]Normy VP'!$O$25:$R$25),MATCH(O290-1,'[1]Normy VP'!$O$26:$R$26),MATCH(O290-1,'[1]Normy VP'!$O$27:$R$27),MATCH(O290-1,'[1]Normy VP'!$O$28:$R$28),MATCH(O290-1,'[1]Normy VP'!$O$29:$R$29),MATCH(O290-1,'[1]Normy VP'!$O$30:$R$30)),CHOOSE(_xlfn.ARABIC($H290),MATCH(O290-1,'[1]Normy VP'!$S$10:$V$10),MATCH(O290-1,'[1]Normy VP'!$S$11:$V$11),MATCH(O290-1,'[1]Normy VP'!$S$12:$V$12),MATCH(O290-1,'[1]Normy VP'!$S$13:$V$13),MATCH(O290-1,'[1]Normy VP'!$S$14:$V$14),MATCH(O290-1,'[1]Normy VP'!$S$15:$V$15)))),"O")</f>
        <v>N</v>
      </c>
      <c r="W290" s="34" t="str">
        <f t="shared" si="19"/>
        <v>N</v>
      </c>
      <c r="X290" s="27" t="str">
        <f>IF(COUNTIF(B290:G290,"")&gt;0,"",IF(COUNTIF([1]PP!$A:$A,A290)=0,"neni v PP",IF(OR(Y290="odešel",VLOOKUP(A290,[1]PP!$A:$W,22,FALSE)="odešel"),"odešel",IF(OR(Y290="N",VLOOKUP(A290,[1]PP!$A:$W,22,FALSE)="N"),"N",IF(OR(Y290="C",VLOOKUP(A290,[1]PP!$A:$W,22,FALSE)="C"),"C",IF(OR(Y290="DZO",VLOOKUP(A290,[1]PP!$A:$W,22,FALSE)="DZO"),"DZO",IF(OR(Y290="mise",Y290="disp.",Y290="končí",Y290="DSC",VLOOKUP(A290,[1]PP!$A:$W,22,FALSE)="mise",VLOOKUP(A290,[1]PP!$A:$W,22,FALSE)="disp.",VLOOKUP(A290,[1]PP!$A:$W,22,FALSE)="končí",VLOOKUP(A290,[1]PP!$A:$W,22,FALSE)="DSC"),"jiné",IF(OR(Y290=4,VLOOKUP(A290,[1]PP!$A:$W,22,FALSE)=4),4,IF(OR(Y290=3,VLOOKUP(A290,[1]PP!$A:$W,22,FALSE)=3),3,IF(OR(Y290=2,VLOOKUP(A290,[1]PP!$A:$W,22,FALSE)=2),2,IF(AND(Y290=1,VLOOKUP(A290,[1]PP!$A:$W,22,FALSE)=1),1)))))))))))</f>
        <v/>
      </c>
      <c r="Y290" s="28" t="str">
        <f>IF(COUNTIF(B290:G290,"")&gt;0,"",IF(COUNTIF([1]PP!$A:$A,A290)=0,"neni v PP",IF(VLOOKUP(A290,[1]PP!$A:$W,8,FALSE)="odešel","odešel",IF(F290="","",IF(J290="",IF(OR(T290=4,W290=4),4,IF(AND(T290="N",W290="N"),"N",IF(OR(T290="N",W290="N"),4,ROUND(AVERAGE(T290,W290),0)))),J290)))))</f>
        <v/>
      </c>
      <c r="Z290" s="29" t="str">
        <f>IF(COUNTIF(B290:G290,"")=0,IF(X290="neni v PP",CONCATENATE("ID: &lt;",A290,"&gt; se neshoduje s žádným IDem v kartě PP"),IF(COUNTIF($A:$A,A290)&gt;1,CONCATENATE("ID: &lt;",A290,"&gt; se v kartě VP opakuje. Je nutné tyto IDy od sebe odlišit, např. mezerou za příjmením."),IF(COUNTIF([1]PP!A:A,A290)&gt;1,CONCATENATE("ID: &lt;",A290,"&gt; se v kartě PP opakuje. Je nutné tyto IDy od sebe odlišit, např. mezerou za příjmením."),IF(VLOOKUP(A290,[1]PP!$A:$W,5,FALSE)&lt;&gt;E290,CONCATENATE($E$4," &lt;",E290,"&gt; se neshoduje s jednotkou v kartě PP"," &lt;",VLOOKUP(A290,[1]PP!$A:$W,5,FALSE),"&gt;"),IF(AND(COUNTIF(K290:O290,"")&lt;5,J290="",I290=""),CONCATENATE("Doplň: ",$I$4),IF(AND(YEAR(I290)&lt;&gt;$E$2,COUNTIF(I290,"")=0),CONCATENATE("špatně uveden &lt;",$D$2,"&gt; nebo &lt;",$I$4,"&gt;"),IF(OR(AND(OR(COUNTIF(C290,"*a"),COUNTIF(C290,"*ie"),COUNTIF(C290,"*ine"),COUNTIF(D290,"*Á")),F290="muž"),AND(AND(COUNTIF(C290,"&lt;&gt;"&amp;"*a"),COUNTIF(C290,"&lt;&gt;"&amp;"*ie"),COUNTIF(C290,"&lt;&gt;"&amp;"*ine"),COUNTIF(D290,"&lt;&gt;"&amp;"*Á")),F290="žena")),CONCATENATE(C290," ",D290," je ",F290,"?"),""))))))),IF(COUNTIF(B290:O290,"")=14,"",CONCATENATE("Doplň: ",IF(B290="",CONCATENATE($B$4,IF(COUNTIF(C290:G290,"")=0,"",", ")),""),IF(C290="",CONCATENATE($C$4,IF(COUNTIF(D290:G290,"")=0,"",", ")),""),IF(D290="",CONCATENATE($D$4,IF(COUNTIF(E290:G290,"")=0,"",", ")),""),IF(E290="",CONCATENATE($E$4,IF(COUNTIF(F290:G290,"")=0,"",", ")),""),IF(F290="",CONCATENATE($F$4,IF(G290="",", ","")),""),IF(G290="",$G$4,""))))</f>
        <v/>
      </c>
      <c r="AA290" s="30"/>
    </row>
    <row r="291" spans="1:27" ht="16" x14ac:dyDescent="0.35">
      <c r="A291" s="14" t="str">
        <f t="shared" si="16"/>
        <v xml:space="preserve">  </v>
      </c>
      <c r="B291" s="15"/>
      <c r="C291" s="31"/>
      <c r="D291" s="31"/>
      <c r="E291" s="17"/>
      <c r="F291" s="18"/>
      <c r="G291" s="32"/>
      <c r="H291" s="33" t="str">
        <f>IF(G291="","",IF(F291="žena",ROMAN(MATCH(G291+1,'[1]Normy VP'!$Y$27:$Y$33,-1)),ROMAN(MATCH(G291+1,'[1]Normy VP'!$Y$19:$Y$25,-1))))</f>
        <v/>
      </c>
      <c r="I291" s="21"/>
      <c r="J291" s="22"/>
      <c r="K291" s="23"/>
      <c r="L291" s="23"/>
      <c r="M291" s="23"/>
      <c r="N291" s="22"/>
      <c r="O291" s="22"/>
      <c r="P291" s="24" t="str">
        <f>IF(OR($J291="",$J291="odešel"),IF(K291="","",IF($F291="žena",CHOOSE(_xlfn.ARABIC($H291),MATCH(K291+1,'[1]Normy VP'!$C$25:$F$25,-1),MATCH(K291+1,'[1]Normy VP'!$C$26:$F$26,-1),MATCH(K291+1,'[1]Normy VP'!$C$27:$F$27,-1),MATCH(K291+1,'[1]Normy VP'!$C$28:$F$28,-1),MATCH(K291+1,'[1]Normy VP'!$C$29:$F$29,-1),"muž"),CHOOSE(_xlfn.ARABIC($H291),MATCH(K291+1,'[1]Normy VP'!$C$10:$F$10,-1),MATCH(K291+1,'[1]Normy VP'!$C$11:$F$11,-1),MATCH(K291+1,'[1]Normy VP'!$C$12:$F$12,-1),MATCH(K291+1,'[1]Normy VP'!$C$13:$F$13,-1),MATCH(K291+1,'[1]Normy VP'!$C$14:$F$14,-1),""))),"O")</f>
        <v/>
      </c>
      <c r="Q291" s="24" t="str">
        <f>IF(OR($J291="",$J291="odešel"),IF($F291="žena","",IF(L291="","",(CHOOSE(_xlfn.ARABIC($H291),MATCH(L291+1,'[1]Normy VP'!$G$10:$J$10,-1),MATCH(L291+1,'[1]Normy VP'!$G$11:$J$11,-1),MATCH(L291+1,'[1]Normy VP'!$G$12:$J$12,-1),MATCH(L291+1,'[1]Normy VP'!$G$13:$J$13,-1),MATCH(L291+1,'[1]Normy VP'!$G$14:$J$14,-1),"")))),"O")</f>
        <v/>
      </c>
      <c r="R291" s="34" t="str">
        <f t="shared" si="17"/>
        <v>N</v>
      </c>
      <c r="S291" s="24" t="str">
        <f>IF(OR($J291="",$J291="odešel"),IF(M291="","N",IF($F291="žena",CHOOSE(_xlfn.ARABIC($H291),MATCH(M291+1,'[1]Normy VP'!$G$25:$J$25,-1),MATCH(M291+1,'[1]Normy VP'!$G$26:$J$26,-1),MATCH(M291+1,'[1]Normy VP'!$G$27:$J$27,-1),MATCH(M291+1,'[1]Normy VP'!$G$28:$J$28,-1),MATCH(M291+1,'[1]Normy VP'!$G$29:$J$29,-1),"muž"),(CHOOSE(_xlfn.ARABIC($H291),MATCH(M291+1,'[1]Normy VP'!$K$10:$N$10,-1),MATCH(M291+1,'[1]Normy VP'!$K$11:$N$11,-1),MATCH(M291+1,'[1]Normy VP'!$K$12:$N$12,-1),MATCH(M291+1,'[1]Normy VP'!$K$13:$N$13,-1),MATCH(M291+1,'[1]Normy VP'!$K$14:$N$14,-1),"")))),"O")</f>
        <v>N</v>
      </c>
      <c r="T291" s="34" t="str">
        <f t="shared" si="18"/>
        <v>N</v>
      </c>
      <c r="U291" s="24" t="str">
        <f>IF(OR($J291="",$J291="odešel"),IF(N291="","N",IF($F291="žena",CHOOSE(_xlfn.ARABIC($H291),MATCH(N291+1,'[1]Normy VP'!$K$25:$N$25,-1),MATCH(N291+1,'[1]Normy VP'!$K$26:$N$26,-1),MATCH(N291+1,'[1]Normy VP'!$K$27:$N$27,-1),MATCH(N291+1,'[1]Normy VP'!$K$28:$N$28,-1),MATCH(N291+1,'[1]Normy VP'!$K$29:$N$29,-1),MATCH(N291+1,'[1]Normy VP'!$K$30:$N$30,-1)),CHOOSE(_xlfn.ARABIC($H291),MATCH(N291+1,'[1]Normy VP'!$O$10:$R$10,-1),MATCH(N291+1,'[1]Normy VP'!$O$11:$R$11,-1),MATCH(N291+1,'[1]Normy VP'!$O$12:$R$12,-1),MATCH(N291+1,'[1]Normy VP'!$O$13:$R$13,-1),MATCH(N291+1,'[1]Normy VP'!$O$14:$R$14,-1),MATCH(N291+1,'[1]Normy VP'!$O$15:$R$15,-1)))),"O")</f>
        <v>N</v>
      </c>
      <c r="V291" s="26" t="str">
        <f>IF(OR($J291="",$J291="odešel"),IF(O291="","N",IF($F291="žena",CHOOSE(_xlfn.ARABIC($H291),MATCH(O291-1,'[1]Normy VP'!$O$25:$R$25),MATCH(O291-1,'[1]Normy VP'!$O$26:$R$26),MATCH(O291-1,'[1]Normy VP'!$O$27:$R$27),MATCH(O291-1,'[1]Normy VP'!$O$28:$R$28),MATCH(O291-1,'[1]Normy VP'!$O$29:$R$29),MATCH(O291-1,'[1]Normy VP'!$O$30:$R$30)),CHOOSE(_xlfn.ARABIC($H291),MATCH(O291-1,'[1]Normy VP'!$S$10:$V$10),MATCH(O291-1,'[1]Normy VP'!$S$11:$V$11),MATCH(O291-1,'[1]Normy VP'!$S$12:$V$12),MATCH(O291-1,'[1]Normy VP'!$S$13:$V$13),MATCH(O291-1,'[1]Normy VP'!$S$14:$V$14),MATCH(O291-1,'[1]Normy VP'!$S$15:$V$15)))),"O")</f>
        <v>N</v>
      </c>
      <c r="W291" s="34" t="str">
        <f t="shared" si="19"/>
        <v>N</v>
      </c>
      <c r="X291" s="27" t="str">
        <f>IF(COUNTIF(B291:G291,"")&gt;0,"",IF(COUNTIF([1]PP!$A:$A,A291)=0,"neni v PP",IF(OR(Y291="odešel",VLOOKUP(A291,[1]PP!$A:$W,22,FALSE)="odešel"),"odešel",IF(OR(Y291="N",VLOOKUP(A291,[1]PP!$A:$W,22,FALSE)="N"),"N",IF(OR(Y291="C",VLOOKUP(A291,[1]PP!$A:$W,22,FALSE)="C"),"C",IF(OR(Y291="DZO",VLOOKUP(A291,[1]PP!$A:$W,22,FALSE)="DZO"),"DZO",IF(OR(Y291="mise",Y291="disp.",Y291="končí",Y291="DSC",VLOOKUP(A291,[1]PP!$A:$W,22,FALSE)="mise",VLOOKUP(A291,[1]PP!$A:$W,22,FALSE)="disp.",VLOOKUP(A291,[1]PP!$A:$W,22,FALSE)="končí",VLOOKUP(A291,[1]PP!$A:$W,22,FALSE)="DSC"),"jiné",IF(OR(Y291=4,VLOOKUP(A291,[1]PP!$A:$W,22,FALSE)=4),4,IF(OR(Y291=3,VLOOKUP(A291,[1]PP!$A:$W,22,FALSE)=3),3,IF(OR(Y291=2,VLOOKUP(A291,[1]PP!$A:$W,22,FALSE)=2),2,IF(AND(Y291=1,VLOOKUP(A291,[1]PP!$A:$W,22,FALSE)=1),1)))))))))))</f>
        <v/>
      </c>
      <c r="Y291" s="28" t="str">
        <f>IF(COUNTIF(B291:G291,"")&gt;0,"",IF(COUNTIF([1]PP!$A:$A,A291)=0,"neni v PP",IF(VLOOKUP(A291,[1]PP!$A:$W,8,FALSE)="odešel","odešel",IF(F291="","",IF(J291="",IF(OR(T291=4,W291=4),4,IF(AND(T291="N",W291="N"),"N",IF(OR(T291="N",W291="N"),4,ROUND(AVERAGE(T291,W291),0)))),J291)))))</f>
        <v/>
      </c>
      <c r="Z291" s="29" t="str">
        <f>IF(COUNTIF(B291:G291,"")=0,IF(X291="neni v PP",CONCATENATE("ID: &lt;",A291,"&gt; se neshoduje s žádným IDem v kartě PP"),IF(COUNTIF($A:$A,A291)&gt;1,CONCATENATE("ID: &lt;",A291,"&gt; se v kartě VP opakuje. Je nutné tyto IDy od sebe odlišit, např. mezerou za příjmením."),IF(COUNTIF([1]PP!A:A,A291)&gt;1,CONCATENATE("ID: &lt;",A291,"&gt; se v kartě PP opakuje. Je nutné tyto IDy od sebe odlišit, např. mezerou za příjmením."),IF(VLOOKUP(A291,[1]PP!$A:$W,5,FALSE)&lt;&gt;E291,CONCATENATE($E$4," &lt;",E291,"&gt; se neshoduje s jednotkou v kartě PP"," &lt;",VLOOKUP(A291,[1]PP!$A:$W,5,FALSE),"&gt;"),IF(AND(COUNTIF(K291:O291,"")&lt;5,J291="",I291=""),CONCATENATE("Doplň: ",$I$4),IF(AND(YEAR(I291)&lt;&gt;$E$2,COUNTIF(I291,"")=0),CONCATENATE("špatně uveden &lt;",$D$2,"&gt; nebo &lt;",$I$4,"&gt;"),IF(OR(AND(OR(COUNTIF(C291,"*a"),COUNTIF(C291,"*ie"),COUNTIF(C291,"*ine"),COUNTIF(D291,"*Á")),F291="muž"),AND(AND(COUNTIF(C291,"&lt;&gt;"&amp;"*a"),COUNTIF(C291,"&lt;&gt;"&amp;"*ie"),COUNTIF(C291,"&lt;&gt;"&amp;"*ine"),COUNTIF(D291,"&lt;&gt;"&amp;"*Á")),F291="žena")),CONCATENATE(C291," ",D291," je ",F291,"?"),""))))))),IF(COUNTIF(B291:O291,"")=14,"",CONCATENATE("Doplň: ",IF(B291="",CONCATENATE($B$4,IF(COUNTIF(C291:G291,"")=0,"",", ")),""),IF(C291="",CONCATENATE($C$4,IF(COUNTIF(D291:G291,"")=0,"",", ")),""),IF(D291="",CONCATENATE($D$4,IF(COUNTIF(E291:G291,"")=0,"",", ")),""),IF(E291="",CONCATENATE($E$4,IF(COUNTIF(F291:G291,"")=0,"",", ")),""),IF(F291="",CONCATENATE($F$4,IF(G291="",", ","")),""),IF(G291="",$G$4,""))))</f>
        <v/>
      </c>
      <c r="AA291" s="30"/>
    </row>
    <row r="292" spans="1:27" ht="16" x14ac:dyDescent="0.35">
      <c r="A292" s="14" t="str">
        <f t="shared" si="16"/>
        <v xml:space="preserve">  </v>
      </c>
      <c r="B292" s="15"/>
      <c r="C292" s="31"/>
      <c r="D292" s="31"/>
      <c r="E292" s="17"/>
      <c r="F292" s="18"/>
      <c r="G292" s="32"/>
      <c r="H292" s="33" t="str">
        <f>IF(G292="","",IF(F292="žena",ROMAN(MATCH(G292+1,'[1]Normy VP'!$Y$27:$Y$33,-1)),ROMAN(MATCH(G292+1,'[1]Normy VP'!$Y$19:$Y$25,-1))))</f>
        <v/>
      </c>
      <c r="I292" s="21"/>
      <c r="J292" s="22"/>
      <c r="K292" s="23"/>
      <c r="L292" s="23"/>
      <c r="M292" s="23"/>
      <c r="N292" s="22"/>
      <c r="O292" s="22"/>
      <c r="P292" s="24" t="str">
        <f>IF(OR($J292="",$J292="odešel"),IF(K292="","",IF($F292="žena",CHOOSE(_xlfn.ARABIC($H292),MATCH(K292+1,'[1]Normy VP'!$C$25:$F$25,-1),MATCH(K292+1,'[1]Normy VP'!$C$26:$F$26,-1),MATCH(K292+1,'[1]Normy VP'!$C$27:$F$27,-1),MATCH(K292+1,'[1]Normy VP'!$C$28:$F$28,-1),MATCH(K292+1,'[1]Normy VP'!$C$29:$F$29,-1),"muž"),CHOOSE(_xlfn.ARABIC($H292),MATCH(K292+1,'[1]Normy VP'!$C$10:$F$10,-1),MATCH(K292+1,'[1]Normy VP'!$C$11:$F$11,-1),MATCH(K292+1,'[1]Normy VP'!$C$12:$F$12,-1),MATCH(K292+1,'[1]Normy VP'!$C$13:$F$13,-1),MATCH(K292+1,'[1]Normy VP'!$C$14:$F$14,-1),""))),"O")</f>
        <v/>
      </c>
      <c r="Q292" s="24" t="str">
        <f>IF(OR($J292="",$J292="odešel"),IF($F292="žena","",IF(L292="","",(CHOOSE(_xlfn.ARABIC($H292),MATCH(L292+1,'[1]Normy VP'!$G$10:$J$10,-1),MATCH(L292+1,'[1]Normy VP'!$G$11:$J$11,-1),MATCH(L292+1,'[1]Normy VP'!$G$12:$J$12,-1),MATCH(L292+1,'[1]Normy VP'!$G$13:$J$13,-1),MATCH(L292+1,'[1]Normy VP'!$G$14:$J$14,-1),"")))),"O")</f>
        <v/>
      </c>
      <c r="R292" s="34" t="str">
        <f t="shared" si="17"/>
        <v>N</v>
      </c>
      <c r="S292" s="24" t="str">
        <f>IF(OR($J292="",$J292="odešel"),IF(M292="","N",IF($F292="žena",CHOOSE(_xlfn.ARABIC($H292),MATCH(M292+1,'[1]Normy VP'!$G$25:$J$25,-1),MATCH(M292+1,'[1]Normy VP'!$G$26:$J$26,-1),MATCH(M292+1,'[1]Normy VP'!$G$27:$J$27,-1),MATCH(M292+1,'[1]Normy VP'!$G$28:$J$28,-1),MATCH(M292+1,'[1]Normy VP'!$G$29:$J$29,-1),"muž"),(CHOOSE(_xlfn.ARABIC($H292),MATCH(M292+1,'[1]Normy VP'!$K$10:$N$10,-1),MATCH(M292+1,'[1]Normy VP'!$K$11:$N$11,-1),MATCH(M292+1,'[1]Normy VP'!$K$12:$N$12,-1),MATCH(M292+1,'[1]Normy VP'!$K$13:$N$13,-1),MATCH(M292+1,'[1]Normy VP'!$K$14:$N$14,-1),"")))),"O")</f>
        <v>N</v>
      </c>
      <c r="T292" s="34" t="str">
        <f t="shared" si="18"/>
        <v>N</v>
      </c>
      <c r="U292" s="24" t="str">
        <f>IF(OR($J292="",$J292="odešel"),IF(N292="","N",IF($F292="žena",CHOOSE(_xlfn.ARABIC($H292),MATCH(N292+1,'[1]Normy VP'!$K$25:$N$25,-1),MATCH(N292+1,'[1]Normy VP'!$K$26:$N$26,-1),MATCH(N292+1,'[1]Normy VP'!$K$27:$N$27,-1),MATCH(N292+1,'[1]Normy VP'!$K$28:$N$28,-1),MATCH(N292+1,'[1]Normy VP'!$K$29:$N$29,-1),MATCH(N292+1,'[1]Normy VP'!$K$30:$N$30,-1)),CHOOSE(_xlfn.ARABIC($H292),MATCH(N292+1,'[1]Normy VP'!$O$10:$R$10,-1),MATCH(N292+1,'[1]Normy VP'!$O$11:$R$11,-1),MATCH(N292+1,'[1]Normy VP'!$O$12:$R$12,-1),MATCH(N292+1,'[1]Normy VP'!$O$13:$R$13,-1),MATCH(N292+1,'[1]Normy VP'!$O$14:$R$14,-1),MATCH(N292+1,'[1]Normy VP'!$O$15:$R$15,-1)))),"O")</f>
        <v>N</v>
      </c>
      <c r="V292" s="26" t="str">
        <f>IF(OR($J292="",$J292="odešel"),IF(O292="","N",IF($F292="žena",CHOOSE(_xlfn.ARABIC($H292),MATCH(O292-1,'[1]Normy VP'!$O$25:$R$25),MATCH(O292-1,'[1]Normy VP'!$O$26:$R$26),MATCH(O292-1,'[1]Normy VP'!$O$27:$R$27),MATCH(O292-1,'[1]Normy VP'!$O$28:$R$28),MATCH(O292-1,'[1]Normy VP'!$O$29:$R$29),MATCH(O292-1,'[1]Normy VP'!$O$30:$R$30)),CHOOSE(_xlfn.ARABIC($H292),MATCH(O292-1,'[1]Normy VP'!$S$10:$V$10),MATCH(O292-1,'[1]Normy VP'!$S$11:$V$11),MATCH(O292-1,'[1]Normy VP'!$S$12:$V$12),MATCH(O292-1,'[1]Normy VP'!$S$13:$V$13),MATCH(O292-1,'[1]Normy VP'!$S$14:$V$14),MATCH(O292-1,'[1]Normy VP'!$S$15:$V$15)))),"O")</f>
        <v>N</v>
      </c>
      <c r="W292" s="34" t="str">
        <f t="shared" si="19"/>
        <v>N</v>
      </c>
      <c r="X292" s="27" t="str">
        <f>IF(COUNTIF(B292:G292,"")&gt;0,"",IF(COUNTIF([1]PP!$A:$A,A292)=0,"neni v PP",IF(OR(Y292="odešel",VLOOKUP(A292,[1]PP!$A:$W,22,FALSE)="odešel"),"odešel",IF(OR(Y292="N",VLOOKUP(A292,[1]PP!$A:$W,22,FALSE)="N"),"N",IF(OR(Y292="C",VLOOKUP(A292,[1]PP!$A:$W,22,FALSE)="C"),"C",IF(OR(Y292="DZO",VLOOKUP(A292,[1]PP!$A:$W,22,FALSE)="DZO"),"DZO",IF(OR(Y292="mise",Y292="disp.",Y292="končí",Y292="DSC",VLOOKUP(A292,[1]PP!$A:$W,22,FALSE)="mise",VLOOKUP(A292,[1]PP!$A:$W,22,FALSE)="disp.",VLOOKUP(A292,[1]PP!$A:$W,22,FALSE)="končí",VLOOKUP(A292,[1]PP!$A:$W,22,FALSE)="DSC"),"jiné",IF(OR(Y292=4,VLOOKUP(A292,[1]PP!$A:$W,22,FALSE)=4),4,IF(OR(Y292=3,VLOOKUP(A292,[1]PP!$A:$W,22,FALSE)=3),3,IF(OR(Y292=2,VLOOKUP(A292,[1]PP!$A:$W,22,FALSE)=2),2,IF(AND(Y292=1,VLOOKUP(A292,[1]PP!$A:$W,22,FALSE)=1),1)))))))))))</f>
        <v/>
      </c>
      <c r="Y292" s="28" t="str">
        <f>IF(COUNTIF(B292:G292,"")&gt;0,"",IF(COUNTIF([1]PP!$A:$A,A292)=0,"neni v PP",IF(VLOOKUP(A292,[1]PP!$A:$W,8,FALSE)="odešel","odešel",IF(F292="","",IF(J292="",IF(OR(T292=4,W292=4),4,IF(AND(T292="N",W292="N"),"N",IF(OR(T292="N",W292="N"),4,ROUND(AVERAGE(T292,W292),0)))),J292)))))</f>
        <v/>
      </c>
      <c r="Z292" s="29" t="str">
        <f>IF(COUNTIF(B292:G292,"")=0,IF(X292="neni v PP",CONCATENATE("ID: &lt;",A292,"&gt; se neshoduje s žádným IDem v kartě PP"),IF(COUNTIF($A:$A,A292)&gt;1,CONCATENATE("ID: &lt;",A292,"&gt; se v kartě VP opakuje. Je nutné tyto IDy od sebe odlišit, např. mezerou za příjmením."),IF(COUNTIF([1]PP!A:A,A292)&gt;1,CONCATENATE("ID: &lt;",A292,"&gt; se v kartě PP opakuje. Je nutné tyto IDy od sebe odlišit, např. mezerou za příjmením."),IF(VLOOKUP(A292,[1]PP!$A:$W,5,FALSE)&lt;&gt;E292,CONCATENATE($E$4," &lt;",E292,"&gt; se neshoduje s jednotkou v kartě PP"," &lt;",VLOOKUP(A292,[1]PP!$A:$W,5,FALSE),"&gt;"),IF(AND(COUNTIF(K292:O292,"")&lt;5,J292="",I292=""),CONCATENATE("Doplň: ",$I$4),IF(AND(YEAR(I292)&lt;&gt;$E$2,COUNTIF(I292,"")=0),CONCATENATE("špatně uveden &lt;",$D$2,"&gt; nebo &lt;",$I$4,"&gt;"),IF(OR(AND(OR(COUNTIF(C292,"*a"),COUNTIF(C292,"*ie"),COUNTIF(C292,"*ine"),COUNTIF(D292,"*Á")),F292="muž"),AND(AND(COUNTIF(C292,"&lt;&gt;"&amp;"*a"),COUNTIF(C292,"&lt;&gt;"&amp;"*ie"),COUNTIF(C292,"&lt;&gt;"&amp;"*ine"),COUNTIF(D292,"&lt;&gt;"&amp;"*Á")),F292="žena")),CONCATENATE(C292," ",D292," je ",F292,"?"),""))))))),IF(COUNTIF(B292:O292,"")=14,"",CONCATENATE("Doplň: ",IF(B292="",CONCATENATE($B$4,IF(COUNTIF(C292:G292,"")=0,"",", ")),""),IF(C292="",CONCATENATE($C$4,IF(COUNTIF(D292:G292,"")=0,"",", ")),""),IF(D292="",CONCATENATE($D$4,IF(COUNTIF(E292:G292,"")=0,"",", ")),""),IF(E292="",CONCATENATE($E$4,IF(COUNTIF(F292:G292,"")=0,"",", ")),""),IF(F292="",CONCATENATE($F$4,IF(G292="",", ","")),""),IF(G292="",$G$4,""))))</f>
        <v/>
      </c>
      <c r="AA292" s="30"/>
    </row>
    <row r="293" spans="1:27" ht="16" x14ac:dyDescent="0.35">
      <c r="A293" s="14" t="str">
        <f t="shared" si="16"/>
        <v xml:space="preserve">  </v>
      </c>
      <c r="B293" s="15"/>
      <c r="C293" s="35"/>
      <c r="D293" s="35"/>
      <c r="E293" s="17"/>
      <c r="F293" s="18"/>
      <c r="G293" s="32"/>
      <c r="H293" s="33" t="str">
        <f>IF(G293="","",IF(F293="žena",ROMAN(MATCH(G293+1,'[1]Normy VP'!$Y$27:$Y$33,-1)),ROMAN(MATCH(G293+1,'[1]Normy VP'!$Y$19:$Y$25,-1))))</f>
        <v/>
      </c>
      <c r="I293" s="21"/>
      <c r="J293" s="22"/>
      <c r="K293" s="23"/>
      <c r="L293" s="23"/>
      <c r="M293" s="23"/>
      <c r="N293" s="22"/>
      <c r="O293" s="22"/>
      <c r="P293" s="24" t="str">
        <f>IF(OR($J293="",$J293="odešel"),IF(K293="","",IF($F293="žena",CHOOSE(_xlfn.ARABIC($H293),MATCH(K293+1,'[1]Normy VP'!$C$25:$F$25,-1),MATCH(K293+1,'[1]Normy VP'!$C$26:$F$26,-1),MATCH(K293+1,'[1]Normy VP'!$C$27:$F$27,-1),MATCH(K293+1,'[1]Normy VP'!$C$28:$F$28,-1),MATCH(K293+1,'[1]Normy VP'!$C$29:$F$29,-1),"muž"),CHOOSE(_xlfn.ARABIC($H293),MATCH(K293+1,'[1]Normy VP'!$C$10:$F$10,-1),MATCH(K293+1,'[1]Normy VP'!$C$11:$F$11,-1),MATCH(K293+1,'[1]Normy VP'!$C$12:$F$12,-1),MATCH(K293+1,'[1]Normy VP'!$C$13:$F$13,-1),MATCH(K293+1,'[1]Normy VP'!$C$14:$F$14,-1),""))),"O")</f>
        <v/>
      </c>
      <c r="Q293" s="24" t="str">
        <f>IF(OR($J293="",$J293="odešel"),IF($F293="žena","",IF(L293="","",(CHOOSE(_xlfn.ARABIC($H293),MATCH(L293+1,'[1]Normy VP'!$G$10:$J$10,-1),MATCH(L293+1,'[1]Normy VP'!$G$11:$J$11,-1),MATCH(L293+1,'[1]Normy VP'!$G$12:$J$12,-1),MATCH(L293+1,'[1]Normy VP'!$G$13:$J$13,-1),MATCH(L293+1,'[1]Normy VP'!$G$14:$J$14,-1),"")))),"O")</f>
        <v/>
      </c>
      <c r="R293" s="34" t="str">
        <f t="shared" si="17"/>
        <v>N</v>
      </c>
      <c r="S293" s="24" t="str">
        <f>IF(OR($J293="",$J293="odešel"),IF(M293="","N",IF($F293="žena",CHOOSE(_xlfn.ARABIC($H293),MATCH(M293+1,'[1]Normy VP'!$G$25:$J$25,-1),MATCH(M293+1,'[1]Normy VP'!$G$26:$J$26,-1),MATCH(M293+1,'[1]Normy VP'!$G$27:$J$27,-1),MATCH(M293+1,'[1]Normy VP'!$G$28:$J$28,-1),MATCH(M293+1,'[1]Normy VP'!$G$29:$J$29,-1),"muž"),(CHOOSE(_xlfn.ARABIC($H293),MATCH(M293+1,'[1]Normy VP'!$K$10:$N$10,-1),MATCH(M293+1,'[1]Normy VP'!$K$11:$N$11,-1),MATCH(M293+1,'[1]Normy VP'!$K$12:$N$12,-1),MATCH(M293+1,'[1]Normy VP'!$K$13:$N$13,-1),MATCH(M293+1,'[1]Normy VP'!$K$14:$N$14,-1),"")))),"O")</f>
        <v>N</v>
      </c>
      <c r="T293" s="34" t="str">
        <f t="shared" si="18"/>
        <v>N</v>
      </c>
      <c r="U293" s="24" t="str">
        <f>IF(OR($J293="",$J293="odešel"),IF(N293="","N",IF($F293="žena",CHOOSE(_xlfn.ARABIC($H293),MATCH(N293+1,'[1]Normy VP'!$K$25:$N$25,-1),MATCH(N293+1,'[1]Normy VP'!$K$26:$N$26,-1),MATCH(N293+1,'[1]Normy VP'!$K$27:$N$27,-1),MATCH(N293+1,'[1]Normy VP'!$K$28:$N$28,-1),MATCH(N293+1,'[1]Normy VP'!$K$29:$N$29,-1),MATCH(N293+1,'[1]Normy VP'!$K$30:$N$30,-1)),CHOOSE(_xlfn.ARABIC($H293),MATCH(N293+1,'[1]Normy VP'!$O$10:$R$10,-1),MATCH(N293+1,'[1]Normy VP'!$O$11:$R$11,-1),MATCH(N293+1,'[1]Normy VP'!$O$12:$R$12,-1),MATCH(N293+1,'[1]Normy VP'!$O$13:$R$13,-1),MATCH(N293+1,'[1]Normy VP'!$O$14:$R$14,-1),MATCH(N293+1,'[1]Normy VP'!$O$15:$R$15,-1)))),"O")</f>
        <v>N</v>
      </c>
      <c r="V293" s="26" t="str">
        <f>IF(OR($J293="",$J293="odešel"),IF(O293="","N",IF($F293="žena",CHOOSE(_xlfn.ARABIC($H293),MATCH(O293-1,'[1]Normy VP'!$O$25:$R$25),MATCH(O293-1,'[1]Normy VP'!$O$26:$R$26),MATCH(O293-1,'[1]Normy VP'!$O$27:$R$27),MATCH(O293-1,'[1]Normy VP'!$O$28:$R$28),MATCH(O293-1,'[1]Normy VP'!$O$29:$R$29),MATCH(O293-1,'[1]Normy VP'!$O$30:$R$30)),CHOOSE(_xlfn.ARABIC($H293),MATCH(O293-1,'[1]Normy VP'!$S$10:$V$10),MATCH(O293-1,'[1]Normy VP'!$S$11:$V$11),MATCH(O293-1,'[1]Normy VP'!$S$12:$V$12),MATCH(O293-1,'[1]Normy VP'!$S$13:$V$13),MATCH(O293-1,'[1]Normy VP'!$S$14:$V$14),MATCH(O293-1,'[1]Normy VP'!$S$15:$V$15)))),"O")</f>
        <v>N</v>
      </c>
      <c r="W293" s="34" t="str">
        <f t="shared" si="19"/>
        <v>N</v>
      </c>
      <c r="X293" s="27" t="str">
        <f>IF(COUNTIF(B293:G293,"")&gt;0,"",IF(COUNTIF([1]PP!$A:$A,A293)=0,"neni v PP",IF(OR(Y293="odešel",VLOOKUP(A293,[1]PP!$A:$W,22,FALSE)="odešel"),"odešel",IF(OR(Y293="N",VLOOKUP(A293,[1]PP!$A:$W,22,FALSE)="N"),"N",IF(OR(Y293="C",VLOOKUP(A293,[1]PP!$A:$W,22,FALSE)="C"),"C",IF(OR(Y293="DZO",VLOOKUP(A293,[1]PP!$A:$W,22,FALSE)="DZO"),"DZO",IF(OR(Y293="mise",Y293="disp.",Y293="končí",Y293="DSC",VLOOKUP(A293,[1]PP!$A:$W,22,FALSE)="mise",VLOOKUP(A293,[1]PP!$A:$W,22,FALSE)="disp.",VLOOKUP(A293,[1]PP!$A:$W,22,FALSE)="končí",VLOOKUP(A293,[1]PP!$A:$W,22,FALSE)="DSC"),"jiné",IF(OR(Y293=4,VLOOKUP(A293,[1]PP!$A:$W,22,FALSE)=4),4,IF(OR(Y293=3,VLOOKUP(A293,[1]PP!$A:$W,22,FALSE)=3),3,IF(OR(Y293=2,VLOOKUP(A293,[1]PP!$A:$W,22,FALSE)=2),2,IF(AND(Y293=1,VLOOKUP(A293,[1]PP!$A:$W,22,FALSE)=1),1)))))))))))</f>
        <v/>
      </c>
      <c r="Y293" s="28" t="str">
        <f>IF(COUNTIF(B293:G293,"")&gt;0,"",IF(COUNTIF([1]PP!$A:$A,A293)=0,"neni v PP",IF(VLOOKUP(A293,[1]PP!$A:$W,8,FALSE)="odešel","odešel",IF(F293="","",IF(J293="",IF(OR(T293=4,W293=4),4,IF(AND(T293="N",W293="N"),"N",IF(OR(T293="N",W293="N"),4,ROUND(AVERAGE(T293,W293),0)))),J293)))))</f>
        <v/>
      </c>
      <c r="Z293" s="29" t="str">
        <f>IF(COUNTIF(B293:G293,"")=0,IF(X293="neni v PP",CONCATENATE("ID: &lt;",A293,"&gt; se neshoduje s žádným IDem v kartě PP"),IF(COUNTIF($A:$A,A293)&gt;1,CONCATENATE("ID: &lt;",A293,"&gt; se v kartě VP opakuje. Je nutné tyto IDy od sebe odlišit, např. mezerou za příjmením."),IF(COUNTIF([1]PP!A:A,A293)&gt;1,CONCATENATE("ID: &lt;",A293,"&gt; se v kartě PP opakuje. Je nutné tyto IDy od sebe odlišit, např. mezerou za příjmením."),IF(VLOOKUP(A293,[1]PP!$A:$W,5,FALSE)&lt;&gt;E293,CONCATENATE($E$4," &lt;",E293,"&gt; se neshoduje s jednotkou v kartě PP"," &lt;",VLOOKUP(A293,[1]PP!$A:$W,5,FALSE),"&gt;"),IF(AND(COUNTIF(K293:O293,"")&lt;5,J293="",I293=""),CONCATENATE("Doplň: ",$I$4),IF(AND(YEAR(I293)&lt;&gt;$E$2,COUNTIF(I293,"")=0),CONCATENATE("špatně uveden &lt;",$D$2,"&gt; nebo &lt;",$I$4,"&gt;"),IF(OR(AND(OR(COUNTIF(C293,"*a"),COUNTIF(C293,"*ie"),COUNTIF(C293,"*ine"),COUNTIF(D293,"*Á")),F293="muž"),AND(AND(COUNTIF(C293,"&lt;&gt;"&amp;"*a"),COUNTIF(C293,"&lt;&gt;"&amp;"*ie"),COUNTIF(C293,"&lt;&gt;"&amp;"*ine"),COUNTIF(D293,"&lt;&gt;"&amp;"*Á")),F293="žena")),CONCATENATE(C293," ",D293," je ",F293,"?"),""))))))),IF(COUNTIF(B293:O293,"")=14,"",CONCATENATE("Doplň: ",IF(B293="",CONCATENATE($B$4,IF(COUNTIF(C293:G293,"")=0,"",", ")),""),IF(C293="",CONCATENATE($C$4,IF(COUNTIF(D293:G293,"")=0,"",", ")),""),IF(D293="",CONCATENATE($D$4,IF(COUNTIF(E293:G293,"")=0,"",", ")),""),IF(E293="",CONCATENATE($E$4,IF(COUNTIF(F293:G293,"")=0,"",", ")),""),IF(F293="",CONCATENATE($F$4,IF(G293="",", ","")),""),IF(G293="",$G$4,""))))</f>
        <v/>
      </c>
      <c r="AA293" s="30"/>
    </row>
    <row r="294" spans="1:27" ht="16" x14ac:dyDescent="0.35">
      <c r="A294" s="14" t="str">
        <f t="shared" si="16"/>
        <v xml:space="preserve">  </v>
      </c>
      <c r="B294" s="15"/>
      <c r="C294" s="31"/>
      <c r="D294" s="31"/>
      <c r="E294" s="17"/>
      <c r="F294" s="18"/>
      <c r="G294" s="32"/>
      <c r="H294" s="33" t="str">
        <f>IF(G294="","",IF(F294="žena",ROMAN(MATCH(G294+1,'[1]Normy VP'!$Y$27:$Y$33,-1)),ROMAN(MATCH(G294+1,'[1]Normy VP'!$Y$19:$Y$25,-1))))</f>
        <v/>
      </c>
      <c r="I294" s="21"/>
      <c r="J294" s="22"/>
      <c r="K294" s="23"/>
      <c r="L294" s="23"/>
      <c r="M294" s="23"/>
      <c r="N294" s="22"/>
      <c r="O294" s="22"/>
      <c r="P294" s="24" t="str">
        <f>IF(OR($J294="",$J294="odešel"),IF(K294="","",IF($F294="žena",CHOOSE(_xlfn.ARABIC($H294),MATCH(K294+1,'[1]Normy VP'!$C$25:$F$25,-1),MATCH(K294+1,'[1]Normy VP'!$C$26:$F$26,-1),MATCH(K294+1,'[1]Normy VP'!$C$27:$F$27,-1),MATCH(K294+1,'[1]Normy VP'!$C$28:$F$28,-1),MATCH(K294+1,'[1]Normy VP'!$C$29:$F$29,-1),"muž"),CHOOSE(_xlfn.ARABIC($H294),MATCH(K294+1,'[1]Normy VP'!$C$10:$F$10,-1),MATCH(K294+1,'[1]Normy VP'!$C$11:$F$11,-1),MATCH(K294+1,'[1]Normy VP'!$C$12:$F$12,-1),MATCH(K294+1,'[1]Normy VP'!$C$13:$F$13,-1),MATCH(K294+1,'[1]Normy VP'!$C$14:$F$14,-1),""))),"O")</f>
        <v/>
      </c>
      <c r="Q294" s="24" t="str">
        <f>IF(OR($J294="",$J294="odešel"),IF($F294="žena","",IF(L294="","",(CHOOSE(_xlfn.ARABIC($H294),MATCH(L294+1,'[1]Normy VP'!$G$10:$J$10,-1),MATCH(L294+1,'[1]Normy VP'!$G$11:$J$11,-1),MATCH(L294+1,'[1]Normy VP'!$G$12:$J$12,-1),MATCH(L294+1,'[1]Normy VP'!$G$13:$J$13,-1),MATCH(L294+1,'[1]Normy VP'!$G$14:$J$14,-1),"")))),"O")</f>
        <v/>
      </c>
      <c r="R294" s="34" t="str">
        <f t="shared" si="17"/>
        <v>N</v>
      </c>
      <c r="S294" s="24" t="str">
        <f>IF(OR($J294="",$J294="odešel"),IF(M294="","N",IF($F294="žena",CHOOSE(_xlfn.ARABIC($H294),MATCH(M294+1,'[1]Normy VP'!$G$25:$J$25,-1),MATCH(M294+1,'[1]Normy VP'!$G$26:$J$26,-1),MATCH(M294+1,'[1]Normy VP'!$G$27:$J$27,-1),MATCH(M294+1,'[1]Normy VP'!$G$28:$J$28,-1),MATCH(M294+1,'[1]Normy VP'!$G$29:$J$29,-1),"muž"),(CHOOSE(_xlfn.ARABIC($H294),MATCH(M294+1,'[1]Normy VP'!$K$10:$N$10,-1),MATCH(M294+1,'[1]Normy VP'!$K$11:$N$11,-1),MATCH(M294+1,'[1]Normy VP'!$K$12:$N$12,-1),MATCH(M294+1,'[1]Normy VP'!$K$13:$N$13,-1),MATCH(M294+1,'[1]Normy VP'!$K$14:$N$14,-1),"")))),"O")</f>
        <v>N</v>
      </c>
      <c r="T294" s="34" t="str">
        <f t="shared" si="18"/>
        <v>N</v>
      </c>
      <c r="U294" s="24" t="str">
        <f>IF(OR($J294="",$J294="odešel"),IF(N294="","N",IF($F294="žena",CHOOSE(_xlfn.ARABIC($H294),MATCH(N294+1,'[1]Normy VP'!$K$25:$N$25,-1),MATCH(N294+1,'[1]Normy VP'!$K$26:$N$26,-1),MATCH(N294+1,'[1]Normy VP'!$K$27:$N$27,-1),MATCH(N294+1,'[1]Normy VP'!$K$28:$N$28,-1),MATCH(N294+1,'[1]Normy VP'!$K$29:$N$29,-1),MATCH(N294+1,'[1]Normy VP'!$K$30:$N$30,-1)),CHOOSE(_xlfn.ARABIC($H294),MATCH(N294+1,'[1]Normy VP'!$O$10:$R$10,-1),MATCH(N294+1,'[1]Normy VP'!$O$11:$R$11,-1),MATCH(N294+1,'[1]Normy VP'!$O$12:$R$12,-1),MATCH(N294+1,'[1]Normy VP'!$O$13:$R$13,-1),MATCH(N294+1,'[1]Normy VP'!$O$14:$R$14,-1),MATCH(N294+1,'[1]Normy VP'!$O$15:$R$15,-1)))),"O")</f>
        <v>N</v>
      </c>
      <c r="V294" s="26" t="str">
        <f>IF(OR($J294="",$J294="odešel"),IF(O294="","N",IF($F294="žena",CHOOSE(_xlfn.ARABIC($H294),MATCH(O294-1,'[1]Normy VP'!$O$25:$R$25),MATCH(O294-1,'[1]Normy VP'!$O$26:$R$26),MATCH(O294-1,'[1]Normy VP'!$O$27:$R$27),MATCH(O294-1,'[1]Normy VP'!$O$28:$R$28),MATCH(O294-1,'[1]Normy VP'!$O$29:$R$29),MATCH(O294-1,'[1]Normy VP'!$O$30:$R$30)),CHOOSE(_xlfn.ARABIC($H294),MATCH(O294-1,'[1]Normy VP'!$S$10:$V$10),MATCH(O294-1,'[1]Normy VP'!$S$11:$V$11),MATCH(O294-1,'[1]Normy VP'!$S$12:$V$12),MATCH(O294-1,'[1]Normy VP'!$S$13:$V$13),MATCH(O294-1,'[1]Normy VP'!$S$14:$V$14),MATCH(O294-1,'[1]Normy VP'!$S$15:$V$15)))),"O")</f>
        <v>N</v>
      </c>
      <c r="W294" s="34" t="str">
        <f t="shared" si="19"/>
        <v>N</v>
      </c>
      <c r="X294" s="27" t="str">
        <f>IF(COUNTIF(B294:G294,"")&gt;0,"",IF(COUNTIF([1]PP!$A:$A,A294)=0,"neni v PP",IF(OR(Y294="odešel",VLOOKUP(A294,[1]PP!$A:$W,22,FALSE)="odešel"),"odešel",IF(OR(Y294="N",VLOOKUP(A294,[1]PP!$A:$W,22,FALSE)="N"),"N",IF(OR(Y294="C",VLOOKUP(A294,[1]PP!$A:$W,22,FALSE)="C"),"C",IF(OR(Y294="DZO",VLOOKUP(A294,[1]PP!$A:$W,22,FALSE)="DZO"),"DZO",IF(OR(Y294="mise",Y294="disp.",Y294="končí",Y294="DSC",VLOOKUP(A294,[1]PP!$A:$W,22,FALSE)="mise",VLOOKUP(A294,[1]PP!$A:$W,22,FALSE)="disp.",VLOOKUP(A294,[1]PP!$A:$W,22,FALSE)="končí",VLOOKUP(A294,[1]PP!$A:$W,22,FALSE)="DSC"),"jiné",IF(OR(Y294=4,VLOOKUP(A294,[1]PP!$A:$W,22,FALSE)=4),4,IF(OR(Y294=3,VLOOKUP(A294,[1]PP!$A:$W,22,FALSE)=3),3,IF(OR(Y294=2,VLOOKUP(A294,[1]PP!$A:$W,22,FALSE)=2),2,IF(AND(Y294=1,VLOOKUP(A294,[1]PP!$A:$W,22,FALSE)=1),1)))))))))))</f>
        <v/>
      </c>
      <c r="Y294" s="28" t="str">
        <f>IF(COUNTIF(B294:G294,"")&gt;0,"",IF(COUNTIF([1]PP!$A:$A,A294)=0,"neni v PP",IF(VLOOKUP(A294,[1]PP!$A:$W,8,FALSE)="odešel","odešel",IF(F294="","",IF(J294="",IF(OR(T294=4,W294=4),4,IF(AND(T294="N",W294="N"),"N",IF(OR(T294="N",W294="N"),4,ROUND(AVERAGE(T294,W294),0)))),J294)))))</f>
        <v/>
      </c>
      <c r="Z294" s="29" t="str">
        <f>IF(COUNTIF(B294:G294,"")=0,IF(X294="neni v PP",CONCATENATE("ID: &lt;",A294,"&gt; se neshoduje s žádným IDem v kartě PP"),IF(COUNTIF($A:$A,A294)&gt;1,CONCATENATE("ID: &lt;",A294,"&gt; se v kartě VP opakuje. Je nutné tyto IDy od sebe odlišit, např. mezerou za příjmením."),IF(COUNTIF([1]PP!A:A,A294)&gt;1,CONCATENATE("ID: &lt;",A294,"&gt; se v kartě PP opakuje. Je nutné tyto IDy od sebe odlišit, např. mezerou za příjmením."),IF(VLOOKUP(A294,[1]PP!$A:$W,5,FALSE)&lt;&gt;E294,CONCATENATE($E$4," &lt;",E294,"&gt; se neshoduje s jednotkou v kartě PP"," &lt;",VLOOKUP(A294,[1]PP!$A:$W,5,FALSE),"&gt;"),IF(AND(COUNTIF(K294:O294,"")&lt;5,J294="",I294=""),CONCATENATE("Doplň: ",$I$4),IF(AND(YEAR(I294)&lt;&gt;$E$2,COUNTIF(I294,"")=0),CONCATENATE("špatně uveden &lt;",$D$2,"&gt; nebo &lt;",$I$4,"&gt;"),IF(OR(AND(OR(COUNTIF(C294,"*a"),COUNTIF(C294,"*ie"),COUNTIF(C294,"*ine"),COUNTIF(D294,"*Á")),F294="muž"),AND(AND(COUNTIF(C294,"&lt;&gt;"&amp;"*a"),COUNTIF(C294,"&lt;&gt;"&amp;"*ie"),COUNTIF(C294,"&lt;&gt;"&amp;"*ine"),COUNTIF(D294,"&lt;&gt;"&amp;"*Á")),F294="žena")),CONCATENATE(C294," ",D294," je ",F294,"?"),""))))))),IF(COUNTIF(B294:O294,"")=14,"",CONCATENATE("Doplň: ",IF(B294="",CONCATENATE($B$4,IF(COUNTIF(C294:G294,"")=0,"",", ")),""),IF(C294="",CONCATENATE($C$4,IF(COUNTIF(D294:G294,"")=0,"",", ")),""),IF(D294="",CONCATENATE($D$4,IF(COUNTIF(E294:G294,"")=0,"",", ")),""),IF(E294="",CONCATENATE($E$4,IF(COUNTIF(F294:G294,"")=0,"",", ")),""),IF(F294="",CONCATENATE($F$4,IF(G294="",", ","")),""),IF(G294="",$G$4,""))))</f>
        <v/>
      </c>
      <c r="AA294" s="30"/>
    </row>
    <row r="295" spans="1:27" ht="16" x14ac:dyDescent="0.35">
      <c r="A295" s="14" t="str">
        <f t="shared" si="16"/>
        <v xml:space="preserve">  </v>
      </c>
      <c r="B295" s="15"/>
      <c r="C295" s="31"/>
      <c r="D295" s="31"/>
      <c r="E295" s="17"/>
      <c r="F295" s="18"/>
      <c r="G295" s="32"/>
      <c r="H295" s="33" t="str">
        <f>IF(G295="","",IF(F295="žena",ROMAN(MATCH(G295+1,'[1]Normy VP'!$Y$27:$Y$33,-1)),ROMAN(MATCH(G295+1,'[1]Normy VP'!$Y$19:$Y$25,-1))))</f>
        <v/>
      </c>
      <c r="I295" s="21"/>
      <c r="J295" s="22"/>
      <c r="K295" s="23"/>
      <c r="L295" s="23"/>
      <c r="M295" s="23"/>
      <c r="N295" s="22"/>
      <c r="O295" s="22"/>
      <c r="P295" s="24" t="str">
        <f>IF(OR($J295="",$J295="odešel"),IF(K295="","",IF($F295="žena",CHOOSE(_xlfn.ARABIC($H295),MATCH(K295+1,'[1]Normy VP'!$C$25:$F$25,-1),MATCH(K295+1,'[1]Normy VP'!$C$26:$F$26,-1),MATCH(K295+1,'[1]Normy VP'!$C$27:$F$27,-1),MATCH(K295+1,'[1]Normy VP'!$C$28:$F$28,-1),MATCH(K295+1,'[1]Normy VP'!$C$29:$F$29,-1),"muž"),CHOOSE(_xlfn.ARABIC($H295),MATCH(K295+1,'[1]Normy VP'!$C$10:$F$10,-1),MATCH(K295+1,'[1]Normy VP'!$C$11:$F$11,-1),MATCH(K295+1,'[1]Normy VP'!$C$12:$F$12,-1),MATCH(K295+1,'[1]Normy VP'!$C$13:$F$13,-1),MATCH(K295+1,'[1]Normy VP'!$C$14:$F$14,-1),""))),"O")</f>
        <v/>
      </c>
      <c r="Q295" s="24" t="str">
        <f>IF(OR($J295="",$J295="odešel"),IF($F295="žena","",IF(L295="","",(CHOOSE(_xlfn.ARABIC($H295),MATCH(L295+1,'[1]Normy VP'!$G$10:$J$10,-1),MATCH(L295+1,'[1]Normy VP'!$G$11:$J$11,-1),MATCH(L295+1,'[1]Normy VP'!$G$12:$J$12,-1),MATCH(L295+1,'[1]Normy VP'!$G$13:$J$13,-1),MATCH(L295+1,'[1]Normy VP'!$G$14:$J$14,-1),"")))),"O")</f>
        <v/>
      </c>
      <c r="R295" s="34" t="str">
        <f t="shared" si="17"/>
        <v>N</v>
      </c>
      <c r="S295" s="24" t="str">
        <f>IF(OR($J295="",$J295="odešel"),IF(M295="","N",IF($F295="žena",CHOOSE(_xlfn.ARABIC($H295),MATCH(M295+1,'[1]Normy VP'!$G$25:$J$25,-1),MATCH(M295+1,'[1]Normy VP'!$G$26:$J$26,-1),MATCH(M295+1,'[1]Normy VP'!$G$27:$J$27,-1),MATCH(M295+1,'[1]Normy VP'!$G$28:$J$28,-1),MATCH(M295+1,'[1]Normy VP'!$G$29:$J$29,-1),"muž"),(CHOOSE(_xlfn.ARABIC($H295),MATCH(M295+1,'[1]Normy VP'!$K$10:$N$10,-1),MATCH(M295+1,'[1]Normy VP'!$K$11:$N$11,-1),MATCH(M295+1,'[1]Normy VP'!$K$12:$N$12,-1),MATCH(M295+1,'[1]Normy VP'!$K$13:$N$13,-1),MATCH(M295+1,'[1]Normy VP'!$K$14:$N$14,-1),"")))),"O")</f>
        <v>N</v>
      </c>
      <c r="T295" s="34" t="str">
        <f t="shared" si="18"/>
        <v>N</v>
      </c>
      <c r="U295" s="24" t="str">
        <f>IF(OR($J295="",$J295="odešel"),IF(N295="","N",IF($F295="žena",CHOOSE(_xlfn.ARABIC($H295),MATCH(N295+1,'[1]Normy VP'!$K$25:$N$25,-1),MATCH(N295+1,'[1]Normy VP'!$K$26:$N$26,-1),MATCH(N295+1,'[1]Normy VP'!$K$27:$N$27,-1),MATCH(N295+1,'[1]Normy VP'!$K$28:$N$28,-1),MATCH(N295+1,'[1]Normy VP'!$K$29:$N$29,-1),MATCH(N295+1,'[1]Normy VP'!$K$30:$N$30,-1)),CHOOSE(_xlfn.ARABIC($H295),MATCH(N295+1,'[1]Normy VP'!$O$10:$R$10,-1),MATCH(N295+1,'[1]Normy VP'!$O$11:$R$11,-1),MATCH(N295+1,'[1]Normy VP'!$O$12:$R$12,-1),MATCH(N295+1,'[1]Normy VP'!$O$13:$R$13,-1),MATCH(N295+1,'[1]Normy VP'!$O$14:$R$14,-1),MATCH(N295+1,'[1]Normy VP'!$O$15:$R$15,-1)))),"O")</f>
        <v>N</v>
      </c>
      <c r="V295" s="26" t="str">
        <f>IF(OR($J295="",$J295="odešel"),IF(O295="","N",IF($F295="žena",CHOOSE(_xlfn.ARABIC($H295),MATCH(O295-1,'[1]Normy VP'!$O$25:$R$25),MATCH(O295-1,'[1]Normy VP'!$O$26:$R$26),MATCH(O295-1,'[1]Normy VP'!$O$27:$R$27),MATCH(O295-1,'[1]Normy VP'!$O$28:$R$28),MATCH(O295-1,'[1]Normy VP'!$O$29:$R$29),MATCH(O295-1,'[1]Normy VP'!$O$30:$R$30)),CHOOSE(_xlfn.ARABIC($H295),MATCH(O295-1,'[1]Normy VP'!$S$10:$V$10),MATCH(O295-1,'[1]Normy VP'!$S$11:$V$11),MATCH(O295-1,'[1]Normy VP'!$S$12:$V$12),MATCH(O295-1,'[1]Normy VP'!$S$13:$V$13),MATCH(O295-1,'[1]Normy VP'!$S$14:$V$14),MATCH(O295-1,'[1]Normy VP'!$S$15:$V$15)))),"O")</f>
        <v>N</v>
      </c>
      <c r="W295" s="34" t="str">
        <f t="shared" si="19"/>
        <v>N</v>
      </c>
      <c r="X295" s="27" t="str">
        <f>IF(COUNTIF(B295:G295,"")&gt;0,"",IF(COUNTIF([1]PP!$A:$A,A295)=0,"neni v PP",IF(OR(Y295="odešel",VLOOKUP(A295,[1]PP!$A:$W,22,FALSE)="odešel"),"odešel",IF(OR(Y295="N",VLOOKUP(A295,[1]PP!$A:$W,22,FALSE)="N"),"N",IF(OR(Y295="C",VLOOKUP(A295,[1]PP!$A:$W,22,FALSE)="C"),"C",IF(OR(Y295="DZO",VLOOKUP(A295,[1]PP!$A:$W,22,FALSE)="DZO"),"DZO",IF(OR(Y295="mise",Y295="disp.",Y295="končí",Y295="DSC",VLOOKUP(A295,[1]PP!$A:$W,22,FALSE)="mise",VLOOKUP(A295,[1]PP!$A:$W,22,FALSE)="disp.",VLOOKUP(A295,[1]PP!$A:$W,22,FALSE)="končí",VLOOKUP(A295,[1]PP!$A:$W,22,FALSE)="DSC"),"jiné",IF(OR(Y295=4,VLOOKUP(A295,[1]PP!$A:$W,22,FALSE)=4),4,IF(OR(Y295=3,VLOOKUP(A295,[1]PP!$A:$W,22,FALSE)=3),3,IF(OR(Y295=2,VLOOKUP(A295,[1]PP!$A:$W,22,FALSE)=2),2,IF(AND(Y295=1,VLOOKUP(A295,[1]PP!$A:$W,22,FALSE)=1),1)))))))))))</f>
        <v/>
      </c>
      <c r="Y295" s="28" t="str">
        <f>IF(COUNTIF(B295:G295,"")&gt;0,"",IF(COUNTIF([1]PP!$A:$A,A295)=0,"neni v PP",IF(VLOOKUP(A295,[1]PP!$A:$W,8,FALSE)="odešel","odešel",IF(F295="","",IF(J295="",IF(OR(T295=4,W295=4),4,IF(AND(T295="N",W295="N"),"N",IF(OR(T295="N",W295="N"),4,ROUND(AVERAGE(T295,W295),0)))),J295)))))</f>
        <v/>
      </c>
      <c r="Z295" s="29" t="str">
        <f>IF(COUNTIF(B295:G295,"")=0,IF(X295="neni v PP",CONCATENATE("ID: &lt;",A295,"&gt; se neshoduje s žádným IDem v kartě PP"),IF(COUNTIF($A:$A,A295)&gt;1,CONCATENATE("ID: &lt;",A295,"&gt; se v kartě VP opakuje. Je nutné tyto IDy od sebe odlišit, např. mezerou za příjmením."),IF(COUNTIF([1]PP!A:A,A295)&gt;1,CONCATENATE("ID: &lt;",A295,"&gt; se v kartě PP opakuje. Je nutné tyto IDy od sebe odlišit, např. mezerou za příjmením."),IF(VLOOKUP(A295,[1]PP!$A:$W,5,FALSE)&lt;&gt;E295,CONCATENATE($E$4," &lt;",E295,"&gt; se neshoduje s jednotkou v kartě PP"," &lt;",VLOOKUP(A295,[1]PP!$A:$W,5,FALSE),"&gt;"),IF(AND(COUNTIF(K295:O295,"")&lt;5,J295="",I295=""),CONCATENATE("Doplň: ",$I$4),IF(AND(YEAR(I295)&lt;&gt;$E$2,COUNTIF(I295,"")=0),CONCATENATE("špatně uveden &lt;",$D$2,"&gt; nebo &lt;",$I$4,"&gt;"),IF(OR(AND(OR(COUNTIF(C295,"*a"),COUNTIF(C295,"*ie"),COUNTIF(C295,"*ine"),COUNTIF(D295,"*Á")),F295="muž"),AND(AND(COUNTIF(C295,"&lt;&gt;"&amp;"*a"),COUNTIF(C295,"&lt;&gt;"&amp;"*ie"),COUNTIF(C295,"&lt;&gt;"&amp;"*ine"),COUNTIF(D295,"&lt;&gt;"&amp;"*Á")),F295="žena")),CONCATENATE(C295," ",D295," je ",F295,"?"),""))))))),IF(COUNTIF(B295:O295,"")=14,"",CONCATENATE("Doplň: ",IF(B295="",CONCATENATE($B$4,IF(COUNTIF(C295:G295,"")=0,"",", ")),""),IF(C295="",CONCATENATE($C$4,IF(COUNTIF(D295:G295,"")=0,"",", ")),""),IF(D295="",CONCATENATE($D$4,IF(COUNTIF(E295:G295,"")=0,"",", ")),""),IF(E295="",CONCATENATE($E$4,IF(COUNTIF(F295:G295,"")=0,"",", ")),""),IF(F295="",CONCATENATE($F$4,IF(G295="",", ","")),""),IF(G295="",$G$4,""))))</f>
        <v/>
      </c>
      <c r="AA295" s="30"/>
    </row>
    <row r="296" spans="1:27" ht="16" x14ac:dyDescent="0.35">
      <c r="A296" s="14" t="str">
        <f t="shared" si="16"/>
        <v xml:space="preserve">  </v>
      </c>
      <c r="B296" s="15"/>
      <c r="C296" s="31"/>
      <c r="D296" s="31"/>
      <c r="E296" s="17"/>
      <c r="F296" s="18"/>
      <c r="G296" s="32"/>
      <c r="H296" s="33" t="str">
        <f>IF(G296="","",IF(F296="žena",ROMAN(MATCH(G296+1,'[1]Normy VP'!$Y$27:$Y$33,-1)),ROMAN(MATCH(G296+1,'[1]Normy VP'!$Y$19:$Y$25,-1))))</f>
        <v/>
      </c>
      <c r="I296" s="21"/>
      <c r="J296" s="22"/>
      <c r="K296" s="23"/>
      <c r="L296" s="23"/>
      <c r="M296" s="23"/>
      <c r="N296" s="22"/>
      <c r="O296" s="22"/>
      <c r="P296" s="24" t="str">
        <f>IF(OR($J296="",$J296="odešel"),IF(K296="","",IF($F296="žena",CHOOSE(_xlfn.ARABIC($H296),MATCH(K296+1,'[1]Normy VP'!$C$25:$F$25,-1),MATCH(K296+1,'[1]Normy VP'!$C$26:$F$26,-1),MATCH(K296+1,'[1]Normy VP'!$C$27:$F$27,-1),MATCH(K296+1,'[1]Normy VP'!$C$28:$F$28,-1),MATCH(K296+1,'[1]Normy VP'!$C$29:$F$29,-1),"muž"),CHOOSE(_xlfn.ARABIC($H296),MATCH(K296+1,'[1]Normy VP'!$C$10:$F$10,-1),MATCH(K296+1,'[1]Normy VP'!$C$11:$F$11,-1),MATCH(K296+1,'[1]Normy VP'!$C$12:$F$12,-1),MATCH(K296+1,'[1]Normy VP'!$C$13:$F$13,-1),MATCH(K296+1,'[1]Normy VP'!$C$14:$F$14,-1),""))),"O")</f>
        <v/>
      </c>
      <c r="Q296" s="24" t="str">
        <f>IF(OR($J296="",$J296="odešel"),IF($F296="žena","",IF(L296="","",(CHOOSE(_xlfn.ARABIC($H296),MATCH(L296+1,'[1]Normy VP'!$G$10:$J$10,-1),MATCH(L296+1,'[1]Normy VP'!$G$11:$J$11,-1),MATCH(L296+1,'[1]Normy VP'!$G$12:$J$12,-1),MATCH(L296+1,'[1]Normy VP'!$G$13:$J$13,-1),MATCH(L296+1,'[1]Normy VP'!$G$14:$J$14,-1),"")))),"O")</f>
        <v/>
      </c>
      <c r="R296" s="34" t="str">
        <f t="shared" si="17"/>
        <v>N</v>
      </c>
      <c r="S296" s="24" t="str">
        <f>IF(OR($J296="",$J296="odešel"),IF(M296="","N",IF($F296="žena",CHOOSE(_xlfn.ARABIC($H296),MATCH(M296+1,'[1]Normy VP'!$G$25:$J$25,-1),MATCH(M296+1,'[1]Normy VP'!$G$26:$J$26,-1),MATCH(M296+1,'[1]Normy VP'!$G$27:$J$27,-1),MATCH(M296+1,'[1]Normy VP'!$G$28:$J$28,-1),MATCH(M296+1,'[1]Normy VP'!$G$29:$J$29,-1),"muž"),(CHOOSE(_xlfn.ARABIC($H296),MATCH(M296+1,'[1]Normy VP'!$K$10:$N$10,-1),MATCH(M296+1,'[1]Normy VP'!$K$11:$N$11,-1),MATCH(M296+1,'[1]Normy VP'!$K$12:$N$12,-1),MATCH(M296+1,'[1]Normy VP'!$K$13:$N$13,-1),MATCH(M296+1,'[1]Normy VP'!$K$14:$N$14,-1),"")))),"O")</f>
        <v>N</v>
      </c>
      <c r="T296" s="34" t="str">
        <f t="shared" si="18"/>
        <v>N</v>
      </c>
      <c r="U296" s="24" t="str">
        <f>IF(OR($J296="",$J296="odešel"),IF(N296="","N",IF($F296="žena",CHOOSE(_xlfn.ARABIC($H296),MATCH(N296+1,'[1]Normy VP'!$K$25:$N$25,-1),MATCH(N296+1,'[1]Normy VP'!$K$26:$N$26,-1),MATCH(N296+1,'[1]Normy VP'!$K$27:$N$27,-1),MATCH(N296+1,'[1]Normy VP'!$K$28:$N$28,-1),MATCH(N296+1,'[1]Normy VP'!$K$29:$N$29,-1),MATCH(N296+1,'[1]Normy VP'!$K$30:$N$30,-1)),CHOOSE(_xlfn.ARABIC($H296),MATCH(N296+1,'[1]Normy VP'!$O$10:$R$10,-1),MATCH(N296+1,'[1]Normy VP'!$O$11:$R$11,-1),MATCH(N296+1,'[1]Normy VP'!$O$12:$R$12,-1),MATCH(N296+1,'[1]Normy VP'!$O$13:$R$13,-1),MATCH(N296+1,'[1]Normy VP'!$O$14:$R$14,-1),MATCH(N296+1,'[1]Normy VP'!$O$15:$R$15,-1)))),"O")</f>
        <v>N</v>
      </c>
      <c r="V296" s="26" t="str">
        <f>IF(OR($J296="",$J296="odešel"),IF(O296="","N",IF($F296="žena",CHOOSE(_xlfn.ARABIC($H296),MATCH(O296-1,'[1]Normy VP'!$O$25:$R$25),MATCH(O296-1,'[1]Normy VP'!$O$26:$R$26),MATCH(O296-1,'[1]Normy VP'!$O$27:$R$27),MATCH(O296-1,'[1]Normy VP'!$O$28:$R$28),MATCH(O296-1,'[1]Normy VP'!$O$29:$R$29),MATCH(O296-1,'[1]Normy VP'!$O$30:$R$30)),CHOOSE(_xlfn.ARABIC($H296),MATCH(O296-1,'[1]Normy VP'!$S$10:$V$10),MATCH(O296-1,'[1]Normy VP'!$S$11:$V$11),MATCH(O296-1,'[1]Normy VP'!$S$12:$V$12),MATCH(O296-1,'[1]Normy VP'!$S$13:$V$13),MATCH(O296-1,'[1]Normy VP'!$S$14:$V$14),MATCH(O296-1,'[1]Normy VP'!$S$15:$V$15)))),"O")</f>
        <v>N</v>
      </c>
      <c r="W296" s="34" t="str">
        <f t="shared" si="19"/>
        <v>N</v>
      </c>
      <c r="X296" s="27" t="str">
        <f>IF(COUNTIF(B296:G296,"")&gt;0,"",IF(COUNTIF([1]PP!$A:$A,A296)=0,"neni v PP",IF(OR(Y296="odešel",VLOOKUP(A296,[1]PP!$A:$W,22,FALSE)="odešel"),"odešel",IF(OR(Y296="N",VLOOKUP(A296,[1]PP!$A:$W,22,FALSE)="N"),"N",IF(OR(Y296="C",VLOOKUP(A296,[1]PP!$A:$W,22,FALSE)="C"),"C",IF(OR(Y296="DZO",VLOOKUP(A296,[1]PP!$A:$W,22,FALSE)="DZO"),"DZO",IF(OR(Y296="mise",Y296="disp.",Y296="končí",Y296="DSC",VLOOKUP(A296,[1]PP!$A:$W,22,FALSE)="mise",VLOOKUP(A296,[1]PP!$A:$W,22,FALSE)="disp.",VLOOKUP(A296,[1]PP!$A:$W,22,FALSE)="končí",VLOOKUP(A296,[1]PP!$A:$W,22,FALSE)="DSC"),"jiné",IF(OR(Y296=4,VLOOKUP(A296,[1]PP!$A:$W,22,FALSE)=4),4,IF(OR(Y296=3,VLOOKUP(A296,[1]PP!$A:$W,22,FALSE)=3),3,IF(OR(Y296=2,VLOOKUP(A296,[1]PP!$A:$W,22,FALSE)=2),2,IF(AND(Y296=1,VLOOKUP(A296,[1]PP!$A:$W,22,FALSE)=1),1)))))))))))</f>
        <v/>
      </c>
      <c r="Y296" s="28" t="str">
        <f>IF(COUNTIF(B296:G296,"")&gt;0,"",IF(COUNTIF([1]PP!$A:$A,A296)=0,"neni v PP",IF(VLOOKUP(A296,[1]PP!$A:$W,8,FALSE)="odešel","odešel",IF(F296="","",IF(J296="",IF(OR(T296=4,W296=4),4,IF(AND(T296="N",W296="N"),"N",IF(OR(T296="N",W296="N"),4,ROUND(AVERAGE(T296,W296),0)))),J296)))))</f>
        <v/>
      </c>
      <c r="Z296" s="29" t="str">
        <f>IF(COUNTIF(B296:G296,"")=0,IF(X296="neni v PP",CONCATENATE("ID: &lt;",A296,"&gt; se neshoduje s žádným IDem v kartě PP"),IF(COUNTIF($A:$A,A296)&gt;1,CONCATENATE("ID: &lt;",A296,"&gt; se v kartě VP opakuje. Je nutné tyto IDy od sebe odlišit, např. mezerou za příjmením."),IF(COUNTIF([1]PP!A:A,A296)&gt;1,CONCATENATE("ID: &lt;",A296,"&gt; se v kartě PP opakuje. Je nutné tyto IDy od sebe odlišit, např. mezerou za příjmením."),IF(VLOOKUP(A296,[1]PP!$A:$W,5,FALSE)&lt;&gt;E296,CONCATENATE($E$4," &lt;",E296,"&gt; se neshoduje s jednotkou v kartě PP"," &lt;",VLOOKUP(A296,[1]PP!$A:$W,5,FALSE),"&gt;"),IF(AND(COUNTIF(K296:O296,"")&lt;5,J296="",I296=""),CONCATENATE("Doplň: ",$I$4),IF(AND(YEAR(I296)&lt;&gt;$E$2,COUNTIF(I296,"")=0),CONCATENATE("špatně uveden &lt;",$D$2,"&gt; nebo &lt;",$I$4,"&gt;"),IF(OR(AND(OR(COUNTIF(C296,"*a"),COUNTIF(C296,"*ie"),COUNTIF(C296,"*ine"),COUNTIF(D296,"*Á")),F296="muž"),AND(AND(COUNTIF(C296,"&lt;&gt;"&amp;"*a"),COUNTIF(C296,"&lt;&gt;"&amp;"*ie"),COUNTIF(C296,"&lt;&gt;"&amp;"*ine"),COUNTIF(D296,"&lt;&gt;"&amp;"*Á")),F296="žena")),CONCATENATE(C296," ",D296," je ",F296,"?"),""))))))),IF(COUNTIF(B296:O296,"")=14,"",CONCATENATE("Doplň: ",IF(B296="",CONCATENATE($B$4,IF(COUNTIF(C296:G296,"")=0,"",", ")),""),IF(C296="",CONCATENATE($C$4,IF(COUNTIF(D296:G296,"")=0,"",", ")),""),IF(D296="",CONCATENATE($D$4,IF(COUNTIF(E296:G296,"")=0,"",", ")),""),IF(E296="",CONCATENATE($E$4,IF(COUNTIF(F296:G296,"")=0,"",", ")),""),IF(F296="",CONCATENATE($F$4,IF(G296="",", ","")),""),IF(G296="",$G$4,""))))</f>
        <v/>
      </c>
      <c r="AA296" s="30"/>
    </row>
    <row r="297" spans="1:27" ht="16" x14ac:dyDescent="0.35">
      <c r="A297" s="14" t="str">
        <f t="shared" si="16"/>
        <v xml:space="preserve">  </v>
      </c>
      <c r="B297" s="15"/>
      <c r="C297" s="31"/>
      <c r="D297" s="31"/>
      <c r="E297" s="17"/>
      <c r="F297" s="18"/>
      <c r="G297" s="32"/>
      <c r="H297" s="33" t="str">
        <f>IF(G297="","",IF(F297="žena",ROMAN(MATCH(G297+1,'[1]Normy VP'!$Y$27:$Y$33,-1)),ROMAN(MATCH(G297+1,'[1]Normy VP'!$Y$19:$Y$25,-1))))</f>
        <v/>
      </c>
      <c r="I297" s="21"/>
      <c r="J297" s="22"/>
      <c r="K297" s="23"/>
      <c r="L297" s="23"/>
      <c r="M297" s="23"/>
      <c r="N297" s="22"/>
      <c r="O297" s="22"/>
      <c r="P297" s="24" t="str">
        <f>IF(OR($J297="",$J297="odešel"),IF(K297="","",IF($F297="žena",CHOOSE(_xlfn.ARABIC($H297),MATCH(K297+1,'[1]Normy VP'!$C$25:$F$25,-1),MATCH(K297+1,'[1]Normy VP'!$C$26:$F$26,-1),MATCH(K297+1,'[1]Normy VP'!$C$27:$F$27,-1),MATCH(K297+1,'[1]Normy VP'!$C$28:$F$28,-1),MATCH(K297+1,'[1]Normy VP'!$C$29:$F$29,-1),"muž"),CHOOSE(_xlfn.ARABIC($H297),MATCH(K297+1,'[1]Normy VP'!$C$10:$F$10,-1),MATCH(K297+1,'[1]Normy VP'!$C$11:$F$11,-1),MATCH(K297+1,'[1]Normy VP'!$C$12:$F$12,-1),MATCH(K297+1,'[1]Normy VP'!$C$13:$F$13,-1),MATCH(K297+1,'[1]Normy VP'!$C$14:$F$14,-1),""))),"O")</f>
        <v/>
      </c>
      <c r="Q297" s="24" t="str">
        <f>IF(OR($J297="",$J297="odešel"),IF($F297="žena","",IF(L297="","",(CHOOSE(_xlfn.ARABIC($H297),MATCH(L297+1,'[1]Normy VP'!$G$10:$J$10,-1),MATCH(L297+1,'[1]Normy VP'!$G$11:$J$11,-1),MATCH(L297+1,'[1]Normy VP'!$G$12:$J$12,-1),MATCH(L297+1,'[1]Normy VP'!$G$13:$J$13,-1),MATCH(L297+1,'[1]Normy VP'!$G$14:$J$14,-1),"")))),"O")</f>
        <v/>
      </c>
      <c r="R297" s="34" t="str">
        <f t="shared" si="17"/>
        <v>N</v>
      </c>
      <c r="S297" s="24" t="str">
        <f>IF(OR($J297="",$J297="odešel"),IF(M297="","N",IF($F297="žena",CHOOSE(_xlfn.ARABIC($H297),MATCH(M297+1,'[1]Normy VP'!$G$25:$J$25,-1),MATCH(M297+1,'[1]Normy VP'!$G$26:$J$26,-1),MATCH(M297+1,'[1]Normy VP'!$G$27:$J$27,-1),MATCH(M297+1,'[1]Normy VP'!$G$28:$J$28,-1),MATCH(M297+1,'[1]Normy VP'!$G$29:$J$29,-1),"muž"),(CHOOSE(_xlfn.ARABIC($H297),MATCH(M297+1,'[1]Normy VP'!$K$10:$N$10,-1),MATCH(M297+1,'[1]Normy VP'!$K$11:$N$11,-1),MATCH(M297+1,'[1]Normy VP'!$K$12:$N$12,-1),MATCH(M297+1,'[1]Normy VP'!$K$13:$N$13,-1),MATCH(M297+1,'[1]Normy VP'!$K$14:$N$14,-1),"")))),"O")</f>
        <v>N</v>
      </c>
      <c r="T297" s="34" t="str">
        <f t="shared" si="18"/>
        <v>N</v>
      </c>
      <c r="U297" s="24" t="str">
        <f>IF(OR($J297="",$J297="odešel"),IF(N297="","N",IF($F297="žena",CHOOSE(_xlfn.ARABIC($H297),MATCH(N297+1,'[1]Normy VP'!$K$25:$N$25,-1),MATCH(N297+1,'[1]Normy VP'!$K$26:$N$26,-1),MATCH(N297+1,'[1]Normy VP'!$K$27:$N$27,-1),MATCH(N297+1,'[1]Normy VP'!$K$28:$N$28,-1),MATCH(N297+1,'[1]Normy VP'!$K$29:$N$29,-1),MATCH(N297+1,'[1]Normy VP'!$K$30:$N$30,-1)),CHOOSE(_xlfn.ARABIC($H297),MATCH(N297+1,'[1]Normy VP'!$O$10:$R$10,-1),MATCH(N297+1,'[1]Normy VP'!$O$11:$R$11,-1),MATCH(N297+1,'[1]Normy VP'!$O$12:$R$12,-1),MATCH(N297+1,'[1]Normy VP'!$O$13:$R$13,-1),MATCH(N297+1,'[1]Normy VP'!$O$14:$R$14,-1),MATCH(N297+1,'[1]Normy VP'!$O$15:$R$15,-1)))),"O")</f>
        <v>N</v>
      </c>
      <c r="V297" s="26" t="str">
        <f>IF(OR($J297="",$J297="odešel"),IF(O297="","N",IF($F297="žena",CHOOSE(_xlfn.ARABIC($H297),MATCH(O297-1,'[1]Normy VP'!$O$25:$R$25),MATCH(O297-1,'[1]Normy VP'!$O$26:$R$26),MATCH(O297-1,'[1]Normy VP'!$O$27:$R$27),MATCH(O297-1,'[1]Normy VP'!$O$28:$R$28),MATCH(O297-1,'[1]Normy VP'!$O$29:$R$29),MATCH(O297-1,'[1]Normy VP'!$O$30:$R$30)),CHOOSE(_xlfn.ARABIC($H297),MATCH(O297-1,'[1]Normy VP'!$S$10:$V$10),MATCH(O297-1,'[1]Normy VP'!$S$11:$V$11),MATCH(O297-1,'[1]Normy VP'!$S$12:$V$12),MATCH(O297-1,'[1]Normy VP'!$S$13:$V$13),MATCH(O297-1,'[1]Normy VP'!$S$14:$V$14),MATCH(O297-1,'[1]Normy VP'!$S$15:$V$15)))),"O")</f>
        <v>N</v>
      </c>
      <c r="W297" s="34" t="str">
        <f t="shared" si="19"/>
        <v>N</v>
      </c>
      <c r="X297" s="27" t="str">
        <f>IF(COUNTIF(B297:G297,"")&gt;0,"",IF(COUNTIF([1]PP!$A:$A,A297)=0,"neni v PP",IF(OR(Y297="odešel",VLOOKUP(A297,[1]PP!$A:$W,22,FALSE)="odešel"),"odešel",IF(OR(Y297="N",VLOOKUP(A297,[1]PP!$A:$W,22,FALSE)="N"),"N",IF(OR(Y297="C",VLOOKUP(A297,[1]PP!$A:$W,22,FALSE)="C"),"C",IF(OR(Y297="DZO",VLOOKUP(A297,[1]PP!$A:$W,22,FALSE)="DZO"),"DZO",IF(OR(Y297="mise",Y297="disp.",Y297="končí",Y297="DSC",VLOOKUP(A297,[1]PP!$A:$W,22,FALSE)="mise",VLOOKUP(A297,[1]PP!$A:$W,22,FALSE)="disp.",VLOOKUP(A297,[1]PP!$A:$W,22,FALSE)="končí",VLOOKUP(A297,[1]PP!$A:$W,22,FALSE)="DSC"),"jiné",IF(OR(Y297=4,VLOOKUP(A297,[1]PP!$A:$W,22,FALSE)=4),4,IF(OR(Y297=3,VLOOKUP(A297,[1]PP!$A:$W,22,FALSE)=3),3,IF(OR(Y297=2,VLOOKUP(A297,[1]PP!$A:$W,22,FALSE)=2),2,IF(AND(Y297=1,VLOOKUP(A297,[1]PP!$A:$W,22,FALSE)=1),1)))))))))))</f>
        <v/>
      </c>
      <c r="Y297" s="28" t="str">
        <f>IF(COUNTIF(B297:G297,"")&gt;0,"",IF(COUNTIF([1]PP!$A:$A,A297)=0,"neni v PP",IF(VLOOKUP(A297,[1]PP!$A:$W,8,FALSE)="odešel","odešel",IF(F297="","",IF(J297="",IF(OR(T297=4,W297=4),4,IF(AND(T297="N",W297="N"),"N",IF(OR(T297="N",W297="N"),4,ROUND(AVERAGE(T297,W297),0)))),J297)))))</f>
        <v/>
      </c>
      <c r="Z297" s="29" t="str">
        <f>IF(COUNTIF(B297:G297,"")=0,IF(X297="neni v PP",CONCATENATE("ID: &lt;",A297,"&gt; se neshoduje s žádným IDem v kartě PP"),IF(COUNTIF($A:$A,A297)&gt;1,CONCATENATE("ID: &lt;",A297,"&gt; se v kartě VP opakuje. Je nutné tyto IDy od sebe odlišit, např. mezerou za příjmením."),IF(COUNTIF([1]PP!A:A,A297)&gt;1,CONCATENATE("ID: &lt;",A297,"&gt; se v kartě PP opakuje. Je nutné tyto IDy od sebe odlišit, např. mezerou za příjmením."),IF(VLOOKUP(A297,[1]PP!$A:$W,5,FALSE)&lt;&gt;E297,CONCATENATE($E$4," &lt;",E297,"&gt; se neshoduje s jednotkou v kartě PP"," &lt;",VLOOKUP(A297,[1]PP!$A:$W,5,FALSE),"&gt;"),IF(AND(COUNTIF(K297:O297,"")&lt;5,J297="",I297=""),CONCATENATE("Doplň: ",$I$4),IF(AND(YEAR(I297)&lt;&gt;$E$2,COUNTIF(I297,"")=0),CONCATENATE("špatně uveden &lt;",$D$2,"&gt; nebo &lt;",$I$4,"&gt;"),IF(OR(AND(OR(COUNTIF(C297,"*a"),COUNTIF(C297,"*ie"),COUNTIF(C297,"*ine"),COUNTIF(D297,"*Á")),F297="muž"),AND(AND(COUNTIF(C297,"&lt;&gt;"&amp;"*a"),COUNTIF(C297,"&lt;&gt;"&amp;"*ie"),COUNTIF(C297,"&lt;&gt;"&amp;"*ine"),COUNTIF(D297,"&lt;&gt;"&amp;"*Á")),F297="žena")),CONCATENATE(C297," ",D297," je ",F297,"?"),""))))))),IF(COUNTIF(B297:O297,"")=14,"",CONCATENATE("Doplň: ",IF(B297="",CONCATENATE($B$4,IF(COUNTIF(C297:G297,"")=0,"",", ")),""),IF(C297="",CONCATENATE($C$4,IF(COUNTIF(D297:G297,"")=0,"",", ")),""),IF(D297="",CONCATENATE($D$4,IF(COUNTIF(E297:G297,"")=0,"",", ")),""),IF(E297="",CONCATENATE($E$4,IF(COUNTIF(F297:G297,"")=0,"",", ")),""),IF(F297="",CONCATENATE($F$4,IF(G297="",", ","")),""),IF(G297="",$G$4,""))))</f>
        <v/>
      </c>
      <c r="AA297" s="30"/>
    </row>
    <row r="298" spans="1:27" ht="16" x14ac:dyDescent="0.35">
      <c r="A298" s="14" t="str">
        <f t="shared" si="16"/>
        <v xml:space="preserve">  </v>
      </c>
      <c r="B298" s="15"/>
      <c r="C298" s="31"/>
      <c r="D298" s="31"/>
      <c r="E298" s="17"/>
      <c r="F298" s="18"/>
      <c r="G298" s="32"/>
      <c r="H298" s="33" t="str">
        <f>IF(G298="","",IF(F298="žena",ROMAN(MATCH(G298+1,'[1]Normy VP'!$Y$27:$Y$33,-1)),ROMAN(MATCH(G298+1,'[1]Normy VP'!$Y$19:$Y$25,-1))))</f>
        <v/>
      </c>
      <c r="I298" s="21"/>
      <c r="J298" s="22"/>
      <c r="K298" s="23"/>
      <c r="L298" s="23"/>
      <c r="M298" s="23"/>
      <c r="N298" s="22"/>
      <c r="O298" s="22"/>
      <c r="P298" s="24" t="str">
        <f>IF(OR($J298="",$J298="odešel"),IF(K298="","",IF($F298="žena",CHOOSE(_xlfn.ARABIC($H298),MATCH(K298+1,'[1]Normy VP'!$C$25:$F$25,-1),MATCH(K298+1,'[1]Normy VP'!$C$26:$F$26,-1),MATCH(K298+1,'[1]Normy VP'!$C$27:$F$27,-1),MATCH(K298+1,'[1]Normy VP'!$C$28:$F$28,-1),MATCH(K298+1,'[1]Normy VP'!$C$29:$F$29,-1),"muž"),CHOOSE(_xlfn.ARABIC($H298),MATCH(K298+1,'[1]Normy VP'!$C$10:$F$10,-1),MATCH(K298+1,'[1]Normy VP'!$C$11:$F$11,-1),MATCH(K298+1,'[1]Normy VP'!$C$12:$F$12,-1),MATCH(K298+1,'[1]Normy VP'!$C$13:$F$13,-1),MATCH(K298+1,'[1]Normy VP'!$C$14:$F$14,-1),""))),"O")</f>
        <v/>
      </c>
      <c r="Q298" s="24" t="str">
        <f>IF(OR($J298="",$J298="odešel"),IF($F298="žena","",IF(L298="","",(CHOOSE(_xlfn.ARABIC($H298),MATCH(L298+1,'[1]Normy VP'!$G$10:$J$10,-1),MATCH(L298+1,'[1]Normy VP'!$G$11:$J$11,-1),MATCH(L298+1,'[1]Normy VP'!$G$12:$J$12,-1),MATCH(L298+1,'[1]Normy VP'!$G$13:$J$13,-1),MATCH(L298+1,'[1]Normy VP'!$G$14:$J$14,-1),"")))),"O")</f>
        <v/>
      </c>
      <c r="R298" s="34" t="str">
        <f t="shared" si="17"/>
        <v>N</v>
      </c>
      <c r="S298" s="24" t="str">
        <f>IF(OR($J298="",$J298="odešel"),IF(M298="","N",IF($F298="žena",CHOOSE(_xlfn.ARABIC($H298),MATCH(M298+1,'[1]Normy VP'!$G$25:$J$25,-1),MATCH(M298+1,'[1]Normy VP'!$G$26:$J$26,-1),MATCH(M298+1,'[1]Normy VP'!$G$27:$J$27,-1),MATCH(M298+1,'[1]Normy VP'!$G$28:$J$28,-1),MATCH(M298+1,'[1]Normy VP'!$G$29:$J$29,-1),"muž"),(CHOOSE(_xlfn.ARABIC($H298),MATCH(M298+1,'[1]Normy VP'!$K$10:$N$10,-1),MATCH(M298+1,'[1]Normy VP'!$K$11:$N$11,-1),MATCH(M298+1,'[1]Normy VP'!$K$12:$N$12,-1),MATCH(M298+1,'[1]Normy VP'!$K$13:$N$13,-1),MATCH(M298+1,'[1]Normy VP'!$K$14:$N$14,-1),"")))),"O")</f>
        <v>N</v>
      </c>
      <c r="T298" s="34" t="str">
        <f t="shared" si="18"/>
        <v>N</v>
      </c>
      <c r="U298" s="24" t="str">
        <f>IF(OR($J298="",$J298="odešel"),IF(N298="","N",IF($F298="žena",CHOOSE(_xlfn.ARABIC($H298),MATCH(N298+1,'[1]Normy VP'!$K$25:$N$25,-1),MATCH(N298+1,'[1]Normy VP'!$K$26:$N$26,-1),MATCH(N298+1,'[1]Normy VP'!$K$27:$N$27,-1),MATCH(N298+1,'[1]Normy VP'!$K$28:$N$28,-1),MATCH(N298+1,'[1]Normy VP'!$K$29:$N$29,-1),MATCH(N298+1,'[1]Normy VP'!$K$30:$N$30,-1)),CHOOSE(_xlfn.ARABIC($H298),MATCH(N298+1,'[1]Normy VP'!$O$10:$R$10,-1),MATCH(N298+1,'[1]Normy VP'!$O$11:$R$11,-1),MATCH(N298+1,'[1]Normy VP'!$O$12:$R$12,-1),MATCH(N298+1,'[1]Normy VP'!$O$13:$R$13,-1),MATCH(N298+1,'[1]Normy VP'!$O$14:$R$14,-1),MATCH(N298+1,'[1]Normy VP'!$O$15:$R$15,-1)))),"O")</f>
        <v>N</v>
      </c>
      <c r="V298" s="26" t="str">
        <f>IF(OR($J298="",$J298="odešel"),IF(O298="","N",IF($F298="žena",CHOOSE(_xlfn.ARABIC($H298),MATCH(O298-1,'[1]Normy VP'!$O$25:$R$25),MATCH(O298-1,'[1]Normy VP'!$O$26:$R$26),MATCH(O298-1,'[1]Normy VP'!$O$27:$R$27),MATCH(O298-1,'[1]Normy VP'!$O$28:$R$28),MATCH(O298-1,'[1]Normy VP'!$O$29:$R$29),MATCH(O298-1,'[1]Normy VP'!$O$30:$R$30)),CHOOSE(_xlfn.ARABIC($H298),MATCH(O298-1,'[1]Normy VP'!$S$10:$V$10),MATCH(O298-1,'[1]Normy VP'!$S$11:$V$11),MATCH(O298-1,'[1]Normy VP'!$S$12:$V$12),MATCH(O298-1,'[1]Normy VP'!$S$13:$V$13),MATCH(O298-1,'[1]Normy VP'!$S$14:$V$14),MATCH(O298-1,'[1]Normy VP'!$S$15:$V$15)))),"O")</f>
        <v>N</v>
      </c>
      <c r="W298" s="34" t="str">
        <f t="shared" si="19"/>
        <v>N</v>
      </c>
      <c r="X298" s="27" t="str">
        <f>IF(COUNTIF(B298:G298,"")&gt;0,"",IF(COUNTIF([1]PP!$A:$A,A298)=0,"neni v PP",IF(OR(Y298="odešel",VLOOKUP(A298,[1]PP!$A:$W,22,FALSE)="odešel"),"odešel",IF(OR(Y298="N",VLOOKUP(A298,[1]PP!$A:$W,22,FALSE)="N"),"N",IF(OR(Y298="C",VLOOKUP(A298,[1]PP!$A:$W,22,FALSE)="C"),"C",IF(OR(Y298="DZO",VLOOKUP(A298,[1]PP!$A:$W,22,FALSE)="DZO"),"DZO",IF(OR(Y298="mise",Y298="disp.",Y298="končí",Y298="DSC",VLOOKUP(A298,[1]PP!$A:$W,22,FALSE)="mise",VLOOKUP(A298,[1]PP!$A:$W,22,FALSE)="disp.",VLOOKUP(A298,[1]PP!$A:$W,22,FALSE)="končí",VLOOKUP(A298,[1]PP!$A:$W,22,FALSE)="DSC"),"jiné",IF(OR(Y298=4,VLOOKUP(A298,[1]PP!$A:$W,22,FALSE)=4),4,IF(OR(Y298=3,VLOOKUP(A298,[1]PP!$A:$W,22,FALSE)=3),3,IF(OR(Y298=2,VLOOKUP(A298,[1]PP!$A:$W,22,FALSE)=2),2,IF(AND(Y298=1,VLOOKUP(A298,[1]PP!$A:$W,22,FALSE)=1),1)))))))))))</f>
        <v/>
      </c>
      <c r="Y298" s="28" t="str">
        <f>IF(COUNTIF(B298:G298,"")&gt;0,"",IF(COUNTIF([1]PP!$A:$A,A298)=0,"neni v PP",IF(VLOOKUP(A298,[1]PP!$A:$W,8,FALSE)="odešel","odešel",IF(F298="","",IF(J298="",IF(OR(T298=4,W298=4),4,IF(AND(T298="N",W298="N"),"N",IF(OR(T298="N",W298="N"),4,ROUND(AVERAGE(T298,W298),0)))),J298)))))</f>
        <v/>
      </c>
      <c r="Z298" s="29" t="str">
        <f>IF(COUNTIF(B298:G298,"")=0,IF(X298="neni v PP",CONCATENATE("ID: &lt;",A298,"&gt; se neshoduje s žádným IDem v kartě PP"),IF(COUNTIF($A:$A,A298)&gt;1,CONCATENATE("ID: &lt;",A298,"&gt; se v kartě VP opakuje. Je nutné tyto IDy od sebe odlišit, např. mezerou za příjmením."),IF(COUNTIF([1]PP!A:A,A298)&gt;1,CONCATENATE("ID: &lt;",A298,"&gt; se v kartě PP opakuje. Je nutné tyto IDy od sebe odlišit, např. mezerou za příjmením."),IF(VLOOKUP(A298,[1]PP!$A:$W,5,FALSE)&lt;&gt;E298,CONCATENATE($E$4," &lt;",E298,"&gt; se neshoduje s jednotkou v kartě PP"," &lt;",VLOOKUP(A298,[1]PP!$A:$W,5,FALSE),"&gt;"),IF(AND(COUNTIF(K298:O298,"")&lt;5,J298="",I298=""),CONCATENATE("Doplň: ",$I$4),IF(AND(YEAR(I298)&lt;&gt;$E$2,COUNTIF(I298,"")=0),CONCATENATE("špatně uveden &lt;",$D$2,"&gt; nebo &lt;",$I$4,"&gt;"),IF(OR(AND(OR(COUNTIF(C298,"*a"),COUNTIF(C298,"*ie"),COUNTIF(C298,"*ine"),COUNTIF(D298,"*Á")),F298="muž"),AND(AND(COUNTIF(C298,"&lt;&gt;"&amp;"*a"),COUNTIF(C298,"&lt;&gt;"&amp;"*ie"),COUNTIF(C298,"&lt;&gt;"&amp;"*ine"),COUNTIF(D298,"&lt;&gt;"&amp;"*Á")),F298="žena")),CONCATENATE(C298," ",D298," je ",F298,"?"),""))))))),IF(COUNTIF(B298:O298,"")=14,"",CONCATENATE("Doplň: ",IF(B298="",CONCATENATE($B$4,IF(COUNTIF(C298:G298,"")=0,"",", ")),""),IF(C298="",CONCATENATE($C$4,IF(COUNTIF(D298:G298,"")=0,"",", ")),""),IF(D298="",CONCATENATE($D$4,IF(COUNTIF(E298:G298,"")=0,"",", ")),""),IF(E298="",CONCATENATE($E$4,IF(COUNTIF(F298:G298,"")=0,"",", ")),""),IF(F298="",CONCATENATE($F$4,IF(G298="",", ","")),""),IF(G298="",$G$4,""))))</f>
        <v/>
      </c>
      <c r="AA298" s="30"/>
    </row>
    <row r="299" spans="1:27" ht="16" x14ac:dyDescent="0.35">
      <c r="A299" s="14" t="str">
        <f t="shared" si="16"/>
        <v xml:space="preserve">  </v>
      </c>
      <c r="B299" s="15"/>
      <c r="C299" s="31"/>
      <c r="D299" s="31"/>
      <c r="E299" s="17"/>
      <c r="F299" s="18"/>
      <c r="G299" s="32"/>
      <c r="H299" s="33" t="str">
        <f>IF(G299="","",IF(F299="žena",ROMAN(MATCH(G299+1,'[1]Normy VP'!$Y$27:$Y$33,-1)),ROMAN(MATCH(G299+1,'[1]Normy VP'!$Y$19:$Y$25,-1))))</f>
        <v/>
      </c>
      <c r="I299" s="21"/>
      <c r="J299" s="22"/>
      <c r="K299" s="23"/>
      <c r="L299" s="23"/>
      <c r="M299" s="23"/>
      <c r="N299" s="22"/>
      <c r="O299" s="22"/>
      <c r="P299" s="24" t="str">
        <f>IF(OR($J299="",$J299="odešel"),IF(K299="","",IF($F299="žena",CHOOSE(_xlfn.ARABIC($H299),MATCH(K299+1,'[1]Normy VP'!$C$25:$F$25,-1),MATCH(K299+1,'[1]Normy VP'!$C$26:$F$26,-1),MATCH(K299+1,'[1]Normy VP'!$C$27:$F$27,-1),MATCH(K299+1,'[1]Normy VP'!$C$28:$F$28,-1),MATCH(K299+1,'[1]Normy VP'!$C$29:$F$29,-1),"muž"),CHOOSE(_xlfn.ARABIC($H299),MATCH(K299+1,'[1]Normy VP'!$C$10:$F$10,-1),MATCH(K299+1,'[1]Normy VP'!$C$11:$F$11,-1),MATCH(K299+1,'[1]Normy VP'!$C$12:$F$12,-1),MATCH(K299+1,'[1]Normy VP'!$C$13:$F$13,-1),MATCH(K299+1,'[1]Normy VP'!$C$14:$F$14,-1),""))),"O")</f>
        <v/>
      </c>
      <c r="Q299" s="24" t="str">
        <f>IF(OR($J299="",$J299="odešel"),IF($F299="žena","",IF(L299="","",(CHOOSE(_xlfn.ARABIC($H299),MATCH(L299+1,'[1]Normy VP'!$G$10:$J$10,-1),MATCH(L299+1,'[1]Normy VP'!$G$11:$J$11,-1),MATCH(L299+1,'[1]Normy VP'!$G$12:$J$12,-1),MATCH(L299+1,'[1]Normy VP'!$G$13:$J$13,-1),MATCH(L299+1,'[1]Normy VP'!$G$14:$J$14,-1),"")))),"O")</f>
        <v/>
      </c>
      <c r="R299" s="34" t="str">
        <f t="shared" si="17"/>
        <v>N</v>
      </c>
      <c r="S299" s="24" t="str">
        <f>IF(OR($J299="",$J299="odešel"),IF(M299="","N",IF($F299="žena",CHOOSE(_xlfn.ARABIC($H299),MATCH(M299+1,'[1]Normy VP'!$G$25:$J$25,-1),MATCH(M299+1,'[1]Normy VP'!$G$26:$J$26,-1),MATCH(M299+1,'[1]Normy VP'!$G$27:$J$27,-1),MATCH(M299+1,'[1]Normy VP'!$G$28:$J$28,-1),MATCH(M299+1,'[1]Normy VP'!$G$29:$J$29,-1),"muž"),(CHOOSE(_xlfn.ARABIC($H299),MATCH(M299+1,'[1]Normy VP'!$K$10:$N$10,-1),MATCH(M299+1,'[1]Normy VP'!$K$11:$N$11,-1),MATCH(M299+1,'[1]Normy VP'!$K$12:$N$12,-1),MATCH(M299+1,'[1]Normy VP'!$K$13:$N$13,-1),MATCH(M299+1,'[1]Normy VP'!$K$14:$N$14,-1),"")))),"O")</f>
        <v>N</v>
      </c>
      <c r="T299" s="34" t="str">
        <f t="shared" si="18"/>
        <v>N</v>
      </c>
      <c r="U299" s="24" t="str">
        <f>IF(OR($J299="",$J299="odešel"),IF(N299="","N",IF($F299="žena",CHOOSE(_xlfn.ARABIC($H299),MATCH(N299+1,'[1]Normy VP'!$K$25:$N$25,-1),MATCH(N299+1,'[1]Normy VP'!$K$26:$N$26,-1),MATCH(N299+1,'[1]Normy VP'!$K$27:$N$27,-1),MATCH(N299+1,'[1]Normy VP'!$K$28:$N$28,-1),MATCH(N299+1,'[1]Normy VP'!$K$29:$N$29,-1),MATCH(N299+1,'[1]Normy VP'!$K$30:$N$30,-1)),CHOOSE(_xlfn.ARABIC($H299),MATCH(N299+1,'[1]Normy VP'!$O$10:$R$10,-1),MATCH(N299+1,'[1]Normy VP'!$O$11:$R$11,-1),MATCH(N299+1,'[1]Normy VP'!$O$12:$R$12,-1),MATCH(N299+1,'[1]Normy VP'!$O$13:$R$13,-1),MATCH(N299+1,'[1]Normy VP'!$O$14:$R$14,-1),MATCH(N299+1,'[1]Normy VP'!$O$15:$R$15,-1)))),"O")</f>
        <v>N</v>
      </c>
      <c r="V299" s="26" t="str">
        <f>IF(OR($J299="",$J299="odešel"),IF(O299="","N",IF($F299="žena",CHOOSE(_xlfn.ARABIC($H299),MATCH(O299-1,'[1]Normy VP'!$O$25:$R$25),MATCH(O299-1,'[1]Normy VP'!$O$26:$R$26),MATCH(O299-1,'[1]Normy VP'!$O$27:$R$27),MATCH(O299-1,'[1]Normy VP'!$O$28:$R$28),MATCH(O299-1,'[1]Normy VP'!$O$29:$R$29),MATCH(O299-1,'[1]Normy VP'!$O$30:$R$30)),CHOOSE(_xlfn.ARABIC($H299),MATCH(O299-1,'[1]Normy VP'!$S$10:$V$10),MATCH(O299-1,'[1]Normy VP'!$S$11:$V$11),MATCH(O299-1,'[1]Normy VP'!$S$12:$V$12),MATCH(O299-1,'[1]Normy VP'!$S$13:$V$13),MATCH(O299-1,'[1]Normy VP'!$S$14:$V$14),MATCH(O299-1,'[1]Normy VP'!$S$15:$V$15)))),"O")</f>
        <v>N</v>
      </c>
      <c r="W299" s="34" t="str">
        <f t="shared" si="19"/>
        <v>N</v>
      </c>
      <c r="X299" s="27" t="str">
        <f>IF(COUNTIF(B299:G299,"")&gt;0,"",IF(COUNTIF([1]PP!$A:$A,A299)=0,"neni v PP",IF(OR(Y299="odešel",VLOOKUP(A299,[1]PP!$A:$W,22,FALSE)="odešel"),"odešel",IF(OR(Y299="N",VLOOKUP(A299,[1]PP!$A:$W,22,FALSE)="N"),"N",IF(OR(Y299="C",VLOOKUP(A299,[1]PP!$A:$W,22,FALSE)="C"),"C",IF(OR(Y299="DZO",VLOOKUP(A299,[1]PP!$A:$W,22,FALSE)="DZO"),"DZO",IF(OR(Y299="mise",Y299="disp.",Y299="končí",Y299="DSC",VLOOKUP(A299,[1]PP!$A:$W,22,FALSE)="mise",VLOOKUP(A299,[1]PP!$A:$W,22,FALSE)="disp.",VLOOKUP(A299,[1]PP!$A:$W,22,FALSE)="končí",VLOOKUP(A299,[1]PP!$A:$W,22,FALSE)="DSC"),"jiné",IF(OR(Y299=4,VLOOKUP(A299,[1]PP!$A:$W,22,FALSE)=4),4,IF(OR(Y299=3,VLOOKUP(A299,[1]PP!$A:$W,22,FALSE)=3),3,IF(OR(Y299=2,VLOOKUP(A299,[1]PP!$A:$W,22,FALSE)=2),2,IF(AND(Y299=1,VLOOKUP(A299,[1]PP!$A:$W,22,FALSE)=1),1)))))))))))</f>
        <v/>
      </c>
      <c r="Y299" s="28" t="str">
        <f>IF(COUNTIF(B299:G299,"")&gt;0,"",IF(COUNTIF([1]PP!$A:$A,A299)=0,"neni v PP",IF(VLOOKUP(A299,[1]PP!$A:$W,8,FALSE)="odešel","odešel",IF(F299="","",IF(J299="",IF(OR(T299=4,W299=4),4,IF(AND(T299="N",W299="N"),"N",IF(OR(T299="N",W299="N"),4,ROUND(AVERAGE(T299,W299),0)))),J299)))))</f>
        <v/>
      </c>
      <c r="Z299" s="29" t="str">
        <f>IF(COUNTIF(B299:G299,"")=0,IF(X299="neni v PP",CONCATENATE("ID: &lt;",A299,"&gt; se neshoduje s žádným IDem v kartě PP"),IF(COUNTIF($A:$A,A299)&gt;1,CONCATENATE("ID: &lt;",A299,"&gt; se v kartě VP opakuje. Je nutné tyto IDy od sebe odlišit, např. mezerou za příjmením."),IF(COUNTIF([1]PP!A:A,A299)&gt;1,CONCATENATE("ID: &lt;",A299,"&gt; se v kartě PP opakuje. Je nutné tyto IDy od sebe odlišit, např. mezerou za příjmením."),IF(VLOOKUP(A299,[1]PP!$A:$W,5,FALSE)&lt;&gt;E299,CONCATENATE($E$4," &lt;",E299,"&gt; se neshoduje s jednotkou v kartě PP"," &lt;",VLOOKUP(A299,[1]PP!$A:$W,5,FALSE),"&gt;"),IF(AND(COUNTIF(K299:O299,"")&lt;5,J299="",I299=""),CONCATENATE("Doplň: ",$I$4),IF(AND(YEAR(I299)&lt;&gt;$E$2,COUNTIF(I299,"")=0),CONCATENATE("špatně uveden &lt;",$D$2,"&gt; nebo &lt;",$I$4,"&gt;"),IF(OR(AND(OR(COUNTIF(C299,"*a"),COUNTIF(C299,"*ie"),COUNTIF(C299,"*ine"),COUNTIF(D299,"*Á")),F299="muž"),AND(AND(COUNTIF(C299,"&lt;&gt;"&amp;"*a"),COUNTIF(C299,"&lt;&gt;"&amp;"*ie"),COUNTIF(C299,"&lt;&gt;"&amp;"*ine"),COUNTIF(D299,"&lt;&gt;"&amp;"*Á")),F299="žena")),CONCATENATE(C299," ",D299," je ",F299,"?"),""))))))),IF(COUNTIF(B299:O299,"")=14,"",CONCATENATE("Doplň: ",IF(B299="",CONCATENATE($B$4,IF(COUNTIF(C299:G299,"")=0,"",", ")),""),IF(C299="",CONCATENATE($C$4,IF(COUNTIF(D299:G299,"")=0,"",", ")),""),IF(D299="",CONCATENATE($D$4,IF(COUNTIF(E299:G299,"")=0,"",", ")),""),IF(E299="",CONCATENATE($E$4,IF(COUNTIF(F299:G299,"")=0,"",", ")),""),IF(F299="",CONCATENATE($F$4,IF(G299="",", ","")),""),IF(G299="",$G$4,""))))</f>
        <v/>
      </c>
      <c r="AA299" s="30"/>
    </row>
    <row r="300" spans="1:27" ht="16" x14ac:dyDescent="0.35">
      <c r="A300" s="14" t="str">
        <f t="shared" si="16"/>
        <v xml:space="preserve">  </v>
      </c>
      <c r="B300" s="15"/>
      <c r="C300" s="31"/>
      <c r="D300" s="31"/>
      <c r="E300" s="17"/>
      <c r="F300" s="18"/>
      <c r="G300" s="32"/>
      <c r="H300" s="33" t="str">
        <f>IF(G300="","",IF(F300="žena",ROMAN(MATCH(G300+1,'[1]Normy VP'!$Y$27:$Y$33,-1)),ROMAN(MATCH(G300+1,'[1]Normy VP'!$Y$19:$Y$25,-1))))</f>
        <v/>
      </c>
      <c r="I300" s="21"/>
      <c r="J300" s="22"/>
      <c r="K300" s="23"/>
      <c r="L300" s="23"/>
      <c r="M300" s="23"/>
      <c r="N300" s="22"/>
      <c r="O300" s="22"/>
      <c r="P300" s="24" t="str">
        <f>IF(OR($J300="",$J300="odešel"),IF(K300="","",IF($F300="žena",CHOOSE(_xlfn.ARABIC($H300),MATCH(K300+1,'[1]Normy VP'!$C$25:$F$25,-1),MATCH(K300+1,'[1]Normy VP'!$C$26:$F$26,-1),MATCH(K300+1,'[1]Normy VP'!$C$27:$F$27,-1),MATCH(K300+1,'[1]Normy VP'!$C$28:$F$28,-1),MATCH(K300+1,'[1]Normy VP'!$C$29:$F$29,-1),"muž"),CHOOSE(_xlfn.ARABIC($H300),MATCH(K300+1,'[1]Normy VP'!$C$10:$F$10,-1),MATCH(K300+1,'[1]Normy VP'!$C$11:$F$11,-1),MATCH(K300+1,'[1]Normy VP'!$C$12:$F$12,-1),MATCH(K300+1,'[1]Normy VP'!$C$13:$F$13,-1),MATCH(K300+1,'[1]Normy VP'!$C$14:$F$14,-1),""))),"O")</f>
        <v/>
      </c>
      <c r="Q300" s="24" t="str">
        <f>IF(OR($J300="",$J300="odešel"),IF($F300="žena","",IF(L300="","",(CHOOSE(_xlfn.ARABIC($H300),MATCH(L300+1,'[1]Normy VP'!$G$10:$J$10,-1),MATCH(L300+1,'[1]Normy VP'!$G$11:$J$11,-1),MATCH(L300+1,'[1]Normy VP'!$G$12:$J$12,-1),MATCH(L300+1,'[1]Normy VP'!$G$13:$J$13,-1),MATCH(L300+1,'[1]Normy VP'!$G$14:$J$14,-1),"")))),"O")</f>
        <v/>
      </c>
      <c r="R300" s="34" t="str">
        <f t="shared" si="17"/>
        <v>N</v>
      </c>
      <c r="S300" s="24" t="str">
        <f>IF(OR($J300="",$J300="odešel"),IF(M300="","N",IF($F300="žena",CHOOSE(_xlfn.ARABIC($H300),MATCH(M300+1,'[1]Normy VP'!$G$25:$J$25,-1),MATCH(M300+1,'[1]Normy VP'!$G$26:$J$26,-1),MATCH(M300+1,'[1]Normy VP'!$G$27:$J$27,-1),MATCH(M300+1,'[1]Normy VP'!$G$28:$J$28,-1),MATCH(M300+1,'[1]Normy VP'!$G$29:$J$29,-1),"muž"),(CHOOSE(_xlfn.ARABIC($H300),MATCH(M300+1,'[1]Normy VP'!$K$10:$N$10,-1),MATCH(M300+1,'[1]Normy VP'!$K$11:$N$11,-1),MATCH(M300+1,'[1]Normy VP'!$K$12:$N$12,-1),MATCH(M300+1,'[1]Normy VP'!$K$13:$N$13,-1),MATCH(M300+1,'[1]Normy VP'!$K$14:$N$14,-1),"")))),"O")</f>
        <v>N</v>
      </c>
      <c r="T300" s="34" t="str">
        <f t="shared" si="18"/>
        <v>N</v>
      </c>
      <c r="U300" s="24" t="str">
        <f>IF(OR($J300="",$J300="odešel"),IF(N300="","N",IF($F300="žena",CHOOSE(_xlfn.ARABIC($H300),MATCH(N300+1,'[1]Normy VP'!$K$25:$N$25,-1),MATCH(N300+1,'[1]Normy VP'!$K$26:$N$26,-1),MATCH(N300+1,'[1]Normy VP'!$K$27:$N$27,-1),MATCH(N300+1,'[1]Normy VP'!$K$28:$N$28,-1),MATCH(N300+1,'[1]Normy VP'!$K$29:$N$29,-1),MATCH(N300+1,'[1]Normy VP'!$K$30:$N$30,-1)),CHOOSE(_xlfn.ARABIC($H300),MATCH(N300+1,'[1]Normy VP'!$O$10:$R$10,-1),MATCH(N300+1,'[1]Normy VP'!$O$11:$R$11,-1),MATCH(N300+1,'[1]Normy VP'!$O$12:$R$12,-1),MATCH(N300+1,'[1]Normy VP'!$O$13:$R$13,-1),MATCH(N300+1,'[1]Normy VP'!$O$14:$R$14,-1),MATCH(N300+1,'[1]Normy VP'!$O$15:$R$15,-1)))),"O")</f>
        <v>N</v>
      </c>
      <c r="V300" s="26" t="str">
        <f>IF(OR($J300="",$J300="odešel"),IF(O300="","N",IF($F300="žena",CHOOSE(_xlfn.ARABIC($H300),MATCH(O300-1,'[1]Normy VP'!$O$25:$R$25),MATCH(O300-1,'[1]Normy VP'!$O$26:$R$26),MATCH(O300-1,'[1]Normy VP'!$O$27:$R$27),MATCH(O300-1,'[1]Normy VP'!$O$28:$R$28),MATCH(O300-1,'[1]Normy VP'!$O$29:$R$29),MATCH(O300-1,'[1]Normy VP'!$O$30:$R$30)),CHOOSE(_xlfn.ARABIC($H300),MATCH(O300-1,'[1]Normy VP'!$S$10:$V$10),MATCH(O300-1,'[1]Normy VP'!$S$11:$V$11),MATCH(O300-1,'[1]Normy VP'!$S$12:$V$12),MATCH(O300-1,'[1]Normy VP'!$S$13:$V$13),MATCH(O300-1,'[1]Normy VP'!$S$14:$V$14),MATCH(O300-1,'[1]Normy VP'!$S$15:$V$15)))),"O")</f>
        <v>N</v>
      </c>
      <c r="W300" s="34" t="str">
        <f t="shared" si="19"/>
        <v>N</v>
      </c>
      <c r="X300" s="27" t="str">
        <f>IF(COUNTIF(B300:G300,"")&gt;0,"",IF(COUNTIF([1]PP!$A:$A,A300)=0,"neni v PP",IF(OR(Y300="odešel",VLOOKUP(A300,[1]PP!$A:$W,22,FALSE)="odešel"),"odešel",IF(OR(Y300="N",VLOOKUP(A300,[1]PP!$A:$W,22,FALSE)="N"),"N",IF(OR(Y300="C",VLOOKUP(A300,[1]PP!$A:$W,22,FALSE)="C"),"C",IF(OR(Y300="DZO",VLOOKUP(A300,[1]PP!$A:$W,22,FALSE)="DZO"),"DZO",IF(OR(Y300="mise",Y300="disp.",Y300="končí",Y300="DSC",VLOOKUP(A300,[1]PP!$A:$W,22,FALSE)="mise",VLOOKUP(A300,[1]PP!$A:$W,22,FALSE)="disp.",VLOOKUP(A300,[1]PP!$A:$W,22,FALSE)="končí",VLOOKUP(A300,[1]PP!$A:$W,22,FALSE)="DSC"),"jiné",IF(OR(Y300=4,VLOOKUP(A300,[1]PP!$A:$W,22,FALSE)=4),4,IF(OR(Y300=3,VLOOKUP(A300,[1]PP!$A:$W,22,FALSE)=3),3,IF(OR(Y300=2,VLOOKUP(A300,[1]PP!$A:$W,22,FALSE)=2),2,IF(AND(Y300=1,VLOOKUP(A300,[1]PP!$A:$W,22,FALSE)=1),1)))))))))))</f>
        <v/>
      </c>
      <c r="Y300" s="28" t="str">
        <f>IF(COUNTIF(B300:G300,"")&gt;0,"",IF(COUNTIF([1]PP!$A:$A,A300)=0,"neni v PP",IF(VLOOKUP(A300,[1]PP!$A:$W,8,FALSE)="odešel","odešel",IF(F300="","",IF(J300="",IF(OR(T300=4,W300=4),4,IF(AND(T300="N",W300="N"),"N",IF(OR(T300="N",W300="N"),4,ROUND(AVERAGE(T300,W300),0)))),J300)))))</f>
        <v/>
      </c>
      <c r="Z300" s="29" t="str">
        <f>IF(COUNTIF(B300:G300,"")=0,IF(X300="neni v PP",CONCATENATE("ID: &lt;",A300,"&gt; se neshoduje s žádným IDem v kartě PP"),IF(COUNTIF($A:$A,A300)&gt;1,CONCATENATE("ID: &lt;",A300,"&gt; se v kartě VP opakuje. Je nutné tyto IDy od sebe odlišit, např. mezerou za příjmením."),IF(COUNTIF([1]PP!A:A,A300)&gt;1,CONCATENATE("ID: &lt;",A300,"&gt; se v kartě PP opakuje. Je nutné tyto IDy od sebe odlišit, např. mezerou za příjmením."),IF(VLOOKUP(A300,[1]PP!$A:$W,5,FALSE)&lt;&gt;E300,CONCATENATE($E$4," &lt;",E300,"&gt; se neshoduje s jednotkou v kartě PP"," &lt;",VLOOKUP(A300,[1]PP!$A:$W,5,FALSE),"&gt;"),IF(AND(COUNTIF(K300:O300,"")&lt;5,J300="",I300=""),CONCATENATE("Doplň: ",$I$4),IF(AND(YEAR(I300)&lt;&gt;$E$2,COUNTIF(I300,"")=0),CONCATENATE("špatně uveden &lt;",$D$2,"&gt; nebo &lt;",$I$4,"&gt;"),IF(OR(AND(OR(COUNTIF(C300,"*a"),COUNTIF(C300,"*ie"),COUNTIF(C300,"*ine"),COUNTIF(D300,"*Á")),F300="muž"),AND(AND(COUNTIF(C300,"&lt;&gt;"&amp;"*a"),COUNTIF(C300,"&lt;&gt;"&amp;"*ie"),COUNTIF(C300,"&lt;&gt;"&amp;"*ine"),COUNTIF(D300,"&lt;&gt;"&amp;"*Á")),F300="žena")),CONCATENATE(C300," ",D300," je ",F300,"?"),""))))))),IF(COUNTIF(B300:O300,"")=14,"",CONCATENATE("Doplň: ",IF(B300="",CONCATENATE($B$4,IF(COUNTIF(C300:G300,"")=0,"",", ")),""),IF(C300="",CONCATENATE($C$4,IF(COUNTIF(D300:G300,"")=0,"",", ")),""),IF(D300="",CONCATENATE($D$4,IF(COUNTIF(E300:G300,"")=0,"",", ")),""),IF(E300="",CONCATENATE($E$4,IF(COUNTIF(F300:G300,"")=0,"",", ")),""),IF(F300="",CONCATENATE($F$4,IF(G300="",", ","")),""),IF(G300="",$G$4,""))))</f>
        <v/>
      </c>
      <c r="AA300" s="30"/>
    </row>
    <row r="301" spans="1:27" ht="16" x14ac:dyDescent="0.35">
      <c r="A301" s="14" t="str">
        <f t="shared" si="16"/>
        <v xml:space="preserve">  </v>
      </c>
      <c r="B301" s="15"/>
      <c r="C301" s="31"/>
      <c r="D301" s="31"/>
      <c r="E301" s="17"/>
      <c r="F301" s="18"/>
      <c r="G301" s="32"/>
      <c r="H301" s="33" t="str">
        <f>IF(G301="","",IF(F301="žena",ROMAN(MATCH(G301+1,'[1]Normy VP'!$Y$27:$Y$33,-1)),ROMAN(MATCH(G301+1,'[1]Normy VP'!$Y$19:$Y$25,-1))))</f>
        <v/>
      </c>
      <c r="I301" s="21"/>
      <c r="J301" s="22"/>
      <c r="K301" s="23"/>
      <c r="L301" s="23"/>
      <c r="M301" s="23"/>
      <c r="N301" s="22"/>
      <c r="O301" s="22"/>
      <c r="P301" s="24" t="str">
        <f>IF(OR($J301="",$J301="odešel"),IF(K301="","",IF($F301="žena",CHOOSE(_xlfn.ARABIC($H301),MATCH(K301+1,'[1]Normy VP'!$C$25:$F$25,-1),MATCH(K301+1,'[1]Normy VP'!$C$26:$F$26,-1),MATCH(K301+1,'[1]Normy VP'!$C$27:$F$27,-1),MATCH(K301+1,'[1]Normy VP'!$C$28:$F$28,-1),MATCH(K301+1,'[1]Normy VP'!$C$29:$F$29,-1),"muž"),CHOOSE(_xlfn.ARABIC($H301),MATCH(K301+1,'[1]Normy VP'!$C$10:$F$10,-1),MATCH(K301+1,'[1]Normy VP'!$C$11:$F$11,-1),MATCH(K301+1,'[1]Normy VP'!$C$12:$F$12,-1),MATCH(K301+1,'[1]Normy VP'!$C$13:$F$13,-1),MATCH(K301+1,'[1]Normy VP'!$C$14:$F$14,-1),""))),"O")</f>
        <v/>
      </c>
      <c r="Q301" s="24" t="str">
        <f>IF(OR($J301="",$J301="odešel"),IF($F301="žena","",IF(L301="","",(CHOOSE(_xlfn.ARABIC($H301),MATCH(L301+1,'[1]Normy VP'!$G$10:$J$10,-1),MATCH(L301+1,'[1]Normy VP'!$G$11:$J$11,-1),MATCH(L301+1,'[1]Normy VP'!$G$12:$J$12,-1),MATCH(L301+1,'[1]Normy VP'!$G$13:$J$13,-1),MATCH(L301+1,'[1]Normy VP'!$G$14:$J$14,-1),"")))),"O")</f>
        <v/>
      </c>
      <c r="R301" s="34" t="str">
        <f t="shared" si="17"/>
        <v>N</v>
      </c>
      <c r="S301" s="24" t="str">
        <f>IF(OR($J301="",$J301="odešel"),IF(M301="","N",IF($F301="žena",CHOOSE(_xlfn.ARABIC($H301),MATCH(M301+1,'[1]Normy VP'!$G$25:$J$25,-1),MATCH(M301+1,'[1]Normy VP'!$G$26:$J$26,-1),MATCH(M301+1,'[1]Normy VP'!$G$27:$J$27,-1),MATCH(M301+1,'[1]Normy VP'!$G$28:$J$28,-1),MATCH(M301+1,'[1]Normy VP'!$G$29:$J$29,-1),"muž"),(CHOOSE(_xlfn.ARABIC($H301),MATCH(M301+1,'[1]Normy VP'!$K$10:$N$10,-1),MATCH(M301+1,'[1]Normy VP'!$K$11:$N$11,-1),MATCH(M301+1,'[1]Normy VP'!$K$12:$N$12,-1),MATCH(M301+1,'[1]Normy VP'!$K$13:$N$13,-1),MATCH(M301+1,'[1]Normy VP'!$K$14:$N$14,-1),"")))),"O")</f>
        <v>N</v>
      </c>
      <c r="T301" s="34" t="str">
        <f t="shared" si="18"/>
        <v>N</v>
      </c>
      <c r="U301" s="24" t="str">
        <f>IF(OR($J301="",$J301="odešel"),IF(N301="","N",IF($F301="žena",CHOOSE(_xlfn.ARABIC($H301),MATCH(N301+1,'[1]Normy VP'!$K$25:$N$25,-1),MATCH(N301+1,'[1]Normy VP'!$K$26:$N$26,-1),MATCH(N301+1,'[1]Normy VP'!$K$27:$N$27,-1),MATCH(N301+1,'[1]Normy VP'!$K$28:$N$28,-1),MATCH(N301+1,'[1]Normy VP'!$K$29:$N$29,-1),MATCH(N301+1,'[1]Normy VP'!$K$30:$N$30,-1)),CHOOSE(_xlfn.ARABIC($H301),MATCH(N301+1,'[1]Normy VP'!$O$10:$R$10,-1),MATCH(N301+1,'[1]Normy VP'!$O$11:$R$11,-1),MATCH(N301+1,'[1]Normy VP'!$O$12:$R$12,-1),MATCH(N301+1,'[1]Normy VP'!$O$13:$R$13,-1),MATCH(N301+1,'[1]Normy VP'!$O$14:$R$14,-1),MATCH(N301+1,'[1]Normy VP'!$O$15:$R$15,-1)))),"O")</f>
        <v>N</v>
      </c>
      <c r="V301" s="26" t="str">
        <f>IF(OR($J301="",$J301="odešel"),IF(O301="","N",IF($F301="žena",CHOOSE(_xlfn.ARABIC($H301),MATCH(O301-1,'[1]Normy VP'!$O$25:$R$25),MATCH(O301-1,'[1]Normy VP'!$O$26:$R$26),MATCH(O301-1,'[1]Normy VP'!$O$27:$R$27),MATCH(O301-1,'[1]Normy VP'!$O$28:$R$28),MATCH(O301-1,'[1]Normy VP'!$O$29:$R$29),MATCH(O301-1,'[1]Normy VP'!$O$30:$R$30)),CHOOSE(_xlfn.ARABIC($H301),MATCH(O301-1,'[1]Normy VP'!$S$10:$V$10),MATCH(O301-1,'[1]Normy VP'!$S$11:$V$11),MATCH(O301-1,'[1]Normy VP'!$S$12:$V$12),MATCH(O301-1,'[1]Normy VP'!$S$13:$V$13),MATCH(O301-1,'[1]Normy VP'!$S$14:$V$14),MATCH(O301-1,'[1]Normy VP'!$S$15:$V$15)))),"O")</f>
        <v>N</v>
      </c>
      <c r="W301" s="34" t="str">
        <f t="shared" si="19"/>
        <v>N</v>
      </c>
      <c r="X301" s="27" t="str">
        <f>IF(COUNTIF(B301:G301,"")&gt;0,"",IF(COUNTIF([1]PP!$A:$A,A301)=0,"neni v PP",IF(OR(Y301="odešel",VLOOKUP(A301,[1]PP!$A:$W,22,FALSE)="odešel"),"odešel",IF(OR(Y301="N",VLOOKUP(A301,[1]PP!$A:$W,22,FALSE)="N"),"N",IF(OR(Y301="C",VLOOKUP(A301,[1]PP!$A:$W,22,FALSE)="C"),"C",IF(OR(Y301="DZO",VLOOKUP(A301,[1]PP!$A:$W,22,FALSE)="DZO"),"DZO",IF(OR(Y301="mise",Y301="disp.",Y301="končí",Y301="DSC",VLOOKUP(A301,[1]PP!$A:$W,22,FALSE)="mise",VLOOKUP(A301,[1]PP!$A:$W,22,FALSE)="disp.",VLOOKUP(A301,[1]PP!$A:$W,22,FALSE)="končí",VLOOKUP(A301,[1]PP!$A:$W,22,FALSE)="DSC"),"jiné",IF(OR(Y301=4,VLOOKUP(A301,[1]PP!$A:$W,22,FALSE)=4),4,IF(OR(Y301=3,VLOOKUP(A301,[1]PP!$A:$W,22,FALSE)=3),3,IF(OR(Y301=2,VLOOKUP(A301,[1]PP!$A:$W,22,FALSE)=2),2,IF(AND(Y301=1,VLOOKUP(A301,[1]PP!$A:$W,22,FALSE)=1),1)))))))))))</f>
        <v/>
      </c>
      <c r="Y301" s="28" t="str">
        <f>IF(COUNTIF(B301:G301,"")&gt;0,"",IF(COUNTIF([1]PP!$A:$A,A301)=0,"neni v PP",IF(VLOOKUP(A301,[1]PP!$A:$W,8,FALSE)="odešel","odešel",IF(F301="","",IF(J301="",IF(OR(T301=4,W301=4),4,IF(AND(T301="N",W301="N"),"N",IF(OR(T301="N",W301="N"),4,ROUND(AVERAGE(T301,W301),0)))),J301)))))</f>
        <v/>
      </c>
      <c r="Z301" s="29" t="str">
        <f>IF(COUNTIF(B301:G301,"")=0,IF(X301="neni v PP",CONCATENATE("ID: &lt;",A301,"&gt; se neshoduje s žádným IDem v kartě PP"),IF(COUNTIF($A:$A,A301)&gt;1,CONCATENATE("ID: &lt;",A301,"&gt; se v kartě VP opakuje. Je nutné tyto IDy od sebe odlišit, např. mezerou za příjmením."),IF(COUNTIF([1]PP!A:A,A301)&gt;1,CONCATENATE("ID: &lt;",A301,"&gt; se v kartě PP opakuje. Je nutné tyto IDy od sebe odlišit, např. mezerou za příjmením."),IF(VLOOKUP(A301,[1]PP!$A:$W,5,FALSE)&lt;&gt;E301,CONCATENATE($E$4," &lt;",E301,"&gt; se neshoduje s jednotkou v kartě PP"," &lt;",VLOOKUP(A301,[1]PP!$A:$W,5,FALSE),"&gt;"),IF(AND(COUNTIF(K301:O301,"")&lt;5,J301="",I301=""),CONCATENATE("Doplň: ",$I$4),IF(AND(YEAR(I301)&lt;&gt;$E$2,COUNTIF(I301,"")=0),CONCATENATE("špatně uveden &lt;",$D$2,"&gt; nebo &lt;",$I$4,"&gt;"),IF(OR(AND(OR(COUNTIF(C301,"*a"),COUNTIF(C301,"*ie"),COUNTIF(C301,"*ine"),COUNTIF(D301,"*Á")),F301="muž"),AND(AND(COUNTIF(C301,"&lt;&gt;"&amp;"*a"),COUNTIF(C301,"&lt;&gt;"&amp;"*ie"),COUNTIF(C301,"&lt;&gt;"&amp;"*ine"),COUNTIF(D301,"&lt;&gt;"&amp;"*Á")),F301="žena")),CONCATENATE(C301," ",D301," je ",F301,"?"),""))))))),IF(COUNTIF(B301:O301,"")=14,"",CONCATENATE("Doplň: ",IF(B301="",CONCATENATE($B$4,IF(COUNTIF(C301:G301,"")=0,"",", ")),""),IF(C301="",CONCATENATE($C$4,IF(COUNTIF(D301:G301,"")=0,"",", ")),""),IF(D301="",CONCATENATE($D$4,IF(COUNTIF(E301:G301,"")=0,"",", ")),""),IF(E301="",CONCATENATE($E$4,IF(COUNTIF(F301:G301,"")=0,"",", ")),""),IF(F301="",CONCATENATE($F$4,IF(G301="",", ","")),""),IF(G301="",$G$4,""))))</f>
        <v/>
      </c>
      <c r="AA301" s="30"/>
    </row>
    <row r="302" spans="1:27" ht="16" x14ac:dyDescent="0.35">
      <c r="A302" s="14" t="str">
        <f t="shared" si="16"/>
        <v xml:space="preserve">  </v>
      </c>
      <c r="B302" s="15"/>
      <c r="C302" s="31"/>
      <c r="D302" s="31"/>
      <c r="E302" s="17"/>
      <c r="F302" s="18"/>
      <c r="G302" s="32"/>
      <c r="H302" s="33" t="str">
        <f>IF(G302="","",IF(F302="žena",ROMAN(MATCH(G302+1,'[1]Normy VP'!$Y$27:$Y$33,-1)),ROMAN(MATCH(G302+1,'[1]Normy VP'!$Y$19:$Y$25,-1))))</f>
        <v/>
      </c>
      <c r="I302" s="21"/>
      <c r="J302" s="22"/>
      <c r="K302" s="23"/>
      <c r="L302" s="23"/>
      <c r="M302" s="23"/>
      <c r="N302" s="22"/>
      <c r="O302" s="22"/>
      <c r="P302" s="24" t="str">
        <f>IF(OR($J302="",$J302="odešel"),IF(K302="","",IF($F302="žena",CHOOSE(_xlfn.ARABIC($H302),MATCH(K302+1,'[1]Normy VP'!$C$25:$F$25,-1),MATCH(K302+1,'[1]Normy VP'!$C$26:$F$26,-1),MATCH(K302+1,'[1]Normy VP'!$C$27:$F$27,-1),MATCH(K302+1,'[1]Normy VP'!$C$28:$F$28,-1),MATCH(K302+1,'[1]Normy VP'!$C$29:$F$29,-1),"muž"),CHOOSE(_xlfn.ARABIC($H302),MATCH(K302+1,'[1]Normy VP'!$C$10:$F$10,-1),MATCH(K302+1,'[1]Normy VP'!$C$11:$F$11,-1),MATCH(K302+1,'[1]Normy VP'!$C$12:$F$12,-1),MATCH(K302+1,'[1]Normy VP'!$C$13:$F$13,-1),MATCH(K302+1,'[1]Normy VP'!$C$14:$F$14,-1),""))),"O")</f>
        <v/>
      </c>
      <c r="Q302" s="24" t="str">
        <f>IF(OR($J302="",$J302="odešel"),IF($F302="žena","",IF(L302="","",(CHOOSE(_xlfn.ARABIC($H302),MATCH(L302+1,'[1]Normy VP'!$G$10:$J$10,-1),MATCH(L302+1,'[1]Normy VP'!$G$11:$J$11,-1),MATCH(L302+1,'[1]Normy VP'!$G$12:$J$12,-1),MATCH(L302+1,'[1]Normy VP'!$G$13:$J$13,-1),MATCH(L302+1,'[1]Normy VP'!$G$14:$J$14,-1),"")))),"O")</f>
        <v/>
      </c>
      <c r="R302" s="34" t="str">
        <f t="shared" si="17"/>
        <v>N</v>
      </c>
      <c r="S302" s="24" t="str">
        <f>IF(OR($J302="",$J302="odešel"),IF(M302="","N",IF($F302="žena",CHOOSE(_xlfn.ARABIC($H302),MATCH(M302+1,'[1]Normy VP'!$G$25:$J$25,-1),MATCH(M302+1,'[1]Normy VP'!$G$26:$J$26,-1),MATCH(M302+1,'[1]Normy VP'!$G$27:$J$27,-1),MATCH(M302+1,'[1]Normy VP'!$G$28:$J$28,-1),MATCH(M302+1,'[1]Normy VP'!$G$29:$J$29,-1),"muž"),(CHOOSE(_xlfn.ARABIC($H302),MATCH(M302+1,'[1]Normy VP'!$K$10:$N$10,-1),MATCH(M302+1,'[1]Normy VP'!$K$11:$N$11,-1),MATCH(M302+1,'[1]Normy VP'!$K$12:$N$12,-1),MATCH(M302+1,'[1]Normy VP'!$K$13:$N$13,-1),MATCH(M302+1,'[1]Normy VP'!$K$14:$N$14,-1),"")))),"O")</f>
        <v>N</v>
      </c>
      <c r="T302" s="34" t="str">
        <f t="shared" si="18"/>
        <v>N</v>
      </c>
      <c r="U302" s="24" t="str">
        <f>IF(OR($J302="",$J302="odešel"),IF(N302="","N",IF($F302="žena",CHOOSE(_xlfn.ARABIC($H302),MATCH(N302+1,'[1]Normy VP'!$K$25:$N$25,-1),MATCH(N302+1,'[1]Normy VP'!$K$26:$N$26,-1),MATCH(N302+1,'[1]Normy VP'!$K$27:$N$27,-1),MATCH(N302+1,'[1]Normy VP'!$K$28:$N$28,-1),MATCH(N302+1,'[1]Normy VP'!$K$29:$N$29,-1),MATCH(N302+1,'[1]Normy VP'!$K$30:$N$30,-1)),CHOOSE(_xlfn.ARABIC($H302),MATCH(N302+1,'[1]Normy VP'!$O$10:$R$10,-1),MATCH(N302+1,'[1]Normy VP'!$O$11:$R$11,-1),MATCH(N302+1,'[1]Normy VP'!$O$12:$R$12,-1),MATCH(N302+1,'[1]Normy VP'!$O$13:$R$13,-1),MATCH(N302+1,'[1]Normy VP'!$O$14:$R$14,-1),MATCH(N302+1,'[1]Normy VP'!$O$15:$R$15,-1)))),"O")</f>
        <v>N</v>
      </c>
      <c r="V302" s="26" t="str">
        <f>IF(OR($J302="",$J302="odešel"),IF(O302="","N",IF($F302="žena",CHOOSE(_xlfn.ARABIC($H302),MATCH(O302-1,'[1]Normy VP'!$O$25:$R$25),MATCH(O302-1,'[1]Normy VP'!$O$26:$R$26),MATCH(O302-1,'[1]Normy VP'!$O$27:$R$27),MATCH(O302-1,'[1]Normy VP'!$O$28:$R$28),MATCH(O302-1,'[1]Normy VP'!$O$29:$R$29),MATCH(O302-1,'[1]Normy VP'!$O$30:$R$30)),CHOOSE(_xlfn.ARABIC($H302),MATCH(O302-1,'[1]Normy VP'!$S$10:$V$10),MATCH(O302-1,'[1]Normy VP'!$S$11:$V$11),MATCH(O302-1,'[1]Normy VP'!$S$12:$V$12),MATCH(O302-1,'[1]Normy VP'!$S$13:$V$13),MATCH(O302-1,'[1]Normy VP'!$S$14:$V$14),MATCH(O302-1,'[1]Normy VP'!$S$15:$V$15)))),"O")</f>
        <v>N</v>
      </c>
      <c r="W302" s="34" t="str">
        <f t="shared" si="19"/>
        <v>N</v>
      </c>
      <c r="X302" s="27" t="str">
        <f>IF(COUNTIF(B302:G302,"")&gt;0,"",IF(COUNTIF([1]PP!$A:$A,A302)=0,"neni v PP",IF(OR(Y302="odešel",VLOOKUP(A302,[1]PP!$A:$W,22,FALSE)="odešel"),"odešel",IF(OR(Y302="N",VLOOKUP(A302,[1]PP!$A:$W,22,FALSE)="N"),"N",IF(OR(Y302="C",VLOOKUP(A302,[1]PP!$A:$W,22,FALSE)="C"),"C",IF(OR(Y302="DZO",VLOOKUP(A302,[1]PP!$A:$W,22,FALSE)="DZO"),"DZO",IF(OR(Y302="mise",Y302="disp.",Y302="končí",Y302="DSC",VLOOKUP(A302,[1]PP!$A:$W,22,FALSE)="mise",VLOOKUP(A302,[1]PP!$A:$W,22,FALSE)="disp.",VLOOKUP(A302,[1]PP!$A:$W,22,FALSE)="končí",VLOOKUP(A302,[1]PP!$A:$W,22,FALSE)="DSC"),"jiné",IF(OR(Y302=4,VLOOKUP(A302,[1]PP!$A:$W,22,FALSE)=4),4,IF(OR(Y302=3,VLOOKUP(A302,[1]PP!$A:$W,22,FALSE)=3),3,IF(OR(Y302=2,VLOOKUP(A302,[1]PP!$A:$W,22,FALSE)=2),2,IF(AND(Y302=1,VLOOKUP(A302,[1]PP!$A:$W,22,FALSE)=1),1)))))))))))</f>
        <v/>
      </c>
      <c r="Y302" s="28" t="str">
        <f>IF(COUNTIF(B302:G302,"")&gt;0,"",IF(COUNTIF([1]PP!$A:$A,A302)=0,"neni v PP",IF(VLOOKUP(A302,[1]PP!$A:$W,8,FALSE)="odešel","odešel",IF(F302="","",IF(J302="",IF(OR(T302=4,W302=4),4,IF(AND(T302="N",W302="N"),"N",IF(OR(T302="N",W302="N"),4,ROUND(AVERAGE(T302,W302),0)))),J302)))))</f>
        <v/>
      </c>
      <c r="Z302" s="29" t="str">
        <f>IF(COUNTIF(B302:G302,"")=0,IF(X302="neni v PP",CONCATENATE("ID: &lt;",A302,"&gt; se neshoduje s žádným IDem v kartě PP"),IF(COUNTIF($A:$A,A302)&gt;1,CONCATENATE("ID: &lt;",A302,"&gt; se v kartě VP opakuje. Je nutné tyto IDy od sebe odlišit, např. mezerou za příjmením."),IF(COUNTIF([1]PP!A:A,A302)&gt;1,CONCATENATE("ID: &lt;",A302,"&gt; se v kartě PP opakuje. Je nutné tyto IDy od sebe odlišit, např. mezerou za příjmením."),IF(VLOOKUP(A302,[1]PP!$A:$W,5,FALSE)&lt;&gt;E302,CONCATENATE($E$4," &lt;",E302,"&gt; se neshoduje s jednotkou v kartě PP"," &lt;",VLOOKUP(A302,[1]PP!$A:$W,5,FALSE),"&gt;"),IF(AND(COUNTIF(K302:O302,"")&lt;5,J302="",I302=""),CONCATENATE("Doplň: ",$I$4),IF(AND(YEAR(I302)&lt;&gt;$E$2,COUNTIF(I302,"")=0),CONCATENATE("špatně uveden &lt;",$D$2,"&gt; nebo &lt;",$I$4,"&gt;"),IF(OR(AND(OR(COUNTIF(C302,"*a"),COUNTIF(C302,"*ie"),COUNTIF(C302,"*ine"),COUNTIF(D302,"*Á")),F302="muž"),AND(AND(COUNTIF(C302,"&lt;&gt;"&amp;"*a"),COUNTIF(C302,"&lt;&gt;"&amp;"*ie"),COUNTIF(C302,"&lt;&gt;"&amp;"*ine"),COUNTIF(D302,"&lt;&gt;"&amp;"*Á")),F302="žena")),CONCATENATE(C302," ",D302," je ",F302,"?"),""))))))),IF(COUNTIF(B302:O302,"")=14,"",CONCATENATE("Doplň: ",IF(B302="",CONCATENATE($B$4,IF(COUNTIF(C302:G302,"")=0,"",", ")),""),IF(C302="",CONCATENATE($C$4,IF(COUNTIF(D302:G302,"")=0,"",", ")),""),IF(D302="",CONCATENATE($D$4,IF(COUNTIF(E302:G302,"")=0,"",", ")),""),IF(E302="",CONCATENATE($E$4,IF(COUNTIF(F302:G302,"")=0,"",", ")),""),IF(F302="",CONCATENATE($F$4,IF(G302="",", ","")),""),IF(G302="",$G$4,""))))</f>
        <v/>
      </c>
      <c r="AA302" s="30"/>
    </row>
    <row r="303" spans="1:27" ht="16" x14ac:dyDescent="0.35">
      <c r="A303" s="14" t="str">
        <f t="shared" si="16"/>
        <v xml:space="preserve">  </v>
      </c>
      <c r="B303" s="15"/>
      <c r="C303" s="31"/>
      <c r="D303" s="31"/>
      <c r="E303" s="17"/>
      <c r="F303" s="18"/>
      <c r="G303" s="32"/>
      <c r="H303" s="33" t="str">
        <f>IF(G303="","",IF(F303="žena",ROMAN(MATCH(G303+1,'[1]Normy VP'!$Y$27:$Y$33,-1)),ROMAN(MATCH(G303+1,'[1]Normy VP'!$Y$19:$Y$25,-1))))</f>
        <v/>
      </c>
      <c r="I303" s="21"/>
      <c r="J303" s="22"/>
      <c r="K303" s="23"/>
      <c r="L303" s="23"/>
      <c r="M303" s="23"/>
      <c r="N303" s="22"/>
      <c r="O303" s="22"/>
      <c r="P303" s="24" t="str">
        <f>IF(OR($J303="",$J303="odešel"),IF(K303="","",IF($F303="žena",CHOOSE(_xlfn.ARABIC($H303),MATCH(K303+1,'[1]Normy VP'!$C$25:$F$25,-1),MATCH(K303+1,'[1]Normy VP'!$C$26:$F$26,-1),MATCH(K303+1,'[1]Normy VP'!$C$27:$F$27,-1),MATCH(K303+1,'[1]Normy VP'!$C$28:$F$28,-1),MATCH(K303+1,'[1]Normy VP'!$C$29:$F$29,-1),"muž"),CHOOSE(_xlfn.ARABIC($H303),MATCH(K303+1,'[1]Normy VP'!$C$10:$F$10,-1),MATCH(K303+1,'[1]Normy VP'!$C$11:$F$11,-1),MATCH(K303+1,'[1]Normy VP'!$C$12:$F$12,-1),MATCH(K303+1,'[1]Normy VP'!$C$13:$F$13,-1),MATCH(K303+1,'[1]Normy VP'!$C$14:$F$14,-1),""))),"O")</f>
        <v/>
      </c>
      <c r="Q303" s="24" t="str">
        <f>IF(OR($J303="",$J303="odešel"),IF($F303="žena","",IF(L303="","",(CHOOSE(_xlfn.ARABIC($H303),MATCH(L303+1,'[1]Normy VP'!$G$10:$J$10,-1),MATCH(L303+1,'[1]Normy VP'!$G$11:$J$11,-1),MATCH(L303+1,'[1]Normy VP'!$G$12:$J$12,-1),MATCH(L303+1,'[1]Normy VP'!$G$13:$J$13,-1),MATCH(L303+1,'[1]Normy VP'!$G$14:$J$14,-1),"")))),"O")</f>
        <v/>
      </c>
      <c r="R303" s="34" t="str">
        <f t="shared" si="17"/>
        <v>N</v>
      </c>
      <c r="S303" s="24" t="str">
        <f>IF(OR($J303="",$J303="odešel"),IF(M303="","N",IF($F303="žena",CHOOSE(_xlfn.ARABIC($H303),MATCH(M303+1,'[1]Normy VP'!$G$25:$J$25,-1),MATCH(M303+1,'[1]Normy VP'!$G$26:$J$26,-1),MATCH(M303+1,'[1]Normy VP'!$G$27:$J$27,-1),MATCH(M303+1,'[1]Normy VP'!$G$28:$J$28,-1),MATCH(M303+1,'[1]Normy VP'!$G$29:$J$29,-1),"muž"),(CHOOSE(_xlfn.ARABIC($H303),MATCH(M303+1,'[1]Normy VP'!$K$10:$N$10,-1),MATCH(M303+1,'[1]Normy VP'!$K$11:$N$11,-1),MATCH(M303+1,'[1]Normy VP'!$K$12:$N$12,-1),MATCH(M303+1,'[1]Normy VP'!$K$13:$N$13,-1),MATCH(M303+1,'[1]Normy VP'!$K$14:$N$14,-1),"")))),"O")</f>
        <v>N</v>
      </c>
      <c r="T303" s="34" t="str">
        <f t="shared" si="18"/>
        <v>N</v>
      </c>
      <c r="U303" s="24" t="str">
        <f>IF(OR($J303="",$J303="odešel"),IF(N303="","N",IF($F303="žena",CHOOSE(_xlfn.ARABIC($H303),MATCH(N303+1,'[1]Normy VP'!$K$25:$N$25,-1),MATCH(N303+1,'[1]Normy VP'!$K$26:$N$26,-1),MATCH(N303+1,'[1]Normy VP'!$K$27:$N$27,-1),MATCH(N303+1,'[1]Normy VP'!$K$28:$N$28,-1),MATCH(N303+1,'[1]Normy VP'!$K$29:$N$29,-1),MATCH(N303+1,'[1]Normy VP'!$K$30:$N$30,-1)),CHOOSE(_xlfn.ARABIC($H303),MATCH(N303+1,'[1]Normy VP'!$O$10:$R$10,-1),MATCH(N303+1,'[1]Normy VP'!$O$11:$R$11,-1),MATCH(N303+1,'[1]Normy VP'!$O$12:$R$12,-1),MATCH(N303+1,'[1]Normy VP'!$O$13:$R$13,-1),MATCH(N303+1,'[1]Normy VP'!$O$14:$R$14,-1),MATCH(N303+1,'[1]Normy VP'!$O$15:$R$15,-1)))),"O")</f>
        <v>N</v>
      </c>
      <c r="V303" s="26" t="str">
        <f>IF(OR($J303="",$J303="odešel"),IF(O303="","N",IF($F303="žena",CHOOSE(_xlfn.ARABIC($H303),MATCH(O303-1,'[1]Normy VP'!$O$25:$R$25),MATCH(O303-1,'[1]Normy VP'!$O$26:$R$26),MATCH(O303-1,'[1]Normy VP'!$O$27:$R$27),MATCH(O303-1,'[1]Normy VP'!$O$28:$R$28),MATCH(O303-1,'[1]Normy VP'!$O$29:$R$29),MATCH(O303-1,'[1]Normy VP'!$O$30:$R$30)),CHOOSE(_xlfn.ARABIC($H303),MATCH(O303-1,'[1]Normy VP'!$S$10:$V$10),MATCH(O303-1,'[1]Normy VP'!$S$11:$V$11),MATCH(O303-1,'[1]Normy VP'!$S$12:$V$12),MATCH(O303-1,'[1]Normy VP'!$S$13:$V$13),MATCH(O303-1,'[1]Normy VP'!$S$14:$V$14),MATCH(O303-1,'[1]Normy VP'!$S$15:$V$15)))),"O")</f>
        <v>N</v>
      </c>
      <c r="W303" s="34" t="str">
        <f t="shared" si="19"/>
        <v>N</v>
      </c>
      <c r="X303" s="27" t="str">
        <f>IF(COUNTIF(B303:G303,"")&gt;0,"",IF(COUNTIF([1]PP!$A:$A,A303)=0,"neni v PP",IF(OR(Y303="odešel",VLOOKUP(A303,[1]PP!$A:$W,22,FALSE)="odešel"),"odešel",IF(OR(Y303="N",VLOOKUP(A303,[1]PP!$A:$W,22,FALSE)="N"),"N",IF(OR(Y303="C",VLOOKUP(A303,[1]PP!$A:$W,22,FALSE)="C"),"C",IF(OR(Y303="DZO",VLOOKUP(A303,[1]PP!$A:$W,22,FALSE)="DZO"),"DZO",IF(OR(Y303="mise",Y303="disp.",Y303="končí",Y303="DSC",VLOOKUP(A303,[1]PP!$A:$W,22,FALSE)="mise",VLOOKUP(A303,[1]PP!$A:$W,22,FALSE)="disp.",VLOOKUP(A303,[1]PP!$A:$W,22,FALSE)="končí",VLOOKUP(A303,[1]PP!$A:$W,22,FALSE)="DSC"),"jiné",IF(OR(Y303=4,VLOOKUP(A303,[1]PP!$A:$W,22,FALSE)=4),4,IF(OR(Y303=3,VLOOKUP(A303,[1]PP!$A:$W,22,FALSE)=3),3,IF(OR(Y303=2,VLOOKUP(A303,[1]PP!$A:$W,22,FALSE)=2),2,IF(AND(Y303=1,VLOOKUP(A303,[1]PP!$A:$W,22,FALSE)=1),1)))))))))))</f>
        <v/>
      </c>
      <c r="Y303" s="28" t="str">
        <f>IF(COUNTIF(B303:G303,"")&gt;0,"",IF(COUNTIF([1]PP!$A:$A,A303)=0,"neni v PP",IF(VLOOKUP(A303,[1]PP!$A:$W,8,FALSE)="odešel","odešel",IF(F303="","",IF(J303="",IF(OR(T303=4,W303=4),4,IF(AND(T303="N",W303="N"),"N",IF(OR(T303="N",W303="N"),4,ROUND(AVERAGE(T303,W303),0)))),J303)))))</f>
        <v/>
      </c>
      <c r="Z303" s="29" t="str">
        <f>IF(COUNTIF(B303:G303,"")=0,IF(X303="neni v PP",CONCATENATE("ID: &lt;",A303,"&gt; se neshoduje s žádným IDem v kartě PP"),IF(COUNTIF($A:$A,A303)&gt;1,CONCATENATE("ID: &lt;",A303,"&gt; se v kartě VP opakuje. Je nutné tyto IDy od sebe odlišit, např. mezerou za příjmením."),IF(COUNTIF([1]PP!A:A,A303)&gt;1,CONCATENATE("ID: &lt;",A303,"&gt; se v kartě PP opakuje. Je nutné tyto IDy od sebe odlišit, např. mezerou za příjmením."),IF(VLOOKUP(A303,[1]PP!$A:$W,5,FALSE)&lt;&gt;E303,CONCATENATE($E$4," &lt;",E303,"&gt; se neshoduje s jednotkou v kartě PP"," &lt;",VLOOKUP(A303,[1]PP!$A:$W,5,FALSE),"&gt;"),IF(AND(COUNTIF(K303:O303,"")&lt;5,J303="",I303=""),CONCATENATE("Doplň: ",$I$4),IF(AND(YEAR(I303)&lt;&gt;$E$2,COUNTIF(I303,"")=0),CONCATENATE("špatně uveden &lt;",$D$2,"&gt; nebo &lt;",$I$4,"&gt;"),IF(OR(AND(OR(COUNTIF(C303,"*a"),COUNTIF(C303,"*ie"),COUNTIF(C303,"*ine"),COUNTIF(D303,"*Á")),F303="muž"),AND(AND(COUNTIF(C303,"&lt;&gt;"&amp;"*a"),COUNTIF(C303,"&lt;&gt;"&amp;"*ie"),COUNTIF(C303,"&lt;&gt;"&amp;"*ine"),COUNTIF(D303,"&lt;&gt;"&amp;"*Á")),F303="žena")),CONCATENATE(C303," ",D303," je ",F303,"?"),""))))))),IF(COUNTIF(B303:O303,"")=14,"",CONCATENATE("Doplň: ",IF(B303="",CONCATENATE($B$4,IF(COUNTIF(C303:G303,"")=0,"",", ")),""),IF(C303="",CONCATENATE($C$4,IF(COUNTIF(D303:G303,"")=0,"",", ")),""),IF(D303="",CONCATENATE($D$4,IF(COUNTIF(E303:G303,"")=0,"",", ")),""),IF(E303="",CONCATENATE($E$4,IF(COUNTIF(F303:G303,"")=0,"",", ")),""),IF(F303="",CONCATENATE($F$4,IF(G303="",", ","")),""),IF(G303="",$G$4,""))))</f>
        <v/>
      </c>
      <c r="AA303" s="30"/>
    </row>
    <row r="304" spans="1:27" ht="16" x14ac:dyDescent="0.35">
      <c r="A304" s="14" t="str">
        <f t="shared" si="16"/>
        <v xml:space="preserve">  </v>
      </c>
      <c r="B304" s="15"/>
      <c r="C304" s="31"/>
      <c r="D304" s="31"/>
      <c r="E304" s="17"/>
      <c r="F304" s="18"/>
      <c r="G304" s="32"/>
      <c r="H304" s="33" t="str">
        <f>IF(G304="","",IF(F304="žena",ROMAN(MATCH(G304+1,'[1]Normy VP'!$Y$27:$Y$33,-1)),ROMAN(MATCH(G304+1,'[1]Normy VP'!$Y$19:$Y$25,-1))))</f>
        <v/>
      </c>
      <c r="I304" s="21"/>
      <c r="J304" s="22"/>
      <c r="K304" s="23"/>
      <c r="L304" s="23"/>
      <c r="M304" s="23"/>
      <c r="N304" s="22"/>
      <c r="O304" s="22"/>
      <c r="P304" s="24" t="str">
        <f>IF(OR($J304="",$J304="odešel"),IF(K304="","",IF($F304="žena",CHOOSE(_xlfn.ARABIC($H304),MATCH(K304+1,'[1]Normy VP'!$C$25:$F$25,-1),MATCH(K304+1,'[1]Normy VP'!$C$26:$F$26,-1),MATCH(K304+1,'[1]Normy VP'!$C$27:$F$27,-1),MATCH(K304+1,'[1]Normy VP'!$C$28:$F$28,-1),MATCH(K304+1,'[1]Normy VP'!$C$29:$F$29,-1),"muž"),CHOOSE(_xlfn.ARABIC($H304),MATCH(K304+1,'[1]Normy VP'!$C$10:$F$10,-1),MATCH(K304+1,'[1]Normy VP'!$C$11:$F$11,-1),MATCH(K304+1,'[1]Normy VP'!$C$12:$F$12,-1),MATCH(K304+1,'[1]Normy VP'!$C$13:$F$13,-1),MATCH(K304+1,'[1]Normy VP'!$C$14:$F$14,-1),""))),"O")</f>
        <v/>
      </c>
      <c r="Q304" s="24" t="str">
        <f>IF(OR($J304="",$J304="odešel"),IF($F304="žena","",IF(L304="","",(CHOOSE(_xlfn.ARABIC($H304),MATCH(L304+1,'[1]Normy VP'!$G$10:$J$10,-1),MATCH(L304+1,'[1]Normy VP'!$G$11:$J$11,-1),MATCH(L304+1,'[1]Normy VP'!$G$12:$J$12,-1),MATCH(L304+1,'[1]Normy VP'!$G$13:$J$13,-1),MATCH(L304+1,'[1]Normy VP'!$G$14:$J$14,-1),"")))),"O")</f>
        <v/>
      </c>
      <c r="R304" s="34" t="str">
        <f t="shared" si="17"/>
        <v>N</v>
      </c>
      <c r="S304" s="24" t="str">
        <f>IF(OR($J304="",$J304="odešel"),IF(M304="","N",IF($F304="žena",CHOOSE(_xlfn.ARABIC($H304),MATCH(M304+1,'[1]Normy VP'!$G$25:$J$25,-1),MATCH(M304+1,'[1]Normy VP'!$G$26:$J$26,-1),MATCH(M304+1,'[1]Normy VP'!$G$27:$J$27,-1),MATCH(M304+1,'[1]Normy VP'!$G$28:$J$28,-1),MATCH(M304+1,'[1]Normy VP'!$G$29:$J$29,-1),"muž"),(CHOOSE(_xlfn.ARABIC($H304),MATCH(M304+1,'[1]Normy VP'!$K$10:$N$10,-1),MATCH(M304+1,'[1]Normy VP'!$K$11:$N$11,-1),MATCH(M304+1,'[1]Normy VP'!$K$12:$N$12,-1),MATCH(M304+1,'[1]Normy VP'!$K$13:$N$13,-1),MATCH(M304+1,'[1]Normy VP'!$K$14:$N$14,-1),"")))),"O")</f>
        <v>N</v>
      </c>
      <c r="T304" s="34" t="str">
        <f t="shared" si="18"/>
        <v>N</v>
      </c>
      <c r="U304" s="24" t="str">
        <f>IF(OR($J304="",$J304="odešel"),IF(N304="","N",IF($F304="žena",CHOOSE(_xlfn.ARABIC($H304),MATCH(N304+1,'[1]Normy VP'!$K$25:$N$25,-1),MATCH(N304+1,'[1]Normy VP'!$K$26:$N$26,-1),MATCH(N304+1,'[1]Normy VP'!$K$27:$N$27,-1),MATCH(N304+1,'[1]Normy VP'!$K$28:$N$28,-1),MATCH(N304+1,'[1]Normy VP'!$K$29:$N$29,-1),MATCH(N304+1,'[1]Normy VP'!$K$30:$N$30,-1)),CHOOSE(_xlfn.ARABIC($H304),MATCH(N304+1,'[1]Normy VP'!$O$10:$R$10,-1),MATCH(N304+1,'[1]Normy VP'!$O$11:$R$11,-1),MATCH(N304+1,'[1]Normy VP'!$O$12:$R$12,-1),MATCH(N304+1,'[1]Normy VP'!$O$13:$R$13,-1),MATCH(N304+1,'[1]Normy VP'!$O$14:$R$14,-1),MATCH(N304+1,'[1]Normy VP'!$O$15:$R$15,-1)))),"O")</f>
        <v>N</v>
      </c>
      <c r="V304" s="26" t="str">
        <f>IF(OR($J304="",$J304="odešel"),IF(O304="","N",IF($F304="žena",CHOOSE(_xlfn.ARABIC($H304),MATCH(O304-1,'[1]Normy VP'!$O$25:$R$25),MATCH(O304-1,'[1]Normy VP'!$O$26:$R$26),MATCH(O304-1,'[1]Normy VP'!$O$27:$R$27),MATCH(O304-1,'[1]Normy VP'!$O$28:$R$28),MATCH(O304-1,'[1]Normy VP'!$O$29:$R$29),MATCH(O304-1,'[1]Normy VP'!$O$30:$R$30)),CHOOSE(_xlfn.ARABIC($H304),MATCH(O304-1,'[1]Normy VP'!$S$10:$V$10),MATCH(O304-1,'[1]Normy VP'!$S$11:$V$11),MATCH(O304-1,'[1]Normy VP'!$S$12:$V$12),MATCH(O304-1,'[1]Normy VP'!$S$13:$V$13),MATCH(O304-1,'[1]Normy VP'!$S$14:$V$14),MATCH(O304-1,'[1]Normy VP'!$S$15:$V$15)))),"O")</f>
        <v>N</v>
      </c>
      <c r="W304" s="34" t="str">
        <f t="shared" si="19"/>
        <v>N</v>
      </c>
      <c r="X304" s="27" t="str">
        <f>IF(COUNTIF(B304:G304,"")&gt;0,"",IF(COUNTIF([1]PP!$A:$A,A304)=0,"neni v PP",IF(OR(Y304="odešel",VLOOKUP(A304,[1]PP!$A:$W,22,FALSE)="odešel"),"odešel",IF(OR(Y304="N",VLOOKUP(A304,[1]PP!$A:$W,22,FALSE)="N"),"N",IF(OR(Y304="C",VLOOKUP(A304,[1]PP!$A:$W,22,FALSE)="C"),"C",IF(OR(Y304="DZO",VLOOKUP(A304,[1]PP!$A:$W,22,FALSE)="DZO"),"DZO",IF(OR(Y304="mise",Y304="disp.",Y304="končí",Y304="DSC",VLOOKUP(A304,[1]PP!$A:$W,22,FALSE)="mise",VLOOKUP(A304,[1]PP!$A:$W,22,FALSE)="disp.",VLOOKUP(A304,[1]PP!$A:$W,22,FALSE)="končí",VLOOKUP(A304,[1]PP!$A:$W,22,FALSE)="DSC"),"jiné",IF(OR(Y304=4,VLOOKUP(A304,[1]PP!$A:$W,22,FALSE)=4),4,IF(OR(Y304=3,VLOOKUP(A304,[1]PP!$A:$W,22,FALSE)=3),3,IF(OR(Y304=2,VLOOKUP(A304,[1]PP!$A:$W,22,FALSE)=2),2,IF(AND(Y304=1,VLOOKUP(A304,[1]PP!$A:$W,22,FALSE)=1),1)))))))))))</f>
        <v/>
      </c>
      <c r="Y304" s="28" t="str">
        <f>IF(COUNTIF(B304:G304,"")&gt;0,"",IF(COUNTIF([1]PP!$A:$A,A304)=0,"neni v PP",IF(VLOOKUP(A304,[1]PP!$A:$W,8,FALSE)="odešel","odešel",IF(F304="","",IF(J304="",IF(OR(T304=4,W304=4),4,IF(AND(T304="N",W304="N"),"N",IF(OR(T304="N",W304="N"),4,ROUND(AVERAGE(T304,W304),0)))),J304)))))</f>
        <v/>
      </c>
      <c r="Z304" s="29" t="str">
        <f>IF(COUNTIF(B304:G304,"")=0,IF(X304="neni v PP",CONCATENATE("ID: &lt;",A304,"&gt; se neshoduje s žádným IDem v kartě PP"),IF(COUNTIF($A:$A,A304)&gt;1,CONCATENATE("ID: &lt;",A304,"&gt; se v kartě VP opakuje. Je nutné tyto IDy od sebe odlišit, např. mezerou za příjmením."),IF(COUNTIF([1]PP!A:A,A304)&gt;1,CONCATENATE("ID: &lt;",A304,"&gt; se v kartě PP opakuje. Je nutné tyto IDy od sebe odlišit, např. mezerou za příjmením."),IF(VLOOKUP(A304,[1]PP!$A:$W,5,FALSE)&lt;&gt;E304,CONCATENATE($E$4," &lt;",E304,"&gt; se neshoduje s jednotkou v kartě PP"," &lt;",VLOOKUP(A304,[1]PP!$A:$W,5,FALSE),"&gt;"),IF(AND(COUNTIF(K304:O304,"")&lt;5,J304="",I304=""),CONCATENATE("Doplň: ",$I$4),IF(AND(YEAR(I304)&lt;&gt;$E$2,COUNTIF(I304,"")=0),CONCATENATE("špatně uveden &lt;",$D$2,"&gt; nebo &lt;",$I$4,"&gt;"),IF(OR(AND(OR(COUNTIF(C304,"*a"),COUNTIF(C304,"*ie"),COUNTIF(C304,"*ine"),COUNTIF(D304,"*Á")),F304="muž"),AND(AND(COUNTIF(C304,"&lt;&gt;"&amp;"*a"),COUNTIF(C304,"&lt;&gt;"&amp;"*ie"),COUNTIF(C304,"&lt;&gt;"&amp;"*ine"),COUNTIF(D304,"&lt;&gt;"&amp;"*Á")),F304="žena")),CONCATENATE(C304," ",D304," je ",F304,"?"),""))))))),IF(COUNTIF(B304:O304,"")=14,"",CONCATENATE("Doplň: ",IF(B304="",CONCATENATE($B$4,IF(COUNTIF(C304:G304,"")=0,"",", ")),""),IF(C304="",CONCATENATE($C$4,IF(COUNTIF(D304:G304,"")=0,"",", ")),""),IF(D304="",CONCATENATE($D$4,IF(COUNTIF(E304:G304,"")=0,"",", ")),""),IF(E304="",CONCATENATE($E$4,IF(COUNTIF(F304:G304,"")=0,"",", ")),""),IF(F304="",CONCATENATE($F$4,IF(G304="",", ","")),""),IF(G304="",$G$4,""))))</f>
        <v/>
      </c>
      <c r="AA304" s="30"/>
    </row>
    <row r="305" spans="1:27" ht="16" x14ac:dyDescent="0.35">
      <c r="A305" s="14" t="str">
        <f t="shared" si="16"/>
        <v xml:space="preserve">  </v>
      </c>
      <c r="B305" s="15"/>
      <c r="C305" s="31"/>
      <c r="D305" s="31"/>
      <c r="E305" s="17"/>
      <c r="F305" s="18"/>
      <c r="G305" s="32"/>
      <c r="H305" s="33" t="str">
        <f>IF(G305="","",IF(F305="žena",ROMAN(MATCH(G305+1,'[1]Normy VP'!$Y$27:$Y$33,-1)),ROMAN(MATCH(G305+1,'[1]Normy VP'!$Y$19:$Y$25,-1))))</f>
        <v/>
      </c>
      <c r="I305" s="21"/>
      <c r="J305" s="22"/>
      <c r="K305" s="23"/>
      <c r="L305" s="23"/>
      <c r="M305" s="23"/>
      <c r="N305" s="22"/>
      <c r="O305" s="22"/>
      <c r="P305" s="24" t="str">
        <f>IF(OR($J305="",$J305="odešel"),IF(K305="","",IF($F305="žena",CHOOSE(_xlfn.ARABIC($H305),MATCH(K305+1,'[1]Normy VP'!$C$25:$F$25,-1),MATCH(K305+1,'[1]Normy VP'!$C$26:$F$26,-1),MATCH(K305+1,'[1]Normy VP'!$C$27:$F$27,-1),MATCH(K305+1,'[1]Normy VP'!$C$28:$F$28,-1),MATCH(K305+1,'[1]Normy VP'!$C$29:$F$29,-1),"muž"),CHOOSE(_xlfn.ARABIC($H305),MATCH(K305+1,'[1]Normy VP'!$C$10:$F$10,-1),MATCH(K305+1,'[1]Normy VP'!$C$11:$F$11,-1),MATCH(K305+1,'[1]Normy VP'!$C$12:$F$12,-1),MATCH(K305+1,'[1]Normy VP'!$C$13:$F$13,-1),MATCH(K305+1,'[1]Normy VP'!$C$14:$F$14,-1),""))),"O")</f>
        <v/>
      </c>
      <c r="Q305" s="24" t="str">
        <f>IF(OR($J305="",$J305="odešel"),IF($F305="žena","",IF(L305="","",(CHOOSE(_xlfn.ARABIC($H305),MATCH(L305+1,'[1]Normy VP'!$G$10:$J$10,-1),MATCH(L305+1,'[1]Normy VP'!$G$11:$J$11,-1),MATCH(L305+1,'[1]Normy VP'!$G$12:$J$12,-1),MATCH(L305+1,'[1]Normy VP'!$G$13:$J$13,-1),MATCH(L305+1,'[1]Normy VP'!$G$14:$J$14,-1),"")))),"O")</f>
        <v/>
      </c>
      <c r="R305" s="34" t="str">
        <f t="shared" si="17"/>
        <v>N</v>
      </c>
      <c r="S305" s="24" t="str">
        <f>IF(OR($J305="",$J305="odešel"),IF(M305="","N",IF($F305="žena",CHOOSE(_xlfn.ARABIC($H305),MATCH(M305+1,'[1]Normy VP'!$G$25:$J$25,-1),MATCH(M305+1,'[1]Normy VP'!$G$26:$J$26,-1),MATCH(M305+1,'[1]Normy VP'!$G$27:$J$27,-1),MATCH(M305+1,'[1]Normy VP'!$G$28:$J$28,-1),MATCH(M305+1,'[1]Normy VP'!$G$29:$J$29,-1),"muž"),(CHOOSE(_xlfn.ARABIC($H305),MATCH(M305+1,'[1]Normy VP'!$K$10:$N$10,-1),MATCH(M305+1,'[1]Normy VP'!$K$11:$N$11,-1),MATCH(M305+1,'[1]Normy VP'!$K$12:$N$12,-1),MATCH(M305+1,'[1]Normy VP'!$K$13:$N$13,-1),MATCH(M305+1,'[1]Normy VP'!$K$14:$N$14,-1),"")))),"O")</f>
        <v>N</v>
      </c>
      <c r="T305" s="34" t="str">
        <f t="shared" si="18"/>
        <v>N</v>
      </c>
      <c r="U305" s="24" t="str">
        <f>IF(OR($J305="",$J305="odešel"),IF(N305="","N",IF($F305="žena",CHOOSE(_xlfn.ARABIC($H305),MATCH(N305+1,'[1]Normy VP'!$K$25:$N$25,-1),MATCH(N305+1,'[1]Normy VP'!$K$26:$N$26,-1),MATCH(N305+1,'[1]Normy VP'!$K$27:$N$27,-1),MATCH(N305+1,'[1]Normy VP'!$K$28:$N$28,-1),MATCH(N305+1,'[1]Normy VP'!$K$29:$N$29,-1),MATCH(N305+1,'[1]Normy VP'!$K$30:$N$30,-1)),CHOOSE(_xlfn.ARABIC($H305),MATCH(N305+1,'[1]Normy VP'!$O$10:$R$10,-1),MATCH(N305+1,'[1]Normy VP'!$O$11:$R$11,-1),MATCH(N305+1,'[1]Normy VP'!$O$12:$R$12,-1),MATCH(N305+1,'[1]Normy VP'!$O$13:$R$13,-1),MATCH(N305+1,'[1]Normy VP'!$O$14:$R$14,-1),MATCH(N305+1,'[1]Normy VP'!$O$15:$R$15,-1)))),"O")</f>
        <v>N</v>
      </c>
      <c r="V305" s="26" t="str">
        <f>IF(OR($J305="",$J305="odešel"),IF(O305="","N",IF($F305="žena",CHOOSE(_xlfn.ARABIC($H305),MATCH(O305-1,'[1]Normy VP'!$O$25:$R$25),MATCH(O305-1,'[1]Normy VP'!$O$26:$R$26),MATCH(O305-1,'[1]Normy VP'!$O$27:$R$27),MATCH(O305-1,'[1]Normy VP'!$O$28:$R$28),MATCH(O305-1,'[1]Normy VP'!$O$29:$R$29),MATCH(O305-1,'[1]Normy VP'!$O$30:$R$30)),CHOOSE(_xlfn.ARABIC($H305),MATCH(O305-1,'[1]Normy VP'!$S$10:$V$10),MATCH(O305-1,'[1]Normy VP'!$S$11:$V$11),MATCH(O305-1,'[1]Normy VP'!$S$12:$V$12),MATCH(O305-1,'[1]Normy VP'!$S$13:$V$13),MATCH(O305-1,'[1]Normy VP'!$S$14:$V$14),MATCH(O305-1,'[1]Normy VP'!$S$15:$V$15)))),"O")</f>
        <v>N</v>
      </c>
      <c r="W305" s="34" t="str">
        <f t="shared" si="19"/>
        <v>N</v>
      </c>
      <c r="X305" s="27" t="str">
        <f>IF(COUNTIF(B305:G305,"")&gt;0,"",IF(COUNTIF([1]PP!$A:$A,A305)=0,"neni v PP",IF(OR(Y305="odešel",VLOOKUP(A305,[1]PP!$A:$W,22,FALSE)="odešel"),"odešel",IF(OR(Y305="N",VLOOKUP(A305,[1]PP!$A:$W,22,FALSE)="N"),"N",IF(OR(Y305="C",VLOOKUP(A305,[1]PP!$A:$W,22,FALSE)="C"),"C",IF(OR(Y305="DZO",VLOOKUP(A305,[1]PP!$A:$W,22,FALSE)="DZO"),"DZO",IF(OR(Y305="mise",Y305="disp.",Y305="končí",Y305="DSC",VLOOKUP(A305,[1]PP!$A:$W,22,FALSE)="mise",VLOOKUP(A305,[1]PP!$A:$W,22,FALSE)="disp.",VLOOKUP(A305,[1]PP!$A:$W,22,FALSE)="končí",VLOOKUP(A305,[1]PP!$A:$W,22,FALSE)="DSC"),"jiné",IF(OR(Y305=4,VLOOKUP(A305,[1]PP!$A:$W,22,FALSE)=4),4,IF(OR(Y305=3,VLOOKUP(A305,[1]PP!$A:$W,22,FALSE)=3),3,IF(OR(Y305=2,VLOOKUP(A305,[1]PP!$A:$W,22,FALSE)=2),2,IF(AND(Y305=1,VLOOKUP(A305,[1]PP!$A:$W,22,FALSE)=1),1)))))))))))</f>
        <v/>
      </c>
      <c r="Y305" s="28" t="str">
        <f>IF(COUNTIF(B305:G305,"")&gt;0,"",IF(COUNTIF([1]PP!$A:$A,A305)=0,"neni v PP",IF(VLOOKUP(A305,[1]PP!$A:$W,8,FALSE)="odešel","odešel",IF(F305="","",IF(J305="",IF(OR(T305=4,W305=4),4,IF(AND(T305="N",W305="N"),"N",IF(OR(T305="N",W305="N"),4,ROUND(AVERAGE(T305,W305),0)))),J305)))))</f>
        <v/>
      </c>
      <c r="Z305" s="29" t="str">
        <f>IF(COUNTIF(B305:G305,"")=0,IF(X305="neni v PP",CONCATENATE("ID: &lt;",A305,"&gt; se neshoduje s žádným IDem v kartě PP"),IF(COUNTIF($A:$A,A305)&gt;1,CONCATENATE("ID: &lt;",A305,"&gt; se v kartě VP opakuje. Je nutné tyto IDy od sebe odlišit, např. mezerou za příjmením."),IF(COUNTIF([1]PP!A:A,A305)&gt;1,CONCATENATE("ID: &lt;",A305,"&gt; se v kartě PP opakuje. Je nutné tyto IDy od sebe odlišit, např. mezerou za příjmením."),IF(VLOOKUP(A305,[1]PP!$A:$W,5,FALSE)&lt;&gt;E305,CONCATENATE($E$4," &lt;",E305,"&gt; se neshoduje s jednotkou v kartě PP"," &lt;",VLOOKUP(A305,[1]PP!$A:$W,5,FALSE),"&gt;"),IF(AND(COUNTIF(K305:O305,"")&lt;5,J305="",I305=""),CONCATENATE("Doplň: ",$I$4),IF(AND(YEAR(I305)&lt;&gt;$E$2,COUNTIF(I305,"")=0),CONCATENATE("špatně uveden &lt;",$D$2,"&gt; nebo &lt;",$I$4,"&gt;"),IF(OR(AND(OR(COUNTIF(C305,"*a"),COUNTIF(C305,"*ie"),COUNTIF(C305,"*ine"),COUNTIF(D305,"*Á")),F305="muž"),AND(AND(COUNTIF(C305,"&lt;&gt;"&amp;"*a"),COUNTIF(C305,"&lt;&gt;"&amp;"*ie"),COUNTIF(C305,"&lt;&gt;"&amp;"*ine"),COUNTIF(D305,"&lt;&gt;"&amp;"*Á")),F305="žena")),CONCATENATE(C305," ",D305," je ",F305,"?"),""))))))),IF(COUNTIF(B305:O305,"")=14,"",CONCATENATE("Doplň: ",IF(B305="",CONCATENATE($B$4,IF(COUNTIF(C305:G305,"")=0,"",", ")),""),IF(C305="",CONCATENATE($C$4,IF(COUNTIF(D305:G305,"")=0,"",", ")),""),IF(D305="",CONCATENATE($D$4,IF(COUNTIF(E305:G305,"")=0,"",", ")),""),IF(E305="",CONCATENATE($E$4,IF(COUNTIF(F305:G305,"")=0,"",", ")),""),IF(F305="",CONCATENATE($F$4,IF(G305="",", ","")),""),IF(G305="",$G$4,""))))</f>
        <v/>
      </c>
      <c r="AA305" s="30"/>
    </row>
    <row r="306" spans="1:27" ht="16" x14ac:dyDescent="0.35">
      <c r="A306" s="14" t="str">
        <f t="shared" si="16"/>
        <v xml:space="preserve">  </v>
      </c>
      <c r="B306" s="15"/>
      <c r="C306" s="31"/>
      <c r="D306" s="31"/>
      <c r="E306" s="17"/>
      <c r="F306" s="18"/>
      <c r="G306" s="32"/>
      <c r="H306" s="33" t="str">
        <f>IF(G306="","",IF(F306="žena",ROMAN(MATCH(G306+1,'[1]Normy VP'!$Y$27:$Y$33,-1)),ROMAN(MATCH(G306+1,'[1]Normy VP'!$Y$19:$Y$25,-1))))</f>
        <v/>
      </c>
      <c r="I306" s="21"/>
      <c r="J306" s="22"/>
      <c r="K306" s="23"/>
      <c r="L306" s="23"/>
      <c r="M306" s="23"/>
      <c r="N306" s="22"/>
      <c r="O306" s="22"/>
      <c r="P306" s="24" t="str">
        <f>IF(OR($J306="",$J306="odešel"),IF(K306="","",IF($F306="žena",CHOOSE(_xlfn.ARABIC($H306),MATCH(K306+1,'[1]Normy VP'!$C$25:$F$25,-1),MATCH(K306+1,'[1]Normy VP'!$C$26:$F$26,-1),MATCH(K306+1,'[1]Normy VP'!$C$27:$F$27,-1),MATCH(K306+1,'[1]Normy VP'!$C$28:$F$28,-1),MATCH(K306+1,'[1]Normy VP'!$C$29:$F$29,-1),"muž"),CHOOSE(_xlfn.ARABIC($H306),MATCH(K306+1,'[1]Normy VP'!$C$10:$F$10,-1),MATCH(K306+1,'[1]Normy VP'!$C$11:$F$11,-1),MATCH(K306+1,'[1]Normy VP'!$C$12:$F$12,-1),MATCH(K306+1,'[1]Normy VP'!$C$13:$F$13,-1),MATCH(K306+1,'[1]Normy VP'!$C$14:$F$14,-1),""))),"O")</f>
        <v/>
      </c>
      <c r="Q306" s="24" t="str">
        <f>IF(OR($J306="",$J306="odešel"),IF($F306="žena","",IF(L306="","",(CHOOSE(_xlfn.ARABIC($H306),MATCH(L306+1,'[1]Normy VP'!$G$10:$J$10,-1),MATCH(L306+1,'[1]Normy VP'!$G$11:$J$11,-1),MATCH(L306+1,'[1]Normy VP'!$G$12:$J$12,-1),MATCH(L306+1,'[1]Normy VP'!$G$13:$J$13,-1),MATCH(L306+1,'[1]Normy VP'!$G$14:$J$14,-1),"")))),"O")</f>
        <v/>
      </c>
      <c r="R306" s="34" t="str">
        <f t="shared" si="17"/>
        <v>N</v>
      </c>
      <c r="S306" s="24" t="str">
        <f>IF(OR($J306="",$J306="odešel"),IF(M306="","N",IF($F306="žena",CHOOSE(_xlfn.ARABIC($H306),MATCH(M306+1,'[1]Normy VP'!$G$25:$J$25,-1),MATCH(M306+1,'[1]Normy VP'!$G$26:$J$26,-1),MATCH(M306+1,'[1]Normy VP'!$G$27:$J$27,-1),MATCH(M306+1,'[1]Normy VP'!$G$28:$J$28,-1),MATCH(M306+1,'[1]Normy VP'!$G$29:$J$29,-1),"muž"),(CHOOSE(_xlfn.ARABIC($H306),MATCH(M306+1,'[1]Normy VP'!$K$10:$N$10,-1),MATCH(M306+1,'[1]Normy VP'!$K$11:$N$11,-1),MATCH(M306+1,'[1]Normy VP'!$K$12:$N$12,-1),MATCH(M306+1,'[1]Normy VP'!$K$13:$N$13,-1),MATCH(M306+1,'[1]Normy VP'!$K$14:$N$14,-1),"")))),"O")</f>
        <v>N</v>
      </c>
      <c r="T306" s="34" t="str">
        <f t="shared" si="18"/>
        <v>N</v>
      </c>
      <c r="U306" s="24" t="str">
        <f>IF(OR($J306="",$J306="odešel"),IF(N306="","N",IF($F306="žena",CHOOSE(_xlfn.ARABIC($H306),MATCH(N306+1,'[1]Normy VP'!$K$25:$N$25,-1),MATCH(N306+1,'[1]Normy VP'!$K$26:$N$26,-1),MATCH(N306+1,'[1]Normy VP'!$K$27:$N$27,-1),MATCH(N306+1,'[1]Normy VP'!$K$28:$N$28,-1),MATCH(N306+1,'[1]Normy VP'!$K$29:$N$29,-1),MATCH(N306+1,'[1]Normy VP'!$K$30:$N$30,-1)),CHOOSE(_xlfn.ARABIC($H306),MATCH(N306+1,'[1]Normy VP'!$O$10:$R$10,-1),MATCH(N306+1,'[1]Normy VP'!$O$11:$R$11,-1),MATCH(N306+1,'[1]Normy VP'!$O$12:$R$12,-1),MATCH(N306+1,'[1]Normy VP'!$O$13:$R$13,-1),MATCH(N306+1,'[1]Normy VP'!$O$14:$R$14,-1),MATCH(N306+1,'[1]Normy VP'!$O$15:$R$15,-1)))),"O")</f>
        <v>N</v>
      </c>
      <c r="V306" s="26" t="str">
        <f>IF(OR($J306="",$J306="odešel"),IF(O306="","N",IF($F306="žena",CHOOSE(_xlfn.ARABIC($H306),MATCH(O306-1,'[1]Normy VP'!$O$25:$R$25),MATCH(O306-1,'[1]Normy VP'!$O$26:$R$26),MATCH(O306-1,'[1]Normy VP'!$O$27:$R$27),MATCH(O306-1,'[1]Normy VP'!$O$28:$R$28),MATCH(O306-1,'[1]Normy VP'!$O$29:$R$29),MATCH(O306-1,'[1]Normy VP'!$O$30:$R$30)),CHOOSE(_xlfn.ARABIC($H306),MATCH(O306-1,'[1]Normy VP'!$S$10:$V$10),MATCH(O306-1,'[1]Normy VP'!$S$11:$V$11),MATCH(O306-1,'[1]Normy VP'!$S$12:$V$12),MATCH(O306-1,'[1]Normy VP'!$S$13:$V$13),MATCH(O306-1,'[1]Normy VP'!$S$14:$V$14),MATCH(O306-1,'[1]Normy VP'!$S$15:$V$15)))),"O")</f>
        <v>N</v>
      </c>
      <c r="W306" s="34" t="str">
        <f t="shared" si="19"/>
        <v>N</v>
      </c>
      <c r="X306" s="27" t="str">
        <f>IF(COUNTIF(B306:G306,"")&gt;0,"",IF(COUNTIF([1]PP!$A:$A,A306)=0,"neni v PP",IF(OR(Y306="odešel",VLOOKUP(A306,[1]PP!$A:$W,22,FALSE)="odešel"),"odešel",IF(OR(Y306="N",VLOOKUP(A306,[1]PP!$A:$W,22,FALSE)="N"),"N",IF(OR(Y306="C",VLOOKUP(A306,[1]PP!$A:$W,22,FALSE)="C"),"C",IF(OR(Y306="DZO",VLOOKUP(A306,[1]PP!$A:$W,22,FALSE)="DZO"),"DZO",IF(OR(Y306="mise",Y306="disp.",Y306="končí",Y306="DSC",VLOOKUP(A306,[1]PP!$A:$W,22,FALSE)="mise",VLOOKUP(A306,[1]PP!$A:$W,22,FALSE)="disp.",VLOOKUP(A306,[1]PP!$A:$W,22,FALSE)="končí",VLOOKUP(A306,[1]PP!$A:$W,22,FALSE)="DSC"),"jiné",IF(OR(Y306=4,VLOOKUP(A306,[1]PP!$A:$W,22,FALSE)=4),4,IF(OR(Y306=3,VLOOKUP(A306,[1]PP!$A:$W,22,FALSE)=3),3,IF(OR(Y306=2,VLOOKUP(A306,[1]PP!$A:$W,22,FALSE)=2),2,IF(AND(Y306=1,VLOOKUP(A306,[1]PP!$A:$W,22,FALSE)=1),1)))))))))))</f>
        <v/>
      </c>
      <c r="Y306" s="28" t="str">
        <f>IF(COUNTIF(B306:G306,"")&gt;0,"",IF(COUNTIF([1]PP!$A:$A,A306)=0,"neni v PP",IF(VLOOKUP(A306,[1]PP!$A:$W,8,FALSE)="odešel","odešel",IF(F306="","",IF(J306="",IF(OR(T306=4,W306=4),4,IF(AND(T306="N",W306="N"),"N",IF(OR(T306="N",W306="N"),4,ROUND(AVERAGE(T306,W306),0)))),J306)))))</f>
        <v/>
      </c>
      <c r="Z306" s="29" t="str">
        <f>IF(COUNTIF(B306:G306,"")=0,IF(X306="neni v PP",CONCATENATE("ID: &lt;",A306,"&gt; se neshoduje s žádným IDem v kartě PP"),IF(COUNTIF($A:$A,A306)&gt;1,CONCATENATE("ID: &lt;",A306,"&gt; se v kartě VP opakuje. Je nutné tyto IDy od sebe odlišit, např. mezerou za příjmením."),IF(COUNTIF([1]PP!A:A,A306)&gt;1,CONCATENATE("ID: &lt;",A306,"&gt; se v kartě PP opakuje. Je nutné tyto IDy od sebe odlišit, např. mezerou za příjmením."),IF(VLOOKUP(A306,[1]PP!$A:$W,5,FALSE)&lt;&gt;E306,CONCATENATE($E$4," &lt;",E306,"&gt; se neshoduje s jednotkou v kartě PP"," &lt;",VLOOKUP(A306,[1]PP!$A:$W,5,FALSE),"&gt;"),IF(AND(COUNTIF(K306:O306,"")&lt;5,J306="",I306=""),CONCATENATE("Doplň: ",$I$4),IF(AND(YEAR(I306)&lt;&gt;$E$2,COUNTIF(I306,"")=0),CONCATENATE("špatně uveden &lt;",$D$2,"&gt; nebo &lt;",$I$4,"&gt;"),IF(OR(AND(OR(COUNTIF(C306,"*a"),COUNTIF(C306,"*ie"),COUNTIF(C306,"*ine"),COUNTIF(D306,"*Á")),F306="muž"),AND(AND(COUNTIF(C306,"&lt;&gt;"&amp;"*a"),COUNTIF(C306,"&lt;&gt;"&amp;"*ie"),COUNTIF(C306,"&lt;&gt;"&amp;"*ine"),COUNTIF(D306,"&lt;&gt;"&amp;"*Á")),F306="žena")),CONCATENATE(C306," ",D306," je ",F306,"?"),""))))))),IF(COUNTIF(B306:O306,"")=14,"",CONCATENATE("Doplň: ",IF(B306="",CONCATENATE($B$4,IF(COUNTIF(C306:G306,"")=0,"",", ")),""),IF(C306="",CONCATENATE($C$4,IF(COUNTIF(D306:G306,"")=0,"",", ")),""),IF(D306="",CONCATENATE($D$4,IF(COUNTIF(E306:G306,"")=0,"",", ")),""),IF(E306="",CONCATENATE($E$4,IF(COUNTIF(F306:G306,"")=0,"",", ")),""),IF(F306="",CONCATENATE($F$4,IF(G306="",", ","")),""),IF(G306="",$G$4,""))))</f>
        <v/>
      </c>
      <c r="AA306" s="30"/>
    </row>
    <row r="307" spans="1:27" ht="16" x14ac:dyDescent="0.35">
      <c r="A307" s="14" t="str">
        <f t="shared" si="16"/>
        <v xml:space="preserve">  </v>
      </c>
      <c r="B307" s="15"/>
      <c r="C307" s="31"/>
      <c r="D307" s="31"/>
      <c r="E307" s="17"/>
      <c r="F307" s="18"/>
      <c r="G307" s="32"/>
      <c r="H307" s="33" t="str">
        <f>IF(G307="","",IF(F307="žena",ROMAN(MATCH(G307+1,'[1]Normy VP'!$Y$27:$Y$33,-1)),ROMAN(MATCH(G307+1,'[1]Normy VP'!$Y$19:$Y$25,-1))))</f>
        <v/>
      </c>
      <c r="I307" s="21"/>
      <c r="J307" s="22"/>
      <c r="K307" s="23"/>
      <c r="L307" s="23"/>
      <c r="M307" s="23"/>
      <c r="N307" s="22"/>
      <c r="O307" s="22"/>
      <c r="P307" s="24" t="str">
        <f>IF(OR($J307="",$J307="odešel"),IF(K307="","",IF($F307="žena",CHOOSE(_xlfn.ARABIC($H307),MATCH(K307+1,'[1]Normy VP'!$C$25:$F$25,-1),MATCH(K307+1,'[1]Normy VP'!$C$26:$F$26,-1),MATCH(K307+1,'[1]Normy VP'!$C$27:$F$27,-1),MATCH(K307+1,'[1]Normy VP'!$C$28:$F$28,-1),MATCH(K307+1,'[1]Normy VP'!$C$29:$F$29,-1),"muž"),CHOOSE(_xlfn.ARABIC($H307),MATCH(K307+1,'[1]Normy VP'!$C$10:$F$10,-1),MATCH(K307+1,'[1]Normy VP'!$C$11:$F$11,-1),MATCH(K307+1,'[1]Normy VP'!$C$12:$F$12,-1),MATCH(K307+1,'[1]Normy VP'!$C$13:$F$13,-1),MATCH(K307+1,'[1]Normy VP'!$C$14:$F$14,-1),""))),"O")</f>
        <v/>
      </c>
      <c r="Q307" s="24" t="str">
        <f>IF(OR($J307="",$J307="odešel"),IF($F307="žena","",IF(L307="","",(CHOOSE(_xlfn.ARABIC($H307),MATCH(L307+1,'[1]Normy VP'!$G$10:$J$10,-1),MATCH(L307+1,'[1]Normy VP'!$G$11:$J$11,-1),MATCH(L307+1,'[1]Normy VP'!$G$12:$J$12,-1),MATCH(L307+1,'[1]Normy VP'!$G$13:$J$13,-1),MATCH(L307+1,'[1]Normy VP'!$G$14:$J$14,-1),"")))),"O")</f>
        <v/>
      </c>
      <c r="R307" s="34" t="str">
        <f t="shared" si="17"/>
        <v>N</v>
      </c>
      <c r="S307" s="24" t="str">
        <f>IF(OR($J307="",$J307="odešel"),IF(M307="","N",IF($F307="žena",CHOOSE(_xlfn.ARABIC($H307),MATCH(M307+1,'[1]Normy VP'!$G$25:$J$25,-1),MATCH(M307+1,'[1]Normy VP'!$G$26:$J$26,-1),MATCH(M307+1,'[1]Normy VP'!$G$27:$J$27,-1),MATCH(M307+1,'[1]Normy VP'!$G$28:$J$28,-1),MATCH(M307+1,'[1]Normy VP'!$G$29:$J$29,-1),"muž"),(CHOOSE(_xlfn.ARABIC($H307),MATCH(M307+1,'[1]Normy VP'!$K$10:$N$10,-1),MATCH(M307+1,'[1]Normy VP'!$K$11:$N$11,-1),MATCH(M307+1,'[1]Normy VP'!$K$12:$N$12,-1),MATCH(M307+1,'[1]Normy VP'!$K$13:$N$13,-1),MATCH(M307+1,'[1]Normy VP'!$K$14:$N$14,-1),"")))),"O")</f>
        <v>N</v>
      </c>
      <c r="T307" s="34" t="str">
        <f t="shared" si="18"/>
        <v>N</v>
      </c>
      <c r="U307" s="24" t="str">
        <f>IF(OR($J307="",$J307="odešel"),IF(N307="","N",IF($F307="žena",CHOOSE(_xlfn.ARABIC($H307),MATCH(N307+1,'[1]Normy VP'!$K$25:$N$25,-1),MATCH(N307+1,'[1]Normy VP'!$K$26:$N$26,-1),MATCH(N307+1,'[1]Normy VP'!$K$27:$N$27,-1),MATCH(N307+1,'[1]Normy VP'!$K$28:$N$28,-1),MATCH(N307+1,'[1]Normy VP'!$K$29:$N$29,-1),MATCH(N307+1,'[1]Normy VP'!$K$30:$N$30,-1)),CHOOSE(_xlfn.ARABIC($H307),MATCH(N307+1,'[1]Normy VP'!$O$10:$R$10,-1),MATCH(N307+1,'[1]Normy VP'!$O$11:$R$11,-1),MATCH(N307+1,'[1]Normy VP'!$O$12:$R$12,-1),MATCH(N307+1,'[1]Normy VP'!$O$13:$R$13,-1),MATCH(N307+1,'[1]Normy VP'!$O$14:$R$14,-1),MATCH(N307+1,'[1]Normy VP'!$O$15:$R$15,-1)))),"O")</f>
        <v>N</v>
      </c>
      <c r="V307" s="26" t="str">
        <f>IF(OR($J307="",$J307="odešel"),IF(O307="","N",IF($F307="žena",CHOOSE(_xlfn.ARABIC($H307),MATCH(O307-1,'[1]Normy VP'!$O$25:$R$25),MATCH(O307-1,'[1]Normy VP'!$O$26:$R$26),MATCH(O307-1,'[1]Normy VP'!$O$27:$R$27),MATCH(O307-1,'[1]Normy VP'!$O$28:$R$28),MATCH(O307-1,'[1]Normy VP'!$O$29:$R$29),MATCH(O307-1,'[1]Normy VP'!$O$30:$R$30)),CHOOSE(_xlfn.ARABIC($H307),MATCH(O307-1,'[1]Normy VP'!$S$10:$V$10),MATCH(O307-1,'[1]Normy VP'!$S$11:$V$11),MATCH(O307-1,'[1]Normy VP'!$S$12:$V$12),MATCH(O307-1,'[1]Normy VP'!$S$13:$V$13),MATCH(O307-1,'[1]Normy VP'!$S$14:$V$14),MATCH(O307-1,'[1]Normy VP'!$S$15:$V$15)))),"O")</f>
        <v>N</v>
      </c>
      <c r="W307" s="34" t="str">
        <f t="shared" si="19"/>
        <v>N</v>
      </c>
      <c r="X307" s="27" t="str">
        <f>IF(COUNTIF(B307:G307,"")&gt;0,"",IF(COUNTIF([1]PP!$A:$A,A307)=0,"neni v PP",IF(OR(Y307="odešel",VLOOKUP(A307,[1]PP!$A:$W,22,FALSE)="odešel"),"odešel",IF(OR(Y307="N",VLOOKUP(A307,[1]PP!$A:$W,22,FALSE)="N"),"N",IF(OR(Y307="C",VLOOKUP(A307,[1]PP!$A:$W,22,FALSE)="C"),"C",IF(OR(Y307="DZO",VLOOKUP(A307,[1]PP!$A:$W,22,FALSE)="DZO"),"DZO",IF(OR(Y307="mise",Y307="disp.",Y307="končí",Y307="DSC",VLOOKUP(A307,[1]PP!$A:$W,22,FALSE)="mise",VLOOKUP(A307,[1]PP!$A:$W,22,FALSE)="disp.",VLOOKUP(A307,[1]PP!$A:$W,22,FALSE)="končí",VLOOKUP(A307,[1]PP!$A:$W,22,FALSE)="DSC"),"jiné",IF(OR(Y307=4,VLOOKUP(A307,[1]PP!$A:$W,22,FALSE)=4),4,IF(OR(Y307=3,VLOOKUP(A307,[1]PP!$A:$W,22,FALSE)=3),3,IF(OR(Y307=2,VLOOKUP(A307,[1]PP!$A:$W,22,FALSE)=2),2,IF(AND(Y307=1,VLOOKUP(A307,[1]PP!$A:$W,22,FALSE)=1),1)))))))))))</f>
        <v/>
      </c>
      <c r="Y307" s="28" t="str">
        <f>IF(COUNTIF(B307:G307,"")&gt;0,"",IF(COUNTIF([1]PP!$A:$A,A307)=0,"neni v PP",IF(VLOOKUP(A307,[1]PP!$A:$W,8,FALSE)="odešel","odešel",IF(F307="","",IF(J307="",IF(OR(T307=4,W307=4),4,IF(AND(T307="N",W307="N"),"N",IF(OR(T307="N",W307="N"),4,ROUND(AVERAGE(T307,W307),0)))),J307)))))</f>
        <v/>
      </c>
      <c r="Z307" s="29" t="str">
        <f>IF(COUNTIF(B307:G307,"")=0,IF(X307="neni v PP",CONCATENATE("ID: &lt;",A307,"&gt; se neshoduje s žádným IDem v kartě PP"),IF(COUNTIF($A:$A,A307)&gt;1,CONCATENATE("ID: &lt;",A307,"&gt; se v kartě VP opakuje. Je nutné tyto IDy od sebe odlišit, např. mezerou za příjmením."),IF(COUNTIF([1]PP!A:A,A307)&gt;1,CONCATENATE("ID: &lt;",A307,"&gt; se v kartě PP opakuje. Je nutné tyto IDy od sebe odlišit, např. mezerou za příjmením."),IF(VLOOKUP(A307,[1]PP!$A:$W,5,FALSE)&lt;&gt;E307,CONCATENATE($E$4," &lt;",E307,"&gt; se neshoduje s jednotkou v kartě PP"," &lt;",VLOOKUP(A307,[1]PP!$A:$W,5,FALSE),"&gt;"),IF(AND(COUNTIF(K307:O307,"")&lt;5,J307="",I307=""),CONCATENATE("Doplň: ",$I$4),IF(AND(YEAR(I307)&lt;&gt;$E$2,COUNTIF(I307,"")=0),CONCATENATE("špatně uveden &lt;",$D$2,"&gt; nebo &lt;",$I$4,"&gt;"),IF(OR(AND(OR(COUNTIF(C307,"*a"),COUNTIF(C307,"*ie"),COUNTIF(C307,"*ine"),COUNTIF(D307,"*Á")),F307="muž"),AND(AND(COUNTIF(C307,"&lt;&gt;"&amp;"*a"),COUNTIF(C307,"&lt;&gt;"&amp;"*ie"),COUNTIF(C307,"&lt;&gt;"&amp;"*ine"),COUNTIF(D307,"&lt;&gt;"&amp;"*Á")),F307="žena")),CONCATENATE(C307," ",D307," je ",F307,"?"),""))))))),IF(COUNTIF(B307:O307,"")=14,"",CONCATENATE("Doplň: ",IF(B307="",CONCATENATE($B$4,IF(COUNTIF(C307:G307,"")=0,"",", ")),""),IF(C307="",CONCATENATE($C$4,IF(COUNTIF(D307:G307,"")=0,"",", ")),""),IF(D307="",CONCATENATE($D$4,IF(COUNTIF(E307:G307,"")=0,"",", ")),""),IF(E307="",CONCATENATE($E$4,IF(COUNTIF(F307:G307,"")=0,"",", ")),""),IF(F307="",CONCATENATE($F$4,IF(G307="",", ","")),""),IF(G307="",$G$4,""))))</f>
        <v/>
      </c>
      <c r="AA307" s="30"/>
    </row>
    <row r="308" spans="1:27" ht="16" x14ac:dyDescent="0.35">
      <c r="A308" s="14" t="str">
        <f t="shared" si="16"/>
        <v xml:space="preserve">  </v>
      </c>
      <c r="B308" s="15"/>
      <c r="C308" s="31"/>
      <c r="D308" s="31"/>
      <c r="E308" s="17"/>
      <c r="F308" s="18"/>
      <c r="G308" s="32"/>
      <c r="H308" s="33" t="str">
        <f>IF(G308="","",IF(F308="žena",ROMAN(MATCH(G308+1,'[1]Normy VP'!$Y$27:$Y$33,-1)),ROMAN(MATCH(G308+1,'[1]Normy VP'!$Y$19:$Y$25,-1))))</f>
        <v/>
      </c>
      <c r="I308" s="21"/>
      <c r="J308" s="22"/>
      <c r="K308" s="23"/>
      <c r="L308" s="23"/>
      <c r="M308" s="23"/>
      <c r="N308" s="22"/>
      <c r="O308" s="22"/>
      <c r="P308" s="24" t="str">
        <f>IF(OR($J308="",$J308="odešel"),IF(K308="","",IF($F308="žena",CHOOSE(_xlfn.ARABIC($H308),MATCH(K308+1,'[1]Normy VP'!$C$25:$F$25,-1),MATCH(K308+1,'[1]Normy VP'!$C$26:$F$26,-1),MATCH(K308+1,'[1]Normy VP'!$C$27:$F$27,-1),MATCH(K308+1,'[1]Normy VP'!$C$28:$F$28,-1),MATCH(K308+1,'[1]Normy VP'!$C$29:$F$29,-1),"muž"),CHOOSE(_xlfn.ARABIC($H308),MATCH(K308+1,'[1]Normy VP'!$C$10:$F$10,-1),MATCH(K308+1,'[1]Normy VP'!$C$11:$F$11,-1),MATCH(K308+1,'[1]Normy VP'!$C$12:$F$12,-1),MATCH(K308+1,'[1]Normy VP'!$C$13:$F$13,-1),MATCH(K308+1,'[1]Normy VP'!$C$14:$F$14,-1),""))),"O")</f>
        <v/>
      </c>
      <c r="Q308" s="24" t="str">
        <f>IF(OR($J308="",$J308="odešel"),IF($F308="žena","",IF(L308="","",(CHOOSE(_xlfn.ARABIC($H308),MATCH(L308+1,'[1]Normy VP'!$G$10:$J$10,-1),MATCH(L308+1,'[1]Normy VP'!$G$11:$J$11,-1),MATCH(L308+1,'[1]Normy VP'!$G$12:$J$12,-1),MATCH(L308+1,'[1]Normy VP'!$G$13:$J$13,-1),MATCH(L308+1,'[1]Normy VP'!$G$14:$J$14,-1),"")))),"O")</f>
        <v/>
      </c>
      <c r="R308" s="34" t="str">
        <f t="shared" si="17"/>
        <v>N</v>
      </c>
      <c r="S308" s="24" t="str">
        <f>IF(OR($J308="",$J308="odešel"),IF(M308="","N",IF($F308="žena",CHOOSE(_xlfn.ARABIC($H308),MATCH(M308+1,'[1]Normy VP'!$G$25:$J$25,-1),MATCH(M308+1,'[1]Normy VP'!$G$26:$J$26,-1),MATCH(M308+1,'[1]Normy VP'!$G$27:$J$27,-1),MATCH(M308+1,'[1]Normy VP'!$G$28:$J$28,-1),MATCH(M308+1,'[1]Normy VP'!$G$29:$J$29,-1),"muž"),(CHOOSE(_xlfn.ARABIC($H308),MATCH(M308+1,'[1]Normy VP'!$K$10:$N$10,-1),MATCH(M308+1,'[1]Normy VP'!$K$11:$N$11,-1),MATCH(M308+1,'[1]Normy VP'!$K$12:$N$12,-1),MATCH(M308+1,'[1]Normy VP'!$K$13:$N$13,-1),MATCH(M308+1,'[1]Normy VP'!$K$14:$N$14,-1),"")))),"O")</f>
        <v>N</v>
      </c>
      <c r="T308" s="34" t="str">
        <f t="shared" si="18"/>
        <v>N</v>
      </c>
      <c r="U308" s="24" t="str">
        <f>IF(OR($J308="",$J308="odešel"),IF(N308="","N",IF($F308="žena",CHOOSE(_xlfn.ARABIC($H308),MATCH(N308+1,'[1]Normy VP'!$K$25:$N$25,-1),MATCH(N308+1,'[1]Normy VP'!$K$26:$N$26,-1),MATCH(N308+1,'[1]Normy VP'!$K$27:$N$27,-1),MATCH(N308+1,'[1]Normy VP'!$K$28:$N$28,-1),MATCH(N308+1,'[1]Normy VP'!$K$29:$N$29,-1),MATCH(N308+1,'[1]Normy VP'!$K$30:$N$30,-1)),CHOOSE(_xlfn.ARABIC($H308),MATCH(N308+1,'[1]Normy VP'!$O$10:$R$10,-1),MATCH(N308+1,'[1]Normy VP'!$O$11:$R$11,-1),MATCH(N308+1,'[1]Normy VP'!$O$12:$R$12,-1),MATCH(N308+1,'[1]Normy VP'!$O$13:$R$13,-1),MATCH(N308+1,'[1]Normy VP'!$O$14:$R$14,-1),MATCH(N308+1,'[1]Normy VP'!$O$15:$R$15,-1)))),"O")</f>
        <v>N</v>
      </c>
      <c r="V308" s="26" t="str">
        <f>IF(OR($J308="",$J308="odešel"),IF(O308="","N",IF($F308="žena",CHOOSE(_xlfn.ARABIC($H308),MATCH(O308-1,'[1]Normy VP'!$O$25:$R$25),MATCH(O308-1,'[1]Normy VP'!$O$26:$R$26),MATCH(O308-1,'[1]Normy VP'!$O$27:$R$27),MATCH(O308-1,'[1]Normy VP'!$O$28:$R$28),MATCH(O308-1,'[1]Normy VP'!$O$29:$R$29),MATCH(O308-1,'[1]Normy VP'!$O$30:$R$30)),CHOOSE(_xlfn.ARABIC($H308),MATCH(O308-1,'[1]Normy VP'!$S$10:$V$10),MATCH(O308-1,'[1]Normy VP'!$S$11:$V$11),MATCH(O308-1,'[1]Normy VP'!$S$12:$V$12),MATCH(O308-1,'[1]Normy VP'!$S$13:$V$13),MATCH(O308-1,'[1]Normy VP'!$S$14:$V$14),MATCH(O308-1,'[1]Normy VP'!$S$15:$V$15)))),"O")</f>
        <v>N</v>
      </c>
      <c r="W308" s="34" t="str">
        <f t="shared" si="19"/>
        <v>N</v>
      </c>
      <c r="X308" s="27" t="str">
        <f>IF(COUNTIF(B308:G308,"")&gt;0,"",IF(COUNTIF([1]PP!$A:$A,A308)=0,"neni v PP",IF(OR(Y308="odešel",VLOOKUP(A308,[1]PP!$A:$W,22,FALSE)="odešel"),"odešel",IF(OR(Y308="N",VLOOKUP(A308,[1]PP!$A:$W,22,FALSE)="N"),"N",IF(OR(Y308="C",VLOOKUP(A308,[1]PP!$A:$W,22,FALSE)="C"),"C",IF(OR(Y308="DZO",VLOOKUP(A308,[1]PP!$A:$W,22,FALSE)="DZO"),"DZO",IF(OR(Y308="mise",Y308="disp.",Y308="končí",Y308="DSC",VLOOKUP(A308,[1]PP!$A:$W,22,FALSE)="mise",VLOOKUP(A308,[1]PP!$A:$W,22,FALSE)="disp.",VLOOKUP(A308,[1]PP!$A:$W,22,FALSE)="končí",VLOOKUP(A308,[1]PP!$A:$W,22,FALSE)="DSC"),"jiné",IF(OR(Y308=4,VLOOKUP(A308,[1]PP!$A:$W,22,FALSE)=4),4,IF(OR(Y308=3,VLOOKUP(A308,[1]PP!$A:$W,22,FALSE)=3),3,IF(OR(Y308=2,VLOOKUP(A308,[1]PP!$A:$W,22,FALSE)=2),2,IF(AND(Y308=1,VLOOKUP(A308,[1]PP!$A:$W,22,FALSE)=1),1)))))))))))</f>
        <v/>
      </c>
      <c r="Y308" s="28" t="str">
        <f>IF(COUNTIF(B308:G308,"")&gt;0,"",IF(COUNTIF([1]PP!$A:$A,A308)=0,"neni v PP",IF(VLOOKUP(A308,[1]PP!$A:$W,8,FALSE)="odešel","odešel",IF(F308="","",IF(J308="",IF(OR(T308=4,W308=4),4,IF(AND(T308="N",W308="N"),"N",IF(OR(T308="N",W308="N"),4,ROUND(AVERAGE(T308,W308),0)))),J308)))))</f>
        <v/>
      </c>
      <c r="Z308" s="29" t="str">
        <f>IF(COUNTIF(B308:G308,"")=0,IF(X308="neni v PP",CONCATENATE("ID: &lt;",A308,"&gt; se neshoduje s žádným IDem v kartě PP"),IF(COUNTIF($A:$A,A308)&gt;1,CONCATENATE("ID: &lt;",A308,"&gt; se v kartě VP opakuje. Je nutné tyto IDy od sebe odlišit, např. mezerou za příjmením."),IF(COUNTIF([1]PP!A:A,A308)&gt;1,CONCATENATE("ID: &lt;",A308,"&gt; se v kartě PP opakuje. Je nutné tyto IDy od sebe odlišit, např. mezerou za příjmením."),IF(VLOOKUP(A308,[1]PP!$A:$W,5,FALSE)&lt;&gt;E308,CONCATENATE($E$4," &lt;",E308,"&gt; se neshoduje s jednotkou v kartě PP"," &lt;",VLOOKUP(A308,[1]PP!$A:$W,5,FALSE),"&gt;"),IF(AND(COUNTIF(K308:O308,"")&lt;5,J308="",I308=""),CONCATENATE("Doplň: ",$I$4),IF(AND(YEAR(I308)&lt;&gt;$E$2,COUNTIF(I308,"")=0),CONCATENATE("špatně uveden &lt;",$D$2,"&gt; nebo &lt;",$I$4,"&gt;"),IF(OR(AND(OR(COUNTIF(C308,"*a"),COUNTIF(C308,"*ie"),COUNTIF(C308,"*ine"),COUNTIF(D308,"*Á")),F308="muž"),AND(AND(COUNTIF(C308,"&lt;&gt;"&amp;"*a"),COUNTIF(C308,"&lt;&gt;"&amp;"*ie"),COUNTIF(C308,"&lt;&gt;"&amp;"*ine"),COUNTIF(D308,"&lt;&gt;"&amp;"*Á")),F308="žena")),CONCATENATE(C308," ",D308," je ",F308,"?"),""))))))),IF(COUNTIF(B308:O308,"")=14,"",CONCATENATE("Doplň: ",IF(B308="",CONCATENATE($B$4,IF(COUNTIF(C308:G308,"")=0,"",", ")),""),IF(C308="",CONCATENATE($C$4,IF(COUNTIF(D308:G308,"")=0,"",", ")),""),IF(D308="",CONCATENATE($D$4,IF(COUNTIF(E308:G308,"")=0,"",", ")),""),IF(E308="",CONCATENATE($E$4,IF(COUNTIF(F308:G308,"")=0,"",", ")),""),IF(F308="",CONCATENATE($F$4,IF(G308="",", ","")),""),IF(G308="",$G$4,""))))</f>
        <v/>
      </c>
      <c r="AA308" s="30"/>
    </row>
    <row r="309" spans="1:27" ht="16" x14ac:dyDescent="0.35">
      <c r="A309" s="14" t="str">
        <f t="shared" si="16"/>
        <v xml:space="preserve">  </v>
      </c>
      <c r="B309" s="15"/>
      <c r="C309" s="31"/>
      <c r="D309" s="31"/>
      <c r="E309" s="17"/>
      <c r="F309" s="18"/>
      <c r="G309" s="32"/>
      <c r="H309" s="33" t="str">
        <f>IF(G309="","",IF(F309="žena",ROMAN(MATCH(G309+1,'[1]Normy VP'!$Y$27:$Y$33,-1)),ROMAN(MATCH(G309+1,'[1]Normy VP'!$Y$19:$Y$25,-1))))</f>
        <v/>
      </c>
      <c r="I309" s="21"/>
      <c r="J309" s="22"/>
      <c r="K309" s="23"/>
      <c r="L309" s="23"/>
      <c r="M309" s="23"/>
      <c r="N309" s="22"/>
      <c r="O309" s="22"/>
      <c r="P309" s="24" t="str">
        <f>IF(OR($J309="",$J309="odešel"),IF(K309="","",IF($F309="žena",CHOOSE(_xlfn.ARABIC($H309),MATCH(K309+1,'[1]Normy VP'!$C$25:$F$25,-1),MATCH(K309+1,'[1]Normy VP'!$C$26:$F$26,-1),MATCH(K309+1,'[1]Normy VP'!$C$27:$F$27,-1),MATCH(K309+1,'[1]Normy VP'!$C$28:$F$28,-1),MATCH(K309+1,'[1]Normy VP'!$C$29:$F$29,-1),"muž"),CHOOSE(_xlfn.ARABIC($H309),MATCH(K309+1,'[1]Normy VP'!$C$10:$F$10,-1),MATCH(K309+1,'[1]Normy VP'!$C$11:$F$11,-1),MATCH(K309+1,'[1]Normy VP'!$C$12:$F$12,-1),MATCH(K309+1,'[1]Normy VP'!$C$13:$F$13,-1),MATCH(K309+1,'[1]Normy VP'!$C$14:$F$14,-1),""))),"O")</f>
        <v/>
      </c>
      <c r="Q309" s="24" t="str">
        <f>IF(OR($J309="",$J309="odešel"),IF($F309="žena","",IF(L309="","",(CHOOSE(_xlfn.ARABIC($H309),MATCH(L309+1,'[1]Normy VP'!$G$10:$J$10,-1),MATCH(L309+1,'[1]Normy VP'!$G$11:$J$11,-1),MATCH(L309+1,'[1]Normy VP'!$G$12:$J$12,-1),MATCH(L309+1,'[1]Normy VP'!$G$13:$J$13,-1),MATCH(L309+1,'[1]Normy VP'!$G$14:$J$14,-1),"")))),"O")</f>
        <v/>
      </c>
      <c r="R309" s="34" t="str">
        <f t="shared" si="17"/>
        <v>N</v>
      </c>
      <c r="S309" s="24" t="str">
        <f>IF(OR($J309="",$J309="odešel"),IF(M309="","N",IF($F309="žena",CHOOSE(_xlfn.ARABIC($H309),MATCH(M309+1,'[1]Normy VP'!$G$25:$J$25,-1),MATCH(M309+1,'[1]Normy VP'!$G$26:$J$26,-1),MATCH(M309+1,'[1]Normy VP'!$G$27:$J$27,-1),MATCH(M309+1,'[1]Normy VP'!$G$28:$J$28,-1),MATCH(M309+1,'[1]Normy VP'!$G$29:$J$29,-1),"muž"),(CHOOSE(_xlfn.ARABIC($H309),MATCH(M309+1,'[1]Normy VP'!$K$10:$N$10,-1),MATCH(M309+1,'[1]Normy VP'!$K$11:$N$11,-1),MATCH(M309+1,'[1]Normy VP'!$K$12:$N$12,-1),MATCH(M309+1,'[1]Normy VP'!$K$13:$N$13,-1),MATCH(M309+1,'[1]Normy VP'!$K$14:$N$14,-1),"")))),"O")</f>
        <v>N</v>
      </c>
      <c r="T309" s="34" t="str">
        <f t="shared" si="18"/>
        <v>N</v>
      </c>
      <c r="U309" s="24" t="str">
        <f>IF(OR($J309="",$J309="odešel"),IF(N309="","N",IF($F309="žena",CHOOSE(_xlfn.ARABIC($H309),MATCH(N309+1,'[1]Normy VP'!$K$25:$N$25,-1),MATCH(N309+1,'[1]Normy VP'!$K$26:$N$26,-1),MATCH(N309+1,'[1]Normy VP'!$K$27:$N$27,-1),MATCH(N309+1,'[1]Normy VP'!$K$28:$N$28,-1),MATCH(N309+1,'[1]Normy VP'!$K$29:$N$29,-1),MATCH(N309+1,'[1]Normy VP'!$K$30:$N$30,-1)),CHOOSE(_xlfn.ARABIC($H309),MATCH(N309+1,'[1]Normy VP'!$O$10:$R$10,-1),MATCH(N309+1,'[1]Normy VP'!$O$11:$R$11,-1),MATCH(N309+1,'[1]Normy VP'!$O$12:$R$12,-1),MATCH(N309+1,'[1]Normy VP'!$O$13:$R$13,-1),MATCH(N309+1,'[1]Normy VP'!$O$14:$R$14,-1),MATCH(N309+1,'[1]Normy VP'!$O$15:$R$15,-1)))),"O")</f>
        <v>N</v>
      </c>
      <c r="V309" s="26" t="str">
        <f>IF(OR($J309="",$J309="odešel"),IF(O309="","N",IF($F309="žena",CHOOSE(_xlfn.ARABIC($H309),MATCH(O309-1,'[1]Normy VP'!$O$25:$R$25),MATCH(O309-1,'[1]Normy VP'!$O$26:$R$26),MATCH(O309-1,'[1]Normy VP'!$O$27:$R$27),MATCH(O309-1,'[1]Normy VP'!$O$28:$R$28),MATCH(O309-1,'[1]Normy VP'!$O$29:$R$29),MATCH(O309-1,'[1]Normy VP'!$O$30:$R$30)),CHOOSE(_xlfn.ARABIC($H309),MATCH(O309-1,'[1]Normy VP'!$S$10:$V$10),MATCH(O309-1,'[1]Normy VP'!$S$11:$V$11),MATCH(O309-1,'[1]Normy VP'!$S$12:$V$12),MATCH(O309-1,'[1]Normy VP'!$S$13:$V$13),MATCH(O309-1,'[1]Normy VP'!$S$14:$V$14),MATCH(O309-1,'[1]Normy VP'!$S$15:$V$15)))),"O")</f>
        <v>N</v>
      </c>
      <c r="W309" s="34" t="str">
        <f t="shared" si="19"/>
        <v>N</v>
      </c>
      <c r="X309" s="27" t="str">
        <f>IF(COUNTIF(B309:G309,"")&gt;0,"",IF(COUNTIF([1]PP!$A:$A,A309)=0,"neni v PP",IF(OR(Y309="odešel",VLOOKUP(A309,[1]PP!$A:$W,22,FALSE)="odešel"),"odešel",IF(OR(Y309="N",VLOOKUP(A309,[1]PP!$A:$W,22,FALSE)="N"),"N",IF(OR(Y309="C",VLOOKUP(A309,[1]PP!$A:$W,22,FALSE)="C"),"C",IF(OR(Y309="DZO",VLOOKUP(A309,[1]PP!$A:$W,22,FALSE)="DZO"),"DZO",IF(OR(Y309="mise",Y309="disp.",Y309="končí",Y309="DSC",VLOOKUP(A309,[1]PP!$A:$W,22,FALSE)="mise",VLOOKUP(A309,[1]PP!$A:$W,22,FALSE)="disp.",VLOOKUP(A309,[1]PP!$A:$W,22,FALSE)="končí",VLOOKUP(A309,[1]PP!$A:$W,22,FALSE)="DSC"),"jiné",IF(OR(Y309=4,VLOOKUP(A309,[1]PP!$A:$W,22,FALSE)=4),4,IF(OR(Y309=3,VLOOKUP(A309,[1]PP!$A:$W,22,FALSE)=3),3,IF(OR(Y309=2,VLOOKUP(A309,[1]PP!$A:$W,22,FALSE)=2),2,IF(AND(Y309=1,VLOOKUP(A309,[1]PP!$A:$W,22,FALSE)=1),1)))))))))))</f>
        <v/>
      </c>
      <c r="Y309" s="28" t="str">
        <f>IF(COUNTIF(B309:G309,"")&gt;0,"",IF(COUNTIF([1]PP!$A:$A,A309)=0,"neni v PP",IF(VLOOKUP(A309,[1]PP!$A:$W,8,FALSE)="odešel","odešel",IF(F309="","",IF(J309="",IF(OR(T309=4,W309=4),4,IF(AND(T309="N",W309="N"),"N",IF(OR(T309="N",W309="N"),4,ROUND(AVERAGE(T309,W309),0)))),J309)))))</f>
        <v/>
      </c>
      <c r="Z309" s="29" t="str">
        <f>IF(COUNTIF(B309:G309,"")=0,IF(X309="neni v PP",CONCATENATE("ID: &lt;",A309,"&gt; se neshoduje s žádným IDem v kartě PP"),IF(COUNTIF($A:$A,A309)&gt;1,CONCATENATE("ID: &lt;",A309,"&gt; se v kartě VP opakuje. Je nutné tyto IDy od sebe odlišit, např. mezerou za příjmením."),IF(COUNTIF([1]PP!A:A,A309)&gt;1,CONCATENATE("ID: &lt;",A309,"&gt; se v kartě PP opakuje. Je nutné tyto IDy od sebe odlišit, např. mezerou za příjmením."),IF(VLOOKUP(A309,[1]PP!$A:$W,5,FALSE)&lt;&gt;E309,CONCATENATE($E$4," &lt;",E309,"&gt; se neshoduje s jednotkou v kartě PP"," &lt;",VLOOKUP(A309,[1]PP!$A:$W,5,FALSE),"&gt;"),IF(AND(COUNTIF(K309:O309,"")&lt;5,J309="",I309=""),CONCATENATE("Doplň: ",$I$4),IF(AND(YEAR(I309)&lt;&gt;$E$2,COUNTIF(I309,"")=0),CONCATENATE("špatně uveden &lt;",$D$2,"&gt; nebo &lt;",$I$4,"&gt;"),IF(OR(AND(OR(COUNTIF(C309,"*a"),COUNTIF(C309,"*ie"),COUNTIF(C309,"*ine"),COUNTIF(D309,"*Á")),F309="muž"),AND(AND(COUNTIF(C309,"&lt;&gt;"&amp;"*a"),COUNTIF(C309,"&lt;&gt;"&amp;"*ie"),COUNTIF(C309,"&lt;&gt;"&amp;"*ine"),COUNTIF(D309,"&lt;&gt;"&amp;"*Á")),F309="žena")),CONCATENATE(C309," ",D309," je ",F309,"?"),""))))))),IF(COUNTIF(B309:O309,"")=14,"",CONCATENATE("Doplň: ",IF(B309="",CONCATENATE($B$4,IF(COUNTIF(C309:G309,"")=0,"",", ")),""),IF(C309="",CONCATENATE($C$4,IF(COUNTIF(D309:G309,"")=0,"",", ")),""),IF(D309="",CONCATENATE($D$4,IF(COUNTIF(E309:G309,"")=0,"",", ")),""),IF(E309="",CONCATENATE($E$4,IF(COUNTIF(F309:G309,"")=0,"",", ")),""),IF(F309="",CONCATENATE($F$4,IF(G309="",", ","")),""),IF(G309="",$G$4,""))))</f>
        <v/>
      </c>
      <c r="AA309" s="30"/>
    </row>
    <row r="310" spans="1:27" ht="16" x14ac:dyDescent="0.35">
      <c r="A310" s="14" t="str">
        <f t="shared" si="16"/>
        <v xml:space="preserve">  </v>
      </c>
      <c r="B310" s="15"/>
      <c r="C310" s="31"/>
      <c r="D310" s="31"/>
      <c r="E310" s="17"/>
      <c r="F310" s="18"/>
      <c r="G310" s="32"/>
      <c r="H310" s="33" t="str">
        <f>IF(G310="","",IF(F310="žena",ROMAN(MATCH(G310+1,'[1]Normy VP'!$Y$27:$Y$33,-1)),ROMAN(MATCH(G310+1,'[1]Normy VP'!$Y$19:$Y$25,-1))))</f>
        <v/>
      </c>
      <c r="I310" s="21"/>
      <c r="J310" s="22"/>
      <c r="K310" s="23"/>
      <c r="L310" s="23"/>
      <c r="M310" s="23"/>
      <c r="N310" s="22"/>
      <c r="O310" s="22"/>
      <c r="P310" s="24" t="str">
        <f>IF(OR($J310="",$J310="odešel"),IF(K310="","",IF($F310="žena",CHOOSE(_xlfn.ARABIC($H310),MATCH(K310+1,'[1]Normy VP'!$C$25:$F$25,-1),MATCH(K310+1,'[1]Normy VP'!$C$26:$F$26,-1),MATCH(K310+1,'[1]Normy VP'!$C$27:$F$27,-1),MATCH(K310+1,'[1]Normy VP'!$C$28:$F$28,-1),MATCH(K310+1,'[1]Normy VP'!$C$29:$F$29,-1),"muž"),CHOOSE(_xlfn.ARABIC($H310),MATCH(K310+1,'[1]Normy VP'!$C$10:$F$10,-1),MATCH(K310+1,'[1]Normy VP'!$C$11:$F$11,-1),MATCH(K310+1,'[1]Normy VP'!$C$12:$F$12,-1),MATCH(K310+1,'[1]Normy VP'!$C$13:$F$13,-1),MATCH(K310+1,'[1]Normy VP'!$C$14:$F$14,-1),""))),"O")</f>
        <v/>
      </c>
      <c r="Q310" s="24" t="str">
        <f>IF(OR($J310="",$J310="odešel"),IF($F310="žena","",IF(L310="","",(CHOOSE(_xlfn.ARABIC($H310),MATCH(L310+1,'[1]Normy VP'!$G$10:$J$10,-1),MATCH(L310+1,'[1]Normy VP'!$G$11:$J$11,-1),MATCH(L310+1,'[1]Normy VP'!$G$12:$J$12,-1),MATCH(L310+1,'[1]Normy VP'!$G$13:$J$13,-1),MATCH(L310+1,'[1]Normy VP'!$G$14:$J$14,-1),"")))),"O")</f>
        <v/>
      </c>
      <c r="R310" s="34" t="str">
        <f t="shared" si="17"/>
        <v>N</v>
      </c>
      <c r="S310" s="24" t="str">
        <f>IF(OR($J310="",$J310="odešel"),IF(M310="","N",IF($F310="žena",CHOOSE(_xlfn.ARABIC($H310),MATCH(M310+1,'[1]Normy VP'!$G$25:$J$25,-1),MATCH(M310+1,'[1]Normy VP'!$G$26:$J$26,-1),MATCH(M310+1,'[1]Normy VP'!$G$27:$J$27,-1),MATCH(M310+1,'[1]Normy VP'!$G$28:$J$28,-1),MATCH(M310+1,'[1]Normy VP'!$G$29:$J$29,-1),"muž"),(CHOOSE(_xlfn.ARABIC($H310),MATCH(M310+1,'[1]Normy VP'!$K$10:$N$10,-1),MATCH(M310+1,'[1]Normy VP'!$K$11:$N$11,-1),MATCH(M310+1,'[1]Normy VP'!$K$12:$N$12,-1),MATCH(M310+1,'[1]Normy VP'!$K$13:$N$13,-1),MATCH(M310+1,'[1]Normy VP'!$K$14:$N$14,-1),"")))),"O")</f>
        <v>N</v>
      </c>
      <c r="T310" s="34" t="str">
        <f t="shared" si="18"/>
        <v>N</v>
      </c>
      <c r="U310" s="24" t="str">
        <f>IF(OR($J310="",$J310="odešel"),IF(N310="","N",IF($F310="žena",CHOOSE(_xlfn.ARABIC($H310),MATCH(N310+1,'[1]Normy VP'!$K$25:$N$25,-1),MATCH(N310+1,'[1]Normy VP'!$K$26:$N$26,-1),MATCH(N310+1,'[1]Normy VP'!$K$27:$N$27,-1),MATCH(N310+1,'[1]Normy VP'!$K$28:$N$28,-1),MATCH(N310+1,'[1]Normy VP'!$K$29:$N$29,-1),MATCH(N310+1,'[1]Normy VP'!$K$30:$N$30,-1)),CHOOSE(_xlfn.ARABIC($H310),MATCH(N310+1,'[1]Normy VP'!$O$10:$R$10,-1),MATCH(N310+1,'[1]Normy VP'!$O$11:$R$11,-1),MATCH(N310+1,'[1]Normy VP'!$O$12:$R$12,-1),MATCH(N310+1,'[1]Normy VP'!$O$13:$R$13,-1),MATCH(N310+1,'[1]Normy VP'!$O$14:$R$14,-1),MATCH(N310+1,'[1]Normy VP'!$O$15:$R$15,-1)))),"O")</f>
        <v>N</v>
      </c>
      <c r="V310" s="26" t="str">
        <f>IF(OR($J310="",$J310="odešel"),IF(O310="","N",IF($F310="žena",CHOOSE(_xlfn.ARABIC($H310),MATCH(O310-1,'[1]Normy VP'!$O$25:$R$25),MATCH(O310-1,'[1]Normy VP'!$O$26:$R$26),MATCH(O310-1,'[1]Normy VP'!$O$27:$R$27),MATCH(O310-1,'[1]Normy VP'!$O$28:$R$28),MATCH(O310-1,'[1]Normy VP'!$O$29:$R$29),MATCH(O310-1,'[1]Normy VP'!$O$30:$R$30)),CHOOSE(_xlfn.ARABIC($H310),MATCH(O310-1,'[1]Normy VP'!$S$10:$V$10),MATCH(O310-1,'[1]Normy VP'!$S$11:$V$11),MATCH(O310-1,'[1]Normy VP'!$S$12:$V$12),MATCH(O310-1,'[1]Normy VP'!$S$13:$V$13),MATCH(O310-1,'[1]Normy VP'!$S$14:$V$14),MATCH(O310-1,'[1]Normy VP'!$S$15:$V$15)))),"O")</f>
        <v>N</v>
      </c>
      <c r="W310" s="34" t="str">
        <f t="shared" si="19"/>
        <v>N</v>
      </c>
      <c r="X310" s="27" t="str">
        <f>IF(COUNTIF(B310:G310,"")&gt;0,"",IF(COUNTIF([1]PP!$A:$A,A310)=0,"neni v PP",IF(OR(Y310="odešel",VLOOKUP(A310,[1]PP!$A:$W,22,FALSE)="odešel"),"odešel",IF(OR(Y310="N",VLOOKUP(A310,[1]PP!$A:$W,22,FALSE)="N"),"N",IF(OR(Y310="C",VLOOKUP(A310,[1]PP!$A:$W,22,FALSE)="C"),"C",IF(OR(Y310="DZO",VLOOKUP(A310,[1]PP!$A:$W,22,FALSE)="DZO"),"DZO",IF(OR(Y310="mise",Y310="disp.",Y310="končí",Y310="DSC",VLOOKUP(A310,[1]PP!$A:$W,22,FALSE)="mise",VLOOKUP(A310,[1]PP!$A:$W,22,FALSE)="disp.",VLOOKUP(A310,[1]PP!$A:$W,22,FALSE)="končí",VLOOKUP(A310,[1]PP!$A:$W,22,FALSE)="DSC"),"jiné",IF(OR(Y310=4,VLOOKUP(A310,[1]PP!$A:$W,22,FALSE)=4),4,IF(OR(Y310=3,VLOOKUP(A310,[1]PP!$A:$W,22,FALSE)=3),3,IF(OR(Y310=2,VLOOKUP(A310,[1]PP!$A:$W,22,FALSE)=2),2,IF(AND(Y310=1,VLOOKUP(A310,[1]PP!$A:$W,22,FALSE)=1),1)))))))))))</f>
        <v/>
      </c>
      <c r="Y310" s="28" t="str">
        <f>IF(COUNTIF(B310:G310,"")&gt;0,"",IF(COUNTIF([1]PP!$A:$A,A310)=0,"neni v PP",IF(VLOOKUP(A310,[1]PP!$A:$W,8,FALSE)="odešel","odešel",IF(F310="","",IF(J310="",IF(OR(T310=4,W310=4),4,IF(AND(T310="N",W310="N"),"N",IF(OR(T310="N",W310="N"),4,ROUND(AVERAGE(T310,W310),0)))),J310)))))</f>
        <v/>
      </c>
      <c r="Z310" s="29" t="str">
        <f>IF(COUNTIF(B310:G310,"")=0,IF(X310="neni v PP",CONCATENATE("ID: &lt;",A310,"&gt; se neshoduje s žádným IDem v kartě PP"),IF(COUNTIF($A:$A,A310)&gt;1,CONCATENATE("ID: &lt;",A310,"&gt; se v kartě VP opakuje. Je nutné tyto IDy od sebe odlišit, např. mezerou za příjmením."),IF(COUNTIF([1]PP!A:A,A310)&gt;1,CONCATENATE("ID: &lt;",A310,"&gt; se v kartě PP opakuje. Je nutné tyto IDy od sebe odlišit, např. mezerou za příjmením."),IF(VLOOKUP(A310,[1]PP!$A:$W,5,FALSE)&lt;&gt;E310,CONCATENATE($E$4," &lt;",E310,"&gt; se neshoduje s jednotkou v kartě PP"," &lt;",VLOOKUP(A310,[1]PP!$A:$W,5,FALSE),"&gt;"),IF(AND(COUNTIF(K310:O310,"")&lt;5,J310="",I310=""),CONCATENATE("Doplň: ",$I$4),IF(AND(YEAR(I310)&lt;&gt;$E$2,COUNTIF(I310,"")=0),CONCATENATE("špatně uveden &lt;",$D$2,"&gt; nebo &lt;",$I$4,"&gt;"),IF(OR(AND(OR(COUNTIF(C310,"*a"),COUNTIF(C310,"*ie"),COUNTIF(C310,"*ine"),COUNTIF(D310,"*Á")),F310="muž"),AND(AND(COUNTIF(C310,"&lt;&gt;"&amp;"*a"),COUNTIF(C310,"&lt;&gt;"&amp;"*ie"),COUNTIF(C310,"&lt;&gt;"&amp;"*ine"),COUNTIF(D310,"&lt;&gt;"&amp;"*Á")),F310="žena")),CONCATENATE(C310," ",D310," je ",F310,"?"),""))))))),IF(COUNTIF(B310:O310,"")=14,"",CONCATENATE("Doplň: ",IF(B310="",CONCATENATE($B$4,IF(COUNTIF(C310:G310,"")=0,"",", ")),""),IF(C310="",CONCATENATE($C$4,IF(COUNTIF(D310:G310,"")=0,"",", ")),""),IF(D310="",CONCATENATE($D$4,IF(COUNTIF(E310:G310,"")=0,"",", ")),""),IF(E310="",CONCATENATE($E$4,IF(COUNTIF(F310:G310,"")=0,"",", ")),""),IF(F310="",CONCATENATE($F$4,IF(G310="",", ","")),""),IF(G310="",$G$4,""))))</f>
        <v/>
      </c>
      <c r="AA310" s="30"/>
    </row>
    <row r="311" spans="1:27" ht="16" x14ac:dyDescent="0.35">
      <c r="A311" s="14" t="str">
        <f t="shared" si="16"/>
        <v xml:space="preserve">  </v>
      </c>
      <c r="B311" s="15"/>
      <c r="C311" s="31"/>
      <c r="D311" s="31"/>
      <c r="E311" s="17"/>
      <c r="F311" s="18"/>
      <c r="G311" s="32"/>
      <c r="H311" s="33" t="str">
        <f>IF(G311="","",IF(F311="žena",ROMAN(MATCH(G311+1,'[1]Normy VP'!$Y$27:$Y$33,-1)),ROMAN(MATCH(G311+1,'[1]Normy VP'!$Y$19:$Y$25,-1))))</f>
        <v/>
      </c>
      <c r="I311" s="21"/>
      <c r="J311" s="22"/>
      <c r="K311" s="23"/>
      <c r="L311" s="23"/>
      <c r="M311" s="23"/>
      <c r="N311" s="22"/>
      <c r="O311" s="22"/>
      <c r="P311" s="24" t="str">
        <f>IF(OR($J311="",$J311="odešel"),IF(K311="","",IF($F311="žena",CHOOSE(_xlfn.ARABIC($H311),MATCH(K311+1,'[1]Normy VP'!$C$25:$F$25,-1),MATCH(K311+1,'[1]Normy VP'!$C$26:$F$26,-1),MATCH(K311+1,'[1]Normy VP'!$C$27:$F$27,-1),MATCH(K311+1,'[1]Normy VP'!$C$28:$F$28,-1),MATCH(K311+1,'[1]Normy VP'!$C$29:$F$29,-1),"muž"),CHOOSE(_xlfn.ARABIC($H311),MATCH(K311+1,'[1]Normy VP'!$C$10:$F$10,-1),MATCH(K311+1,'[1]Normy VP'!$C$11:$F$11,-1),MATCH(K311+1,'[1]Normy VP'!$C$12:$F$12,-1),MATCH(K311+1,'[1]Normy VP'!$C$13:$F$13,-1),MATCH(K311+1,'[1]Normy VP'!$C$14:$F$14,-1),""))),"O")</f>
        <v/>
      </c>
      <c r="Q311" s="24" t="str">
        <f>IF(OR($J311="",$J311="odešel"),IF($F311="žena","",IF(L311="","",(CHOOSE(_xlfn.ARABIC($H311),MATCH(L311+1,'[1]Normy VP'!$G$10:$J$10,-1),MATCH(L311+1,'[1]Normy VP'!$G$11:$J$11,-1),MATCH(L311+1,'[1]Normy VP'!$G$12:$J$12,-1),MATCH(L311+1,'[1]Normy VP'!$G$13:$J$13,-1),MATCH(L311+1,'[1]Normy VP'!$G$14:$J$14,-1),"")))),"O")</f>
        <v/>
      </c>
      <c r="R311" s="34" t="str">
        <f t="shared" si="17"/>
        <v>N</v>
      </c>
      <c r="S311" s="24" t="str">
        <f>IF(OR($J311="",$J311="odešel"),IF(M311="","N",IF($F311="žena",CHOOSE(_xlfn.ARABIC($H311),MATCH(M311+1,'[1]Normy VP'!$G$25:$J$25,-1),MATCH(M311+1,'[1]Normy VP'!$G$26:$J$26,-1),MATCH(M311+1,'[1]Normy VP'!$G$27:$J$27,-1),MATCH(M311+1,'[1]Normy VP'!$G$28:$J$28,-1),MATCH(M311+1,'[1]Normy VP'!$G$29:$J$29,-1),"muž"),(CHOOSE(_xlfn.ARABIC($H311),MATCH(M311+1,'[1]Normy VP'!$K$10:$N$10,-1),MATCH(M311+1,'[1]Normy VP'!$K$11:$N$11,-1),MATCH(M311+1,'[1]Normy VP'!$K$12:$N$12,-1),MATCH(M311+1,'[1]Normy VP'!$K$13:$N$13,-1),MATCH(M311+1,'[1]Normy VP'!$K$14:$N$14,-1),"")))),"O")</f>
        <v>N</v>
      </c>
      <c r="T311" s="34" t="str">
        <f t="shared" si="18"/>
        <v>N</v>
      </c>
      <c r="U311" s="24" t="str">
        <f>IF(OR($J311="",$J311="odešel"),IF(N311="","N",IF($F311="žena",CHOOSE(_xlfn.ARABIC($H311),MATCH(N311+1,'[1]Normy VP'!$K$25:$N$25,-1),MATCH(N311+1,'[1]Normy VP'!$K$26:$N$26,-1),MATCH(N311+1,'[1]Normy VP'!$K$27:$N$27,-1),MATCH(N311+1,'[1]Normy VP'!$K$28:$N$28,-1),MATCH(N311+1,'[1]Normy VP'!$K$29:$N$29,-1),MATCH(N311+1,'[1]Normy VP'!$K$30:$N$30,-1)),CHOOSE(_xlfn.ARABIC($H311),MATCH(N311+1,'[1]Normy VP'!$O$10:$R$10,-1),MATCH(N311+1,'[1]Normy VP'!$O$11:$R$11,-1),MATCH(N311+1,'[1]Normy VP'!$O$12:$R$12,-1),MATCH(N311+1,'[1]Normy VP'!$O$13:$R$13,-1),MATCH(N311+1,'[1]Normy VP'!$O$14:$R$14,-1),MATCH(N311+1,'[1]Normy VP'!$O$15:$R$15,-1)))),"O")</f>
        <v>N</v>
      </c>
      <c r="V311" s="26" t="str">
        <f>IF(OR($J311="",$J311="odešel"),IF(O311="","N",IF($F311="žena",CHOOSE(_xlfn.ARABIC($H311),MATCH(O311-1,'[1]Normy VP'!$O$25:$R$25),MATCH(O311-1,'[1]Normy VP'!$O$26:$R$26),MATCH(O311-1,'[1]Normy VP'!$O$27:$R$27),MATCH(O311-1,'[1]Normy VP'!$O$28:$R$28),MATCH(O311-1,'[1]Normy VP'!$O$29:$R$29),MATCH(O311-1,'[1]Normy VP'!$O$30:$R$30)),CHOOSE(_xlfn.ARABIC($H311),MATCH(O311-1,'[1]Normy VP'!$S$10:$V$10),MATCH(O311-1,'[1]Normy VP'!$S$11:$V$11),MATCH(O311-1,'[1]Normy VP'!$S$12:$V$12),MATCH(O311-1,'[1]Normy VP'!$S$13:$V$13),MATCH(O311-1,'[1]Normy VP'!$S$14:$V$14),MATCH(O311-1,'[1]Normy VP'!$S$15:$V$15)))),"O")</f>
        <v>N</v>
      </c>
      <c r="W311" s="34" t="str">
        <f t="shared" si="19"/>
        <v>N</v>
      </c>
      <c r="X311" s="27" t="str">
        <f>IF(COUNTIF(B311:G311,"")&gt;0,"",IF(COUNTIF([1]PP!$A:$A,A311)=0,"neni v PP",IF(OR(Y311="odešel",VLOOKUP(A311,[1]PP!$A:$W,22,FALSE)="odešel"),"odešel",IF(OR(Y311="N",VLOOKUP(A311,[1]PP!$A:$W,22,FALSE)="N"),"N",IF(OR(Y311="C",VLOOKUP(A311,[1]PP!$A:$W,22,FALSE)="C"),"C",IF(OR(Y311="DZO",VLOOKUP(A311,[1]PP!$A:$W,22,FALSE)="DZO"),"DZO",IF(OR(Y311="mise",Y311="disp.",Y311="končí",Y311="DSC",VLOOKUP(A311,[1]PP!$A:$W,22,FALSE)="mise",VLOOKUP(A311,[1]PP!$A:$W,22,FALSE)="disp.",VLOOKUP(A311,[1]PP!$A:$W,22,FALSE)="končí",VLOOKUP(A311,[1]PP!$A:$W,22,FALSE)="DSC"),"jiné",IF(OR(Y311=4,VLOOKUP(A311,[1]PP!$A:$W,22,FALSE)=4),4,IF(OR(Y311=3,VLOOKUP(A311,[1]PP!$A:$W,22,FALSE)=3),3,IF(OR(Y311=2,VLOOKUP(A311,[1]PP!$A:$W,22,FALSE)=2),2,IF(AND(Y311=1,VLOOKUP(A311,[1]PP!$A:$W,22,FALSE)=1),1)))))))))))</f>
        <v/>
      </c>
      <c r="Y311" s="28" t="str">
        <f>IF(COUNTIF(B311:G311,"")&gt;0,"",IF(COUNTIF([1]PP!$A:$A,A311)=0,"neni v PP",IF(VLOOKUP(A311,[1]PP!$A:$W,8,FALSE)="odešel","odešel",IF(F311="","",IF(J311="",IF(OR(T311=4,W311=4),4,IF(AND(T311="N",W311="N"),"N",IF(OR(T311="N",W311="N"),4,ROUND(AVERAGE(T311,W311),0)))),J311)))))</f>
        <v/>
      </c>
      <c r="Z311" s="29" t="str">
        <f>IF(COUNTIF(B311:G311,"")=0,IF(X311="neni v PP",CONCATENATE("ID: &lt;",A311,"&gt; se neshoduje s žádným IDem v kartě PP"),IF(COUNTIF($A:$A,A311)&gt;1,CONCATENATE("ID: &lt;",A311,"&gt; se v kartě VP opakuje. Je nutné tyto IDy od sebe odlišit, např. mezerou za příjmením."),IF(COUNTIF([1]PP!A:A,A311)&gt;1,CONCATENATE("ID: &lt;",A311,"&gt; se v kartě PP opakuje. Je nutné tyto IDy od sebe odlišit, např. mezerou za příjmením."),IF(VLOOKUP(A311,[1]PP!$A:$W,5,FALSE)&lt;&gt;E311,CONCATENATE($E$4," &lt;",E311,"&gt; se neshoduje s jednotkou v kartě PP"," &lt;",VLOOKUP(A311,[1]PP!$A:$W,5,FALSE),"&gt;"),IF(AND(COUNTIF(K311:O311,"")&lt;5,J311="",I311=""),CONCATENATE("Doplň: ",$I$4),IF(AND(YEAR(I311)&lt;&gt;$E$2,COUNTIF(I311,"")=0),CONCATENATE("špatně uveden &lt;",$D$2,"&gt; nebo &lt;",$I$4,"&gt;"),IF(OR(AND(OR(COUNTIF(C311,"*a"),COUNTIF(C311,"*ie"),COUNTIF(C311,"*ine"),COUNTIF(D311,"*Á")),F311="muž"),AND(AND(COUNTIF(C311,"&lt;&gt;"&amp;"*a"),COUNTIF(C311,"&lt;&gt;"&amp;"*ie"),COUNTIF(C311,"&lt;&gt;"&amp;"*ine"),COUNTIF(D311,"&lt;&gt;"&amp;"*Á")),F311="žena")),CONCATENATE(C311," ",D311," je ",F311,"?"),""))))))),IF(COUNTIF(B311:O311,"")=14,"",CONCATENATE("Doplň: ",IF(B311="",CONCATENATE($B$4,IF(COUNTIF(C311:G311,"")=0,"",", ")),""),IF(C311="",CONCATENATE($C$4,IF(COUNTIF(D311:G311,"")=0,"",", ")),""),IF(D311="",CONCATENATE($D$4,IF(COUNTIF(E311:G311,"")=0,"",", ")),""),IF(E311="",CONCATENATE($E$4,IF(COUNTIF(F311:G311,"")=0,"",", ")),""),IF(F311="",CONCATENATE($F$4,IF(G311="",", ","")),""),IF(G311="",$G$4,""))))</f>
        <v/>
      </c>
      <c r="AA311" s="30"/>
    </row>
    <row r="312" spans="1:27" ht="16" x14ac:dyDescent="0.35">
      <c r="A312" s="14" t="str">
        <f t="shared" si="16"/>
        <v xml:space="preserve">  </v>
      </c>
      <c r="B312" s="15"/>
      <c r="C312" s="31"/>
      <c r="D312" s="31"/>
      <c r="E312" s="17"/>
      <c r="F312" s="18"/>
      <c r="G312" s="32"/>
      <c r="H312" s="33" t="str">
        <f>IF(G312="","",IF(F312="žena",ROMAN(MATCH(G312+1,'[1]Normy VP'!$Y$27:$Y$33,-1)),ROMAN(MATCH(G312+1,'[1]Normy VP'!$Y$19:$Y$25,-1))))</f>
        <v/>
      </c>
      <c r="I312" s="21"/>
      <c r="J312" s="22"/>
      <c r="K312" s="23"/>
      <c r="L312" s="23"/>
      <c r="M312" s="23"/>
      <c r="N312" s="22"/>
      <c r="O312" s="22"/>
      <c r="P312" s="24" t="str">
        <f>IF(OR($J312="",$J312="odešel"),IF(K312="","",IF($F312="žena",CHOOSE(_xlfn.ARABIC($H312),MATCH(K312+1,'[1]Normy VP'!$C$25:$F$25,-1),MATCH(K312+1,'[1]Normy VP'!$C$26:$F$26,-1),MATCH(K312+1,'[1]Normy VP'!$C$27:$F$27,-1),MATCH(K312+1,'[1]Normy VP'!$C$28:$F$28,-1),MATCH(K312+1,'[1]Normy VP'!$C$29:$F$29,-1),"muž"),CHOOSE(_xlfn.ARABIC($H312),MATCH(K312+1,'[1]Normy VP'!$C$10:$F$10,-1),MATCH(K312+1,'[1]Normy VP'!$C$11:$F$11,-1),MATCH(K312+1,'[1]Normy VP'!$C$12:$F$12,-1),MATCH(K312+1,'[1]Normy VP'!$C$13:$F$13,-1),MATCH(K312+1,'[1]Normy VP'!$C$14:$F$14,-1),""))),"O")</f>
        <v/>
      </c>
      <c r="Q312" s="24" t="str">
        <f>IF(OR($J312="",$J312="odešel"),IF($F312="žena","",IF(L312="","",(CHOOSE(_xlfn.ARABIC($H312),MATCH(L312+1,'[1]Normy VP'!$G$10:$J$10,-1),MATCH(L312+1,'[1]Normy VP'!$G$11:$J$11,-1),MATCH(L312+1,'[1]Normy VP'!$G$12:$J$12,-1),MATCH(L312+1,'[1]Normy VP'!$G$13:$J$13,-1),MATCH(L312+1,'[1]Normy VP'!$G$14:$J$14,-1),"")))),"O")</f>
        <v/>
      </c>
      <c r="R312" s="34" t="str">
        <f t="shared" si="17"/>
        <v>N</v>
      </c>
      <c r="S312" s="24" t="str">
        <f>IF(OR($J312="",$J312="odešel"),IF(M312="","N",IF($F312="žena",CHOOSE(_xlfn.ARABIC($H312),MATCH(M312+1,'[1]Normy VP'!$G$25:$J$25,-1),MATCH(M312+1,'[1]Normy VP'!$G$26:$J$26,-1),MATCH(M312+1,'[1]Normy VP'!$G$27:$J$27,-1),MATCH(M312+1,'[1]Normy VP'!$G$28:$J$28,-1),MATCH(M312+1,'[1]Normy VP'!$G$29:$J$29,-1),"muž"),(CHOOSE(_xlfn.ARABIC($H312),MATCH(M312+1,'[1]Normy VP'!$K$10:$N$10,-1),MATCH(M312+1,'[1]Normy VP'!$K$11:$N$11,-1),MATCH(M312+1,'[1]Normy VP'!$K$12:$N$12,-1),MATCH(M312+1,'[1]Normy VP'!$K$13:$N$13,-1),MATCH(M312+1,'[1]Normy VP'!$K$14:$N$14,-1),"")))),"O")</f>
        <v>N</v>
      </c>
      <c r="T312" s="34" t="str">
        <f t="shared" si="18"/>
        <v>N</v>
      </c>
      <c r="U312" s="24" t="str">
        <f>IF(OR($J312="",$J312="odešel"),IF(N312="","N",IF($F312="žena",CHOOSE(_xlfn.ARABIC($H312),MATCH(N312+1,'[1]Normy VP'!$K$25:$N$25,-1),MATCH(N312+1,'[1]Normy VP'!$K$26:$N$26,-1),MATCH(N312+1,'[1]Normy VP'!$K$27:$N$27,-1),MATCH(N312+1,'[1]Normy VP'!$K$28:$N$28,-1),MATCH(N312+1,'[1]Normy VP'!$K$29:$N$29,-1),MATCH(N312+1,'[1]Normy VP'!$K$30:$N$30,-1)),CHOOSE(_xlfn.ARABIC($H312),MATCH(N312+1,'[1]Normy VP'!$O$10:$R$10,-1),MATCH(N312+1,'[1]Normy VP'!$O$11:$R$11,-1),MATCH(N312+1,'[1]Normy VP'!$O$12:$R$12,-1),MATCH(N312+1,'[1]Normy VP'!$O$13:$R$13,-1),MATCH(N312+1,'[1]Normy VP'!$O$14:$R$14,-1),MATCH(N312+1,'[1]Normy VP'!$O$15:$R$15,-1)))),"O")</f>
        <v>N</v>
      </c>
      <c r="V312" s="26" t="str">
        <f>IF(OR($J312="",$J312="odešel"),IF(O312="","N",IF($F312="žena",CHOOSE(_xlfn.ARABIC($H312),MATCH(O312-1,'[1]Normy VP'!$O$25:$R$25),MATCH(O312-1,'[1]Normy VP'!$O$26:$R$26),MATCH(O312-1,'[1]Normy VP'!$O$27:$R$27),MATCH(O312-1,'[1]Normy VP'!$O$28:$R$28),MATCH(O312-1,'[1]Normy VP'!$O$29:$R$29),MATCH(O312-1,'[1]Normy VP'!$O$30:$R$30)),CHOOSE(_xlfn.ARABIC($H312),MATCH(O312-1,'[1]Normy VP'!$S$10:$V$10),MATCH(O312-1,'[1]Normy VP'!$S$11:$V$11),MATCH(O312-1,'[1]Normy VP'!$S$12:$V$12),MATCH(O312-1,'[1]Normy VP'!$S$13:$V$13),MATCH(O312-1,'[1]Normy VP'!$S$14:$V$14),MATCH(O312-1,'[1]Normy VP'!$S$15:$V$15)))),"O")</f>
        <v>N</v>
      </c>
      <c r="W312" s="34" t="str">
        <f t="shared" si="19"/>
        <v>N</v>
      </c>
      <c r="X312" s="27" t="str">
        <f>IF(COUNTIF(B312:G312,"")&gt;0,"",IF(COUNTIF([1]PP!$A:$A,A312)=0,"neni v PP",IF(OR(Y312="odešel",VLOOKUP(A312,[1]PP!$A:$W,22,FALSE)="odešel"),"odešel",IF(OR(Y312="N",VLOOKUP(A312,[1]PP!$A:$W,22,FALSE)="N"),"N",IF(OR(Y312="C",VLOOKUP(A312,[1]PP!$A:$W,22,FALSE)="C"),"C",IF(OR(Y312="DZO",VLOOKUP(A312,[1]PP!$A:$W,22,FALSE)="DZO"),"DZO",IF(OR(Y312="mise",Y312="disp.",Y312="končí",Y312="DSC",VLOOKUP(A312,[1]PP!$A:$W,22,FALSE)="mise",VLOOKUP(A312,[1]PP!$A:$W,22,FALSE)="disp.",VLOOKUP(A312,[1]PP!$A:$W,22,FALSE)="končí",VLOOKUP(A312,[1]PP!$A:$W,22,FALSE)="DSC"),"jiné",IF(OR(Y312=4,VLOOKUP(A312,[1]PP!$A:$W,22,FALSE)=4),4,IF(OR(Y312=3,VLOOKUP(A312,[1]PP!$A:$W,22,FALSE)=3),3,IF(OR(Y312=2,VLOOKUP(A312,[1]PP!$A:$W,22,FALSE)=2),2,IF(AND(Y312=1,VLOOKUP(A312,[1]PP!$A:$W,22,FALSE)=1),1)))))))))))</f>
        <v/>
      </c>
      <c r="Y312" s="28" t="str">
        <f>IF(COUNTIF(B312:G312,"")&gt;0,"",IF(COUNTIF([1]PP!$A:$A,A312)=0,"neni v PP",IF(VLOOKUP(A312,[1]PP!$A:$W,8,FALSE)="odešel","odešel",IF(F312="","",IF(J312="",IF(OR(T312=4,W312=4),4,IF(AND(T312="N",W312="N"),"N",IF(OR(T312="N",W312="N"),4,ROUND(AVERAGE(T312,W312),0)))),J312)))))</f>
        <v/>
      </c>
      <c r="Z312" s="29" t="str">
        <f>IF(COUNTIF(B312:G312,"")=0,IF(X312="neni v PP",CONCATENATE("ID: &lt;",A312,"&gt; se neshoduje s žádným IDem v kartě PP"),IF(COUNTIF($A:$A,A312)&gt;1,CONCATENATE("ID: &lt;",A312,"&gt; se v kartě VP opakuje. Je nutné tyto IDy od sebe odlišit, např. mezerou za příjmením."),IF(COUNTIF([1]PP!A:A,A312)&gt;1,CONCATENATE("ID: &lt;",A312,"&gt; se v kartě PP opakuje. Je nutné tyto IDy od sebe odlišit, např. mezerou za příjmením."),IF(VLOOKUP(A312,[1]PP!$A:$W,5,FALSE)&lt;&gt;E312,CONCATENATE($E$4," &lt;",E312,"&gt; se neshoduje s jednotkou v kartě PP"," &lt;",VLOOKUP(A312,[1]PP!$A:$W,5,FALSE),"&gt;"),IF(AND(COUNTIF(K312:O312,"")&lt;5,J312="",I312=""),CONCATENATE("Doplň: ",$I$4),IF(AND(YEAR(I312)&lt;&gt;$E$2,COUNTIF(I312,"")=0),CONCATENATE("špatně uveden &lt;",$D$2,"&gt; nebo &lt;",$I$4,"&gt;"),IF(OR(AND(OR(COUNTIF(C312,"*a"),COUNTIF(C312,"*ie"),COUNTIF(C312,"*ine"),COUNTIF(D312,"*Á")),F312="muž"),AND(AND(COUNTIF(C312,"&lt;&gt;"&amp;"*a"),COUNTIF(C312,"&lt;&gt;"&amp;"*ie"),COUNTIF(C312,"&lt;&gt;"&amp;"*ine"),COUNTIF(D312,"&lt;&gt;"&amp;"*Á")),F312="žena")),CONCATENATE(C312," ",D312," je ",F312,"?"),""))))))),IF(COUNTIF(B312:O312,"")=14,"",CONCATENATE("Doplň: ",IF(B312="",CONCATENATE($B$4,IF(COUNTIF(C312:G312,"")=0,"",", ")),""),IF(C312="",CONCATENATE($C$4,IF(COUNTIF(D312:G312,"")=0,"",", ")),""),IF(D312="",CONCATENATE($D$4,IF(COUNTIF(E312:G312,"")=0,"",", ")),""),IF(E312="",CONCATENATE($E$4,IF(COUNTIF(F312:G312,"")=0,"",", ")),""),IF(F312="",CONCATENATE($F$4,IF(G312="",", ","")),""),IF(G312="",$G$4,""))))</f>
        <v/>
      </c>
      <c r="AA312" s="30"/>
    </row>
    <row r="313" spans="1:27" ht="16" x14ac:dyDescent="0.35">
      <c r="A313" s="14" t="str">
        <f t="shared" si="16"/>
        <v xml:space="preserve">  </v>
      </c>
      <c r="B313" s="15"/>
      <c r="C313" s="31"/>
      <c r="D313" s="31"/>
      <c r="E313" s="17"/>
      <c r="F313" s="18"/>
      <c r="G313" s="32"/>
      <c r="H313" s="33" t="str">
        <f>IF(G313="","",IF(F313="žena",ROMAN(MATCH(G313+1,'[1]Normy VP'!$Y$27:$Y$33,-1)),ROMAN(MATCH(G313+1,'[1]Normy VP'!$Y$19:$Y$25,-1))))</f>
        <v/>
      </c>
      <c r="I313" s="21"/>
      <c r="J313" s="22"/>
      <c r="K313" s="23"/>
      <c r="L313" s="23"/>
      <c r="M313" s="23"/>
      <c r="N313" s="22"/>
      <c r="O313" s="22"/>
      <c r="P313" s="24" t="str">
        <f>IF(OR($J313="",$J313="odešel"),IF(K313="","",IF($F313="žena",CHOOSE(_xlfn.ARABIC($H313),MATCH(K313+1,'[1]Normy VP'!$C$25:$F$25,-1),MATCH(K313+1,'[1]Normy VP'!$C$26:$F$26,-1),MATCH(K313+1,'[1]Normy VP'!$C$27:$F$27,-1),MATCH(K313+1,'[1]Normy VP'!$C$28:$F$28,-1),MATCH(K313+1,'[1]Normy VP'!$C$29:$F$29,-1),"muž"),CHOOSE(_xlfn.ARABIC($H313),MATCH(K313+1,'[1]Normy VP'!$C$10:$F$10,-1),MATCH(K313+1,'[1]Normy VP'!$C$11:$F$11,-1),MATCH(K313+1,'[1]Normy VP'!$C$12:$F$12,-1),MATCH(K313+1,'[1]Normy VP'!$C$13:$F$13,-1),MATCH(K313+1,'[1]Normy VP'!$C$14:$F$14,-1),""))),"O")</f>
        <v/>
      </c>
      <c r="Q313" s="24" t="str">
        <f>IF(OR($J313="",$J313="odešel"),IF($F313="žena","",IF(L313="","",(CHOOSE(_xlfn.ARABIC($H313),MATCH(L313+1,'[1]Normy VP'!$G$10:$J$10,-1),MATCH(L313+1,'[1]Normy VP'!$G$11:$J$11,-1),MATCH(L313+1,'[1]Normy VP'!$G$12:$J$12,-1),MATCH(L313+1,'[1]Normy VP'!$G$13:$J$13,-1),MATCH(L313+1,'[1]Normy VP'!$G$14:$J$14,-1),"")))),"O")</f>
        <v/>
      </c>
      <c r="R313" s="34" t="str">
        <f t="shared" si="17"/>
        <v>N</v>
      </c>
      <c r="S313" s="24" t="str">
        <f>IF(OR($J313="",$J313="odešel"),IF(M313="","N",IF($F313="žena",CHOOSE(_xlfn.ARABIC($H313),MATCH(M313+1,'[1]Normy VP'!$G$25:$J$25,-1),MATCH(M313+1,'[1]Normy VP'!$G$26:$J$26,-1),MATCH(M313+1,'[1]Normy VP'!$G$27:$J$27,-1),MATCH(M313+1,'[1]Normy VP'!$G$28:$J$28,-1),MATCH(M313+1,'[1]Normy VP'!$G$29:$J$29,-1),"muž"),(CHOOSE(_xlfn.ARABIC($H313),MATCH(M313+1,'[1]Normy VP'!$K$10:$N$10,-1),MATCH(M313+1,'[1]Normy VP'!$K$11:$N$11,-1),MATCH(M313+1,'[1]Normy VP'!$K$12:$N$12,-1),MATCH(M313+1,'[1]Normy VP'!$K$13:$N$13,-1),MATCH(M313+1,'[1]Normy VP'!$K$14:$N$14,-1),"")))),"O")</f>
        <v>N</v>
      </c>
      <c r="T313" s="34" t="str">
        <f t="shared" si="18"/>
        <v>N</v>
      </c>
      <c r="U313" s="24" t="str">
        <f>IF(OR($J313="",$J313="odešel"),IF(N313="","N",IF($F313="žena",CHOOSE(_xlfn.ARABIC($H313),MATCH(N313+1,'[1]Normy VP'!$K$25:$N$25,-1),MATCH(N313+1,'[1]Normy VP'!$K$26:$N$26,-1),MATCH(N313+1,'[1]Normy VP'!$K$27:$N$27,-1),MATCH(N313+1,'[1]Normy VP'!$K$28:$N$28,-1),MATCH(N313+1,'[1]Normy VP'!$K$29:$N$29,-1),MATCH(N313+1,'[1]Normy VP'!$K$30:$N$30,-1)),CHOOSE(_xlfn.ARABIC($H313),MATCH(N313+1,'[1]Normy VP'!$O$10:$R$10,-1),MATCH(N313+1,'[1]Normy VP'!$O$11:$R$11,-1),MATCH(N313+1,'[1]Normy VP'!$O$12:$R$12,-1),MATCH(N313+1,'[1]Normy VP'!$O$13:$R$13,-1),MATCH(N313+1,'[1]Normy VP'!$O$14:$R$14,-1),MATCH(N313+1,'[1]Normy VP'!$O$15:$R$15,-1)))),"O")</f>
        <v>N</v>
      </c>
      <c r="V313" s="26" t="str">
        <f>IF(OR($J313="",$J313="odešel"),IF(O313="","N",IF($F313="žena",CHOOSE(_xlfn.ARABIC($H313),MATCH(O313-1,'[1]Normy VP'!$O$25:$R$25),MATCH(O313-1,'[1]Normy VP'!$O$26:$R$26),MATCH(O313-1,'[1]Normy VP'!$O$27:$R$27),MATCH(O313-1,'[1]Normy VP'!$O$28:$R$28),MATCH(O313-1,'[1]Normy VP'!$O$29:$R$29),MATCH(O313-1,'[1]Normy VP'!$O$30:$R$30)),CHOOSE(_xlfn.ARABIC($H313),MATCH(O313-1,'[1]Normy VP'!$S$10:$V$10),MATCH(O313-1,'[1]Normy VP'!$S$11:$V$11),MATCH(O313-1,'[1]Normy VP'!$S$12:$V$12),MATCH(O313-1,'[1]Normy VP'!$S$13:$V$13),MATCH(O313-1,'[1]Normy VP'!$S$14:$V$14),MATCH(O313-1,'[1]Normy VP'!$S$15:$V$15)))),"O")</f>
        <v>N</v>
      </c>
      <c r="W313" s="34" t="str">
        <f t="shared" si="19"/>
        <v>N</v>
      </c>
      <c r="X313" s="27" t="str">
        <f>IF(COUNTIF(B313:G313,"")&gt;0,"",IF(COUNTIF([1]PP!$A:$A,A313)=0,"neni v PP",IF(OR(Y313="odešel",VLOOKUP(A313,[1]PP!$A:$W,22,FALSE)="odešel"),"odešel",IF(OR(Y313="N",VLOOKUP(A313,[1]PP!$A:$W,22,FALSE)="N"),"N",IF(OR(Y313="C",VLOOKUP(A313,[1]PP!$A:$W,22,FALSE)="C"),"C",IF(OR(Y313="DZO",VLOOKUP(A313,[1]PP!$A:$W,22,FALSE)="DZO"),"DZO",IF(OR(Y313="mise",Y313="disp.",Y313="končí",Y313="DSC",VLOOKUP(A313,[1]PP!$A:$W,22,FALSE)="mise",VLOOKUP(A313,[1]PP!$A:$W,22,FALSE)="disp.",VLOOKUP(A313,[1]PP!$A:$W,22,FALSE)="končí",VLOOKUP(A313,[1]PP!$A:$W,22,FALSE)="DSC"),"jiné",IF(OR(Y313=4,VLOOKUP(A313,[1]PP!$A:$W,22,FALSE)=4),4,IF(OR(Y313=3,VLOOKUP(A313,[1]PP!$A:$W,22,FALSE)=3),3,IF(OR(Y313=2,VLOOKUP(A313,[1]PP!$A:$W,22,FALSE)=2),2,IF(AND(Y313=1,VLOOKUP(A313,[1]PP!$A:$W,22,FALSE)=1),1)))))))))))</f>
        <v/>
      </c>
      <c r="Y313" s="28" t="str">
        <f>IF(COUNTIF(B313:G313,"")&gt;0,"",IF(COUNTIF([1]PP!$A:$A,A313)=0,"neni v PP",IF(VLOOKUP(A313,[1]PP!$A:$W,8,FALSE)="odešel","odešel",IF(F313="","",IF(J313="",IF(OR(T313=4,W313=4),4,IF(AND(T313="N",W313="N"),"N",IF(OR(T313="N",W313="N"),4,ROUND(AVERAGE(T313,W313),0)))),J313)))))</f>
        <v/>
      </c>
      <c r="Z313" s="29" t="str">
        <f>IF(COUNTIF(B313:G313,"")=0,IF(X313="neni v PP",CONCATENATE("ID: &lt;",A313,"&gt; se neshoduje s žádným IDem v kartě PP"),IF(COUNTIF($A:$A,A313)&gt;1,CONCATENATE("ID: &lt;",A313,"&gt; se v kartě VP opakuje. Je nutné tyto IDy od sebe odlišit, např. mezerou za příjmením."),IF(COUNTIF([1]PP!A:A,A313)&gt;1,CONCATENATE("ID: &lt;",A313,"&gt; se v kartě PP opakuje. Je nutné tyto IDy od sebe odlišit, např. mezerou za příjmením."),IF(VLOOKUP(A313,[1]PP!$A:$W,5,FALSE)&lt;&gt;E313,CONCATENATE($E$4," &lt;",E313,"&gt; se neshoduje s jednotkou v kartě PP"," &lt;",VLOOKUP(A313,[1]PP!$A:$W,5,FALSE),"&gt;"),IF(AND(COUNTIF(K313:O313,"")&lt;5,J313="",I313=""),CONCATENATE("Doplň: ",$I$4),IF(AND(YEAR(I313)&lt;&gt;$E$2,COUNTIF(I313,"")=0),CONCATENATE("špatně uveden &lt;",$D$2,"&gt; nebo &lt;",$I$4,"&gt;"),IF(OR(AND(OR(COUNTIF(C313,"*a"),COUNTIF(C313,"*ie"),COUNTIF(C313,"*ine"),COUNTIF(D313,"*Á")),F313="muž"),AND(AND(COUNTIF(C313,"&lt;&gt;"&amp;"*a"),COUNTIF(C313,"&lt;&gt;"&amp;"*ie"),COUNTIF(C313,"&lt;&gt;"&amp;"*ine"),COUNTIF(D313,"&lt;&gt;"&amp;"*Á")),F313="žena")),CONCATENATE(C313," ",D313," je ",F313,"?"),""))))))),IF(COUNTIF(B313:O313,"")=14,"",CONCATENATE("Doplň: ",IF(B313="",CONCATENATE($B$4,IF(COUNTIF(C313:G313,"")=0,"",", ")),""),IF(C313="",CONCATENATE($C$4,IF(COUNTIF(D313:G313,"")=0,"",", ")),""),IF(D313="",CONCATENATE($D$4,IF(COUNTIF(E313:G313,"")=0,"",", ")),""),IF(E313="",CONCATENATE($E$4,IF(COUNTIF(F313:G313,"")=0,"",", ")),""),IF(F313="",CONCATENATE($F$4,IF(G313="",", ","")),""),IF(G313="",$G$4,""))))</f>
        <v/>
      </c>
      <c r="AA313" s="30"/>
    </row>
    <row r="314" spans="1:27" ht="16" x14ac:dyDescent="0.35">
      <c r="A314" s="14" t="str">
        <f t="shared" si="16"/>
        <v xml:space="preserve">  </v>
      </c>
      <c r="B314" s="15"/>
      <c r="C314" s="31"/>
      <c r="D314" s="31"/>
      <c r="E314" s="17"/>
      <c r="F314" s="18"/>
      <c r="G314" s="32"/>
      <c r="H314" s="33" t="str">
        <f>IF(G314="","",IF(F314="žena",ROMAN(MATCH(G314+1,'[1]Normy VP'!$Y$27:$Y$33,-1)),ROMAN(MATCH(G314+1,'[1]Normy VP'!$Y$19:$Y$25,-1))))</f>
        <v/>
      </c>
      <c r="I314" s="21"/>
      <c r="J314" s="22"/>
      <c r="K314" s="23"/>
      <c r="L314" s="23"/>
      <c r="M314" s="23"/>
      <c r="N314" s="22"/>
      <c r="O314" s="22"/>
      <c r="P314" s="24" t="str">
        <f>IF(OR($J314="",$J314="odešel"),IF(K314="","",IF($F314="žena",CHOOSE(_xlfn.ARABIC($H314),MATCH(K314+1,'[1]Normy VP'!$C$25:$F$25,-1),MATCH(K314+1,'[1]Normy VP'!$C$26:$F$26,-1),MATCH(K314+1,'[1]Normy VP'!$C$27:$F$27,-1),MATCH(K314+1,'[1]Normy VP'!$C$28:$F$28,-1),MATCH(K314+1,'[1]Normy VP'!$C$29:$F$29,-1),"muž"),CHOOSE(_xlfn.ARABIC($H314),MATCH(K314+1,'[1]Normy VP'!$C$10:$F$10,-1),MATCH(K314+1,'[1]Normy VP'!$C$11:$F$11,-1),MATCH(K314+1,'[1]Normy VP'!$C$12:$F$12,-1),MATCH(K314+1,'[1]Normy VP'!$C$13:$F$13,-1),MATCH(K314+1,'[1]Normy VP'!$C$14:$F$14,-1),""))),"O")</f>
        <v/>
      </c>
      <c r="Q314" s="24" t="str">
        <f>IF(OR($J314="",$J314="odešel"),IF($F314="žena","",IF(L314="","",(CHOOSE(_xlfn.ARABIC($H314),MATCH(L314+1,'[1]Normy VP'!$G$10:$J$10,-1),MATCH(L314+1,'[1]Normy VP'!$G$11:$J$11,-1),MATCH(L314+1,'[1]Normy VP'!$G$12:$J$12,-1),MATCH(L314+1,'[1]Normy VP'!$G$13:$J$13,-1),MATCH(L314+1,'[1]Normy VP'!$G$14:$J$14,-1),"")))),"O")</f>
        <v/>
      </c>
      <c r="R314" s="34" t="str">
        <f t="shared" si="17"/>
        <v>N</v>
      </c>
      <c r="S314" s="24" t="str">
        <f>IF(OR($J314="",$J314="odešel"),IF(M314="","N",IF($F314="žena",CHOOSE(_xlfn.ARABIC($H314),MATCH(M314+1,'[1]Normy VP'!$G$25:$J$25,-1),MATCH(M314+1,'[1]Normy VP'!$G$26:$J$26,-1),MATCH(M314+1,'[1]Normy VP'!$G$27:$J$27,-1),MATCH(M314+1,'[1]Normy VP'!$G$28:$J$28,-1),MATCH(M314+1,'[1]Normy VP'!$G$29:$J$29,-1),"muž"),(CHOOSE(_xlfn.ARABIC($H314),MATCH(M314+1,'[1]Normy VP'!$K$10:$N$10,-1),MATCH(M314+1,'[1]Normy VP'!$K$11:$N$11,-1),MATCH(M314+1,'[1]Normy VP'!$K$12:$N$12,-1),MATCH(M314+1,'[1]Normy VP'!$K$13:$N$13,-1),MATCH(M314+1,'[1]Normy VP'!$K$14:$N$14,-1),"")))),"O")</f>
        <v>N</v>
      </c>
      <c r="T314" s="34" t="str">
        <f t="shared" si="18"/>
        <v>N</v>
      </c>
      <c r="U314" s="24" t="str">
        <f>IF(OR($J314="",$J314="odešel"),IF(N314="","N",IF($F314="žena",CHOOSE(_xlfn.ARABIC($H314),MATCH(N314+1,'[1]Normy VP'!$K$25:$N$25,-1),MATCH(N314+1,'[1]Normy VP'!$K$26:$N$26,-1),MATCH(N314+1,'[1]Normy VP'!$K$27:$N$27,-1),MATCH(N314+1,'[1]Normy VP'!$K$28:$N$28,-1),MATCH(N314+1,'[1]Normy VP'!$K$29:$N$29,-1),MATCH(N314+1,'[1]Normy VP'!$K$30:$N$30,-1)),CHOOSE(_xlfn.ARABIC($H314),MATCH(N314+1,'[1]Normy VP'!$O$10:$R$10,-1),MATCH(N314+1,'[1]Normy VP'!$O$11:$R$11,-1),MATCH(N314+1,'[1]Normy VP'!$O$12:$R$12,-1),MATCH(N314+1,'[1]Normy VP'!$O$13:$R$13,-1),MATCH(N314+1,'[1]Normy VP'!$O$14:$R$14,-1),MATCH(N314+1,'[1]Normy VP'!$O$15:$R$15,-1)))),"O")</f>
        <v>N</v>
      </c>
      <c r="V314" s="26" t="str">
        <f>IF(OR($J314="",$J314="odešel"),IF(O314="","N",IF($F314="žena",CHOOSE(_xlfn.ARABIC($H314),MATCH(O314-1,'[1]Normy VP'!$O$25:$R$25),MATCH(O314-1,'[1]Normy VP'!$O$26:$R$26),MATCH(O314-1,'[1]Normy VP'!$O$27:$R$27),MATCH(O314-1,'[1]Normy VP'!$O$28:$R$28),MATCH(O314-1,'[1]Normy VP'!$O$29:$R$29),MATCH(O314-1,'[1]Normy VP'!$O$30:$R$30)),CHOOSE(_xlfn.ARABIC($H314),MATCH(O314-1,'[1]Normy VP'!$S$10:$V$10),MATCH(O314-1,'[1]Normy VP'!$S$11:$V$11),MATCH(O314-1,'[1]Normy VP'!$S$12:$V$12),MATCH(O314-1,'[1]Normy VP'!$S$13:$V$13),MATCH(O314-1,'[1]Normy VP'!$S$14:$V$14),MATCH(O314-1,'[1]Normy VP'!$S$15:$V$15)))),"O")</f>
        <v>N</v>
      </c>
      <c r="W314" s="34" t="str">
        <f t="shared" si="19"/>
        <v>N</v>
      </c>
      <c r="X314" s="27" t="str">
        <f>IF(COUNTIF(B314:G314,"")&gt;0,"",IF(COUNTIF([1]PP!$A:$A,A314)=0,"neni v PP",IF(OR(Y314="odešel",VLOOKUP(A314,[1]PP!$A:$W,22,FALSE)="odešel"),"odešel",IF(OR(Y314="N",VLOOKUP(A314,[1]PP!$A:$W,22,FALSE)="N"),"N",IF(OR(Y314="C",VLOOKUP(A314,[1]PP!$A:$W,22,FALSE)="C"),"C",IF(OR(Y314="DZO",VLOOKUP(A314,[1]PP!$A:$W,22,FALSE)="DZO"),"DZO",IF(OR(Y314="mise",Y314="disp.",Y314="končí",Y314="DSC",VLOOKUP(A314,[1]PP!$A:$W,22,FALSE)="mise",VLOOKUP(A314,[1]PP!$A:$W,22,FALSE)="disp.",VLOOKUP(A314,[1]PP!$A:$W,22,FALSE)="končí",VLOOKUP(A314,[1]PP!$A:$W,22,FALSE)="DSC"),"jiné",IF(OR(Y314=4,VLOOKUP(A314,[1]PP!$A:$W,22,FALSE)=4),4,IF(OR(Y314=3,VLOOKUP(A314,[1]PP!$A:$W,22,FALSE)=3),3,IF(OR(Y314=2,VLOOKUP(A314,[1]PP!$A:$W,22,FALSE)=2),2,IF(AND(Y314=1,VLOOKUP(A314,[1]PP!$A:$W,22,FALSE)=1),1)))))))))))</f>
        <v/>
      </c>
      <c r="Y314" s="28" t="str">
        <f>IF(COUNTIF(B314:G314,"")&gt;0,"",IF(COUNTIF([1]PP!$A:$A,A314)=0,"neni v PP",IF(VLOOKUP(A314,[1]PP!$A:$W,8,FALSE)="odešel","odešel",IF(F314="","",IF(J314="",IF(OR(T314=4,W314=4),4,IF(AND(T314="N",W314="N"),"N",IF(OR(T314="N",W314="N"),4,ROUND(AVERAGE(T314,W314),0)))),J314)))))</f>
        <v/>
      </c>
      <c r="Z314" s="29" t="str">
        <f>IF(COUNTIF(B314:G314,"")=0,IF(X314="neni v PP",CONCATENATE("ID: &lt;",A314,"&gt; se neshoduje s žádným IDem v kartě PP"),IF(COUNTIF($A:$A,A314)&gt;1,CONCATENATE("ID: &lt;",A314,"&gt; se v kartě VP opakuje. Je nutné tyto IDy od sebe odlišit, např. mezerou za příjmením."),IF(COUNTIF([1]PP!A:A,A314)&gt;1,CONCATENATE("ID: &lt;",A314,"&gt; se v kartě PP opakuje. Je nutné tyto IDy od sebe odlišit, např. mezerou za příjmením."),IF(VLOOKUP(A314,[1]PP!$A:$W,5,FALSE)&lt;&gt;E314,CONCATENATE($E$4," &lt;",E314,"&gt; se neshoduje s jednotkou v kartě PP"," &lt;",VLOOKUP(A314,[1]PP!$A:$W,5,FALSE),"&gt;"),IF(AND(COUNTIF(K314:O314,"")&lt;5,J314="",I314=""),CONCATENATE("Doplň: ",$I$4),IF(AND(YEAR(I314)&lt;&gt;$E$2,COUNTIF(I314,"")=0),CONCATENATE("špatně uveden &lt;",$D$2,"&gt; nebo &lt;",$I$4,"&gt;"),IF(OR(AND(OR(COUNTIF(C314,"*a"),COUNTIF(C314,"*ie"),COUNTIF(C314,"*ine"),COUNTIF(D314,"*Á")),F314="muž"),AND(AND(COUNTIF(C314,"&lt;&gt;"&amp;"*a"),COUNTIF(C314,"&lt;&gt;"&amp;"*ie"),COUNTIF(C314,"&lt;&gt;"&amp;"*ine"),COUNTIF(D314,"&lt;&gt;"&amp;"*Á")),F314="žena")),CONCATENATE(C314," ",D314," je ",F314,"?"),""))))))),IF(COUNTIF(B314:O314,"")=14,"",CONCATENATE("Doplň: ",IF(B314="",CONCATENATE($B$4,IF(COUNTIF(C314:G314,"")=0,"",", ")),""),IF(C314="",CONCATENATE($C$4,IF(COUNTIF(D314:G314,"")=0,"",", ")),""),IF(D314="",CONCATENATE($D$4,IF(COUNTIF(E314:G314,"")=0,"",", ")),""),IF(E314="",CONCATENATE($E$4,IF(COUNTIF(F314:G314,"")=0,"",", ")),""),IF(F314="",CONCATENATE($F$4,IF(G314="",", ","")),""),IF(G314="",$G$4,""))))</f>
        <v/>
      </c>
      <c r="AA314" s="30"/>
    </row>
    <row r="315" spans="1:27" ht="16" x14ac:dyDescent="0.35">
      <c r="A315" s="14" t="str">
        <f t="shared" si="16"/>
        <v xml:space="preserve">  </v>
      </c>
      <c r="B315" s="15"/>
      <c r="C315" s="31"/>
      <c r="D315" s="31"/>
      <c r="E315" s="17"/>
      <c r="F315" s="18"/>
      <c r="G315" s="32"/>
      <c r="H315" s="33" t="str">
        <f>IF(G315="","",IF(F315="žena",ROMAN(MATCH(G315+1,'[1]Normy VP'!$Y$27:$Y$33,-1)),ROMAN(MATCH(G315+1,'[1]Normy VP'!$Y$19:$Y$25,-1))))</f>
        <v/>
      </c>
      <c r="I315" s="21"/>
      <c r="J315" s="22"/>
      <c r="K315" s="23"/>
      <c r="L315" s="23"/>
      <c r="M315" s="23"/>
      <c r="N315" s="22"/>
      <c r="O315" s="22"/>
      <c r="P315" s="24" t="str">
        <f>IF(OR($J315="",$J315="odešel"),IF(K315="","",IF($F315="žena",CHOOSE(_xlfn.ARABIC($H315),MATCH(K315+1,'[1]Normy VP'!$C$25:$F$25,-1),MATCH(K315+1,'[1]Normy VP'!$C$26:$F$26,-1),MATCH(K315+1,'[1]Normy VP'!$C$27:$F$27,-1),MATCH(K315+1,'[1]Normy VP'!$C$28:$F$28,-1),MATCH(K315+1,'[1]Normy VP'!$C$29:$F$29,-1),"muž"),CHOOSE(_xlfn.ARABIC($H315),MATCH(K315+1,'[1]Normy VP'!$C$10:$F$10,-1),MATCH(K315+1,'[1]Normy VP'!$C$11:$F$11,-1),MATCH(K315+1,'[1]Normy VP'!$C$12:$F$12,-1),MATCH(K315+1,'[1]Normy VP'!$C$13:$F$13,-1),MATCH(K315+1,'[1]Normy VP'!$C$14:$F$14,-1),""))),"O")</f>
        <v/>
      </c>
      <c r="Q315" s="24" t="str">
        <f>IF(OR($J315="",$J315="odešel"),IF($F315="žena","",IF(L315="","",(CHOOSE(_xlfn.ARABIC($H315),MATCH(L315+1,'[1]Normy VP'!$G$10:$J$10,-1),MATCH(L315+1,'[1]Normy VP'!$G$11:$J$11,-1),MATCH(L315+1,'[1]Normy VP'!$G$12:$J$12,-1),MATCH(L315+1,'[1]Normy VP'!$G$13:$J$13,-1),MATCH(L315+1,'[1]Normy VP'!$G$14:$J$14,-1),"")))),"O")</f>
        <v/>
      </c>
      <c r="R315" s="34" t="str">
        <f t="shared" si="17"/>
        <v>N</v>
      </c>
      <c r="S315" s="24" t="str">
        <f>IF(OR($J315="",$J315="odešel"),IF(M315="","N",IF($F315="žena",CHOOSE(_xlfn.ARABIC($H315),MATCH(M315+1,'[1]Normy VP'!$G$25:$J$25,-1),MATCH(M315+1,'[1]Normy VP'!$G$26:$J$26,-1),MATCH(M315+1,'[1]Normy VP'!$G$27:$J$27,-1),MATCH(M315+1,'[1]Normy VP'!$G$28:$J$28,-1),MATCH(M315+1,'[1]Normy VP'!$G$29:$J$29,-1),"muž"),(CHOOSE(_xlfn.ARABIC($H315),MATCH(M315+1,'[1]Normy VP'!$K$10:$N$10,-1),MATCH(M315+1,'[1]Normy VP'!$K$11:$N$11,-1),MATCH(M315+1,'[1]Normy VP'!$K$12:$N$12,-1),MATCH(M315+1,'[1]Normy VP'!$K$13:$N$13,-1),MATCH(M315+1,'[1]Normy VP'!$K$14:$N$14,-1),"")))),"O")</f>
        <v>N</v>
      </c>
      <c r="T315" s="34" t="str">
        <f t="shared" si="18"/>
        <v>N</v>
      </c>
      <c r="U315" s="24" t="str">
        <f>IF(OR($J315="",$J315="odešel"),IF(N315="","N",IF($F315="žena",CHOOSE(_xlfn.ARABIC($H315),MATCH(N315+1,'[1]Normy VP'!$K$25:$N$25,-1),MATCH(N315+1,'[1]Normy VP'!$K$26:$N$26,-1),MATCH(N315+1,'[1]Normy VP'!$K$27:$N$27,-1),MATCH(N315+1,'[1]Normy VP'!$K$28:$N$28,-1),MATCH(N315+1,'[1]Normy VP'!$K$29:$N$29,-1),MATCH(N315+1,'[1]Normy VP'!$K$30:$N$30,-1)),CHOOSE(_xlfn.ARABIC($H315),MATCH(N315+1,'[1]Normy VP'!$O$10:$R$10,-1),MATCH(N315+1,'[1]Normy VP'!$O$11:$R$11,-1),MATCH(N315+1,'[1]Normy VP'!$O$12:$R$12,-1),MATCH(N315+1,'[1]Normy VP'!$O$13:$R$13,-1),MATCH(N315+1,'[1]Normy VP'!$O$14:$R$14,-1),MATCH(N315+1,'[1]Normy VP'!$O$15:$R$15,-1)))),"O")</f>
        <v>N</v>
      </c>
      <c r="V315" s="26" t="str">
        <f>IF(OR($J315="",$J315="odešel"),IF(O315="","N",IF($F315="žena",CHOOSE(_xlfn.ARABIC($H315),MATCH(O315-1,'[1]Normy VP'!$O$25:$R$25),MATCH(O315-1,'[1]Normy VP'!$O$26:$R$26),MATCH(O315-1,'[1]Normy VP'!$O$27:$R$27),MATCH(O315-1,'[1]Normy VP'!$O$28:$R$28),MATCH(O315-1,'[1]Normy VP'!$O$29:$R$29),MATCH(O315-1,'[1]Normy VP'!$O$30:$R$30)),CHOOSE(_xlfn.ARABIC($H315),MATCH(O315-1,'[1]Normy VP'!$S$10:$V$10),MATCH(O315-1,'[1]Normy VP'!$S$11:$V$11),MATCH(O315-1,'[1]Normy VP'!$S$12:$V$12),MATCH(O315-1,'[1]Normy VP'!$S$13:$V$13),MATCH(O315-1,'[1]Normy VP'!$S$14:$V$14),MATCH(O315-1,'[1]Normy VP'!$S$15:$V$15)))),"O")</f>
        <v>N</v>
      </c>
      <c r="W315" s="34" t="str">
        <f t="shared" si="19"/>
        <v>N</v>
      </c>
      <c r="X315" s="27" t="str">
        <f>IF(COUNTIF(B315:G315,"")&gt;0,"",IF(COUNTIF([1]PP!$A:$A,A315)=0,"neni v PP",IF(OR(Y315="odešel",VLOOKUP(A315,[1]PP!$A:$W,22,FALSE)="odešel"),"odešel",IF(OR(Y315="N",VLOOKUP(A315,[1]PP!$A:$W,22,FALSE)="N"),"N",IF(OR(Y315="C",VLOOKUP(A315,[1]PP!$A:$W,22,FALSE)="C"),"C",IF(OR(Y315="DZO",VLOOKUP(A315,[1]PP!$A:$W,22,FALSE)="DZO"),"DZO",IF(OR(Y315="mise",Y315="disp.",Y315="končí",Y315="DSC",VLOOKUP(A315,[1]PP!$A:$W,22,FALSE)="mise",VLOOKUP(A315,[1]PP!$A:$W,22,FALSE)="disp.",VLOOKUP(A315,[1]PP!$A:$W,22,FALSE)="končí",VLOOKUP(A315,[1]PP!$A:$W,22,FALSE)="DSC"),"jiné",IF(OR(Y315=4,VLOOKUP(A315,[1]PP!$A:$W,22,FALSE)=4),4,IF(OR(Y315=3,VLOOKUP(A315,[1]PP!$A:$W,22,FALSE)=3),3,IF(OR(Y315=2,VLOOKUP(A315,[1]PP!$A:$W,22,FALSE)=2),2,IF(AND(Y315=1,VLOOKUP(A315,[1]PP!$A:$W,22,FALSE)=1),1)))))))))))</f>
        <v/>
      </c>
      <c r="Y315" s="28" t="str">
        <f>IF(COUNTIF(B315:G315,"")&gt;0,"",IF(COUNTIF([1]PP!$A:$A,A315)=0,"neni v PP",IF(VLOOKUP(A315,[1]PP!$A:$W,8,FALSE)="odešel","odešel",IF(F315="","",IF(J315="",IF(OR(T315=4,W315=4),4,IF(AND(T315="N",W315="N"),"N",IF(OR(T315="N",W315="N"),4,ROUND(AVERAGE(T315,W315),0)))),J315)))))</f>
        <v/>
      </c>
      <c r="Z315" s="29" t="str">
        <f>IF(COUNTIF(B315:G315,"")=0,IF(X315="neni v PP",CONCATENATE("ID: &lt;",A315,"&gt; se neshoduje s žádným IDem v kartě PP"),IF(COUNTIF($A:$A,A315)&gt;1,CONCATENATE("ID: &lt;",A315,"&gt; se v kartě VP opakuje. Je nutné tyto IDy od sebe odlišit, např. mezerou za příjmením."),IF(COUNTIF([1]PP!A:A,A315)&gt;1,CONCATENATE("ID: &lt;",A315,"&gt; se v kartě PP opakuje. Je nutné tyto IDy od sebe odlišit, např. mezerou za příjmením."),IF(VLOOKUP(A315,[1]PP!$A:$W,5,FALSE)&lt;&gt;E315,CONCATENATE($E$4," &lt;",E315,"&gt; se neshoduje s jednotkou v kartě PP"," &lt;",VLOOKUP(A315,[1]PP!$A:$W,5,FALSE),"&gt;"),IF(AND(COUNTIF(K315:O315,"")&lt;5,J315="",I315=""),CONCATENATE("Doplň: ",$I$4),IF(AND(YEAR(I315)&lt;&gt;$E$2,COUNTIF(I315,"")=0),CONCATENATE("špatně uveden &lt;",$D$2,"&gt; nebo &lt;",$I$4,"&gt;"),IF(OR(AND(OR(COUNTIF(C315,"*a"),COUNTIF(C315,"*ie"),COUNTIF(C315,"*ine"),COUNTIF(D315,"*Á")),F315="muž"),AND(AND(COUNTIF(C315,"&lt;&gt;"&amp;"*a"),COUNTIF(C315,"&lt;&gt;"&amp;"*ie"),COUNTIF(C315,"&lt;&gt;"&amp;"*ine"),COUNTIF(D315,"&lt;&gt;"&amp;"*Á")),F315="žena")),CONCATENATE(C315," ",D315," je ",F315,"?"),""))))))),IF(COUNTIF(B315:O315,"")=14,"",CONCATENATE("Doplň: ",IF(B315="",CONCATENATE($B$4,IF(COUNTIF(C315:G315,"")=0,"",", ")),""),IF(C315="",CONCATENATE($C$4,IF(COUNTIF(D315:G315,"")=0,"",", ")),""),IF(D315="",CONCATENATE($D$4,IF(COUNTIF(E315:G315,"")=0,"",", ")),""),IF(E315="",CONCATENATE($E$4,IF(COUNTIF(F315:G315,"")=0,"",", ")),""),IF(F315="",CONCATENATE($F$4,IF(G315="",", ","")),""),IF(G315="",$G$4,""))))</f>
        <v/>
      </c>
      <c r="AA315" s="30"/>
    </row>
    <row r="316" spans="1:27" ht="16" x14ac:dyDescent="0.35">
      <c r="A316" s="14" t="str">
        <f t="shared" si="16"/>
        <v xml:space="preserve">  </v>
      </c>
      <c r="B316" s="15"/>
      <c r="C316" s="31"/>
      <c r="D316" s="31"/>
      <c r="E316" s="17"/>
      <c r="F316" s="18"/>
      <c r="G316" s="32"/>
      <c r="H316" s="33" t="str">
        <f>IF(G316="","",IF(F316="žena",ROMAN(MATCH(G316+1,'[1]Normy VP'!$Y$27:$Y$33,-1)),ROMAN(MATCH(G316+1,'[1]Normy VP'!$Y$19:$Y$25,-1))))</f>
        <v/>
      </c>
      <c r="I316" s="21"/>
      <c r="J316" s="22"/>
      <c r="K316" s="23"/>
      <c r="L316" s="23"/>
      <c r="M316" s="23"/>
      <c r="N316" s="22"/>
      <c r="O316" s="22"/>
      <c r="P316" s="24" t="str">
        <f>IF(OR($J316="",$J316="odešel"),IF(K316="","",IF($F316="žena",CHOOSE(_xlfn.ARABIC($H316),MATCH(K316+1,'[1]Normy VP'!$C$25:$F$25,-1),MATCH(K316+1,'[1]Normy VP'!$C$26:$F$26,-1),MATCH(K316+1,'[1]Normy VP'!$C$27:$F$27,-1),MATCH(K316+1,'[1]Normy VP'!$C$28:$F$28,-1),MATCH(K316+1,'[1]Normy VP'!$C$29:$F$29,-1),"muž"),CHOOSE(_xlfn.ARABIC($H316),MATCH(K316+1,'[1]Normy VP'!$C$10:$F$10,-1),MATCH(K316+1,'[1]Normy VP'!$C$11:$F$11,-1),MATCH(K316+1,'[1]Normy VP'!$C$12:$F$12,-1),MATCH(K316+1,'[1]Normy VP'!$C$13:$F$13,-1),MATCH(K316+1,'[1]Normy VP'!$C$14:$F$14,-1),""))),"O")</f>
        <v/>
      </c>
      <c r="Q316" s="24" t="str">
        <f>IF(OR($J316="",$J316="odešel"),IF($F316="žena","",IF(L316="","",(CHOOSE(_xlfn.ARABIC($H316),MATCH(L316+1,'[1]Normy VP'!$G$10:$J$10,-1),MATCH(L316+1,'[1]Normy VP'!$G$11:$J$11,-1),MATCH(L316+1,'[1]Normy VP'!$G$12:$J$12,-1),MATCH(L316+1,'[1]Normy VP'!$G$13:$J$13,-1),MATCH(L316+1,'[1]Normy VP'!$G$14:$J$14,-1),"")))),"O")</f>
        <v/>
      </c>
      <c r="R316" s="34" t="str">
        <f t="shared" si="17"/>
        <v>N</v>
      </c>
      <c r="S316" s="24" t="str">
        <f>IF(OR($J316="",$J316="odešel"),IF(M316="","N",IF($F316="žena",CHOOSE(_xlfn.ARABIC($H316),MATCH(M316+1,'[1]Normy VP'!$G$25:$J$25,-1),MATCH(M316+1,'[1]Normy VP'!$G$26:$J$26,-1),MATCH(M316+1,'[1]Normy VP'!$G$27:$J$27,-1),MATCH(M316+1,'[1]Normy VP'!$G$28:$J$28,-1),MATCH(M316+1,'[1]Normy VP'!$G$29:$J$29,-1),"muž"),(CHOOSE(_xlfn.ARABIC($H316),MATCH(M316+1,'[1]Normy VP'!$K$10:$N$10,-1),MATCH(M316+1,'[1]Normy VP'!$K$11:$N$11,-1),MATCH(M316+1,'[1]Normy VP'!$K$12:$N$12,-1),MATCH(M316+1,'[1]Normy VP'!$K$13:$N$13,-1),MATCH(M316+1,'[1]Normy VP'!$K$14:$N$14,-1),"")))),"O")</f>
        <v>N</v>
      </c>
      <c r="T316" s="34" t="str">
        <f t="shared" si="18"/>
        <v>N</v>
      </c>
      <c r="U316" s="24" t="str">
        <f>IF(OR($J316="",$J316="odešel"),IF(N316="","N",IF($F316="žena",CHOOSE(_xlfn.ARABIC($H316),MATCH(N316+1,'[1]Normy VP'!$K$25:$N$25,-1),MATCH(N316+1,'[1]Normy VP'!$K$26:$N$26,-1),MATCH(N316+1,'[1]Normy VP'!$K$27:$N$27,-1),MATCH(N316+1,'[1]Normy VP'!$K$28:$N$28,-1),MATCH(N316+1,'[1]Normy VP'!$K$29:$N$29,-1),MATCH(N316+1,'[1]Normy VP'!$K$30:$N$30,-1)),CHOOSE(_xlfn.ARABIC($H316),MATCH(N316+1,'[1]Normy VP'!$O$10:$R$10,-1),MATCH(N316+1,'[1]Normy VP'!$O$11:$R$11,-1),MATCH(N316+1,'[1]Normy VP'!$O$12:$R$12,-1),MATCH(N316+1,'[1]Normy VP'!$O$13:$R$13,-1),MATCH(N316+1,'[1]Normy VP'!$O$14:$R$14,-1),MATCH(N316+1,'[1]Normy VP'!$O$15:$R$15,-1)))),"O")</f>
        <v>N</v>
      </c>
      <c r="V316" s="26" t="str">
        <f>IF(OR($J316="",$J316="odešel"),IF(O316="","N",IF($F316="žena",CHOOSE(_xlfn.ARABIC($H316),MATCH(O316-1,'[1]Normy VP'!$O$25:$R$25),MATCH(O316-1,'[1]Normy VP'!$O$26:$R$26),MATCH(O316-1,'[1]Normy VP'!$O$27:$R$27),MATCH(O316-1,'[1]Normy VP'!$O$28:$R$28),MATCH(O316-1,'[1]Normy VP'!$O$29:$R$29),MATCH(O316-1,'[1]Normy VP'!$O$30:$R$30)),CHOOSE(_xlfn.ARABIC($H316),MATCH(O316-1,'[1]Normy VP'!$S$10:$V$10),MATCH(O316-1,'[1]Normy VP'!$S$11:$V$11),MATCH(O316-1,'[1]Normy VP'!$S$12:$V$12),MATCH(O316-1,'[1]Normy VP'!$S$13:$V$13),MATCH(O316-1,'[1]Normy VP'!$S$14:$V$14),MATCH(O316-1,'[1]Normy VP'!$S$15:$V$15)))),"O")</f>
        <v>N</v>
      </c>
      <c r="W316" s="34" t="str">
        <f t="shared" si="19"/>
        <v>N</v>
      </c>
      <c r="X316" s="27" t="str">
        <f>IF(COUNTIF(B316:G316,"")&gt;0,"",IF(COUNTIF([1]PP!$A:$A,A316)=0,"neni v PP",IF(OR(Y316="odešel",VLOOKUP(A316,[1]PP!$A:$W,22,FALSE)="odešel"),"odešel",IF(OR(Y316="N",VLOOKUP(A316,[1]PP!$A:$W,22,FALSE)="N"),"N",IF(OR(Y316="C",VLOOKUP(A316,[1]PP!$A:$W,22,FALSE)="C"),"C",IF(OR(Y316="DZO",VLOOKUP(A316,[1]PP!$A:$W,22,FALSE)="DZO"),"DZO",IF(OR(Y316="mise",Y316="disp.",Y316="končí",Y316="DSC",VLOOKUP(A316,[1]PP!$A:$W,22,FALSE)="mise",VLOOKUP(A316,[1]PP!$A:$W,22,FALSE)="disp.",VLOOKUP(A316,[1]PP!$A:$W,22,FALSE)="končí",VLOOKUP(A316,[1]PP!$A:$W,22,FALSE)="DSC"),"jiné",IF(OR(Y316=4,VLOOKUP(A316,[1]PP!$A:$W,22,FALSE)=4),4,IF(OR(Y316=3,VLOOKUP(A316,[1]PP!$A:$W,22,FALSE)=3),3,IF(OR(Y316=2,VLOOKUP(A316,[1]PP!$A:$W,22,FALSE)=2),2,IF(AND(Y316=1,VLOOKUP(A316,[1]PP!$A:$W,22,FALSE)=1),1)))))))))))</f>
        <v/>
      </c>
      <c r="Y316" s="28" t="str">
        <f>IF(COUNTIF(B316:G316,"")&gt;0,"",IF(COUNTIF([1]PP!$A:$A,A316)=0,"neni v PP",IF(VLOOKUP(A316,[1]PP!$A:$W,8,FALSE)="odešel","odešel",IF(F316="","",IF(J316="",IF(OR(T316=4,W316=4),4,IF(AND(T316="N",W316="N"),"N",IF(OR(T316="N",W316="N"),4,ROUND(AVERAGE(T316,W316),0)))),J316)))))</f>
        <v/>
      </c>
      <c r="Z316" s="29" t="str">
        <f>IF(COUNTIF(B316:G316,"")=0,IF(X316="neni v PP",CONCATENATE("ID: &lt;",A316,"&gt; se neshoduje s žádným IDem v kartě PP"),IF(COUNTIF($A:$A,A316)&gt;1,CONCATENATE("ID: &lt;",A316,"&gt; se v kartě VP opakuje. Je nutné tyto IDy od sebe odlišit, např. mezerou za příjmením."),IF(COUNTIF([1]PP!A:A,A316)&gt;1,CONCATENATE("ID: &lt;",A316,"&gt; se v kartě PP opakuje. Je nutné tyto IDy od sebe odlišit, např. mezerou za příjmením."),IF(VLOOKUP(A316,[1]PP!$A:$W,5,FALSE)&lt;&gt;E316,CONCATENATE($E$4," &lt;",E316,"&gt; se neshoduje s jednotkou v kartě PP"," &lt;",VLOOKUP(A316,[1]PP!$A:$W,5,FALSE),"&gt;"),IF(AND(COUNTIF(K316:O316,"")&lt;5,J316="",I316=""),CONCATENATE("Doplň: ",$I$4),IF(AND(YEAR(I316)&lt;&gt;$E$2,COUNTIF(I316,"")=0),CONCATENATE("špatně uveden &lt;",$D$2,"&gt; nebo &lt;",$I$4,"&gt;"),IF(OR(AND(OR(COUNTIF(C316,"*a"),COUNTIF(C316,"*ie"),COUNTIF(C316,"*ine"),COUNTIF(D316,"*Á")),F316="muž"),AND(AND(COUNTIF(C316,"&lt;&gt;"&amp;"*a"),COUNTIF(C316,"&lt;&gt;"&amp;"*ie"),COUNTIF(C316,"&lt;&gt;"&amp;"*ine"),COUNTIF(D316,"&lt;&gt;"&amp;"*Á")),F316="žena")),CONCATENATE(C316," ",D316," je ",F316,"?"),""))))))),IF(COUNTIF(B316:O316,"")=14,"",CONCATENATE("Doplň: ",IF(B316="",CONCATENATE($B$4,IF(COUNTIF(C316:G316,"")=0,"",", ")),""),IF(C316="",CONCATENATE($C$4,IF(COUNTIF(D316:G316,"")=0,"",", ")),""),IF(D316="",CONCATENATE($D$4,IF(COUNTIF(E316:G316,"")=0,"",", ")),""),IF(E316="",CONCATENATE($E$4,IF(COUNTIF(F316:G316,"")=0,"",", ")),""),IF(F316="",CONCATENATE($F$4,IF(G316="",", ","")),""),IF(G316="",$G$4,""))))</f>
        <v/>
      </c>
      <c r="AA316" s="30"/>
    </row>
    <row r="317" spans="1:27" ht="16" x14ac:dyDescent="0.35">
      <c r="A317" s="14" t="str">
        <f t="shared" si="16"/>
        <v xml:space="preserve">  </v>
      </c>
      <c r="B317" s="15"/>
      <c r="C317" s="31"/>
      <c r="D317" s="31"/>
      <c r="E317" s="17"/>
      <c r="F317" s="18"/>
      <c r="G317" s="32"/>
      <c r="H317" s="33" t="str">
        <f>IF(G317="","",IF(F317="žena",ROMAN(MATCH(G317+1,'[1]Normy VP'!$Y$27:$Y$33,-1)),ROMAN(MATCH(G317+1,'[1]Normy VP'!$Y$19:$Y$25,-1))))</f>
        <v/>
      </c>
      <c r="I317" s="21"/>
      <c r="J317" s="22"/>
      <c r="K317" s="23"/>
      <c r="L317" s="23"/>
      <c r="M317" s="23"/>
      <c r="N317" s="22"/>
      <c r="O317" s="22"/>
      <c r="P317" s="24" t="str">
        <f>IF(OR($J317="",$J317="odešel"),IF(K317="","",IF($F317="žena",CHOOSE(_xlfn.ARABIC($H317),MATCH(K317+1,'[1]Normy VP'!$C$25:$F$25,-1),MATCH(K317+1,'[1]Normy VP'!$C$26:$F$26,-1),MATCH(K317+1,'[1]Normy VP'!$C$27:$F$27,-1),MATCH(K317+1,'[1]Normy VP'!$C$28:$F$28,-1),MATCH(K317+1,'[1]Normy VP'!$C$29:$F$29,-1),"muž"),CHOOSE(_xlfn.ARABIC($H317),MATCH(K317+1,'[1]Normy VP'!$C$10:$F$10,-1),MATCH(K317+1,'[1]Normy VP'!$C$11:$F$11,-1),MATCH(K317+1,'[1]Normy VP'!$C$12:$F$12,-1),MATCH(K317+1,'[1]Normy VP'!$C$13:$F$13,-1),MATCH(K317+1,'[1]Normy VP'!$C$14:$F$14,-1),""))),"O")</f>
        <v/>
      </c>
      <c r="Q317" s="24" t="str">
        <f>IF(OR($J317="",$J317="odešel"),IF($F317="žena","",IF(L317="","",(CHOOSE(_xlfn.ARABIC($H317),MATCH(L317+1,'[1]Normy VP'!$G$10:$J$10,-1),MATCH(L317+1,'[1]Normy VP'!$G$11:$J$11,-1),MATCH(L317+1,'[1]Normy VP'!$G$12:$J$12,-1),MATCH(L317+1,'[1]Normy VP'!$G$13:$J$13,-1),MATCH(L317+1,'[1]Normy VP'!$G$14:$J$14,-1),"")))),"O")</f>
        <v/>
      </c>
      <c r="R317" s="34" t="str">
        <f t="shared" si="17"/>
        <v>N</v>
      </c>
      <c r="S317" s="24" t="str">
        <f>IF(OR($J317="",$J317="odešel"),IF(M317="","N",IF($F317="žena",CHOOSE(_xlfn.ARABIC($H317),MATCH(M317+1,'[1]Normy VP'!$G$25:$J$25,-1),MATCH(M317+1,'[1]Normy VP'!$G$26:$J$26,-1),MATCH(M317+1,'[1]Normy VP'!$G$27:$J$27,-1),MATCH(M317+1,'[1]Normy VP'!$G$28:$J$28,-1),MATCH(M317+1,'[1]Normy VP'!$G$29:$J$29,-1),"muž"),(CHOOSE(_xlfn.ARABIC($H317),MATCH(M317+1,'[1]Normy VP'!$K$10:$N$10,-1),MATCH(M317+1,'[1]Normy VP'!$K$11:$N$11,-1),MATCH(M317+1,'[1]Normy VP'!$K$12:$N$12,-1),MATCH(M317+1,'[1]Normy VP'!$K$13:$N$13,-1),MATCH(M317+1,'[1]Normy VP'!$K$14:$N$14,-1),"")))),"O")</f>
        <v>N</v>
      </c>
      <c r="T317" s="34" t="str">
        <f t="shared" si="18"/>
        <v>N</v>
      </c>
      <c r="U317" s="24" t="str">
        <f>IF(OR($J317="",$J317="odešel"),IF(N317="","N",IF($F317="žena",CHOOSE(_xlfn.ARABIC($H317),MATCH(N317+1,'[1]Normy VP'!$K$25:$N$25,-1),MATCH(N317+1,'[1]Normy VP'!$K$26:$N$26,-1),MATCH(N317+1,'[1]Normy VP'!$K$27:$N$27,-1),MATCH(N317+1,'[1]Normy VP'!$K$28:$N$28,-1),MATCH(N317+1,'[1]Normy VP'!$K$29:$N$29,-1),MATCH(N317+1,'[1]Normy VP'!$K$30:$N$30,-1)),CHOOSE(_xlfn.ARABIC($H317),MATCH(N317+1,'[1]Normy VP'!$O$10:$R$10,-1),MATCH(N317+1,'[1]Normy VP'!$O$11:$R$11,-1),MATCH(N317+1,'[1]Normy VP'!$O$12:$R$12,-1),MATCH(N317+1,'[1]Normy VP'!$O$13:$R$13,-1),MATCH(N317+1,'[1]Normy VP'!$O$14:$R$14,-1),MATCH(N317+1,'[1]Normy VP'!$O$15:$R$15,-1)))),"O")</f>
        <v>N</v>
      </c>
      <c r="V317" s="26" t="str">
        <f>IF(OR($J317="",$J317="odešel"),IF(O317="","N",IF($F317="žena",CHOOSE(_xlfn.ARABIC($H317),MATCH(O317-1,'[1]Normy VP'!$O$25:$R$25),MATCH(O317-1,'[1]Normy VP'!$O$26:$R$26),MATCH(O317-1,'[1]Normy VP'!$O$27:$R$27),MATCH(O317-1,'[1]Normy VP'!$O$28:$R$28),MATCH(O317-1,'[1]Normy VP'!$O$29:$R$29),MATCH(O317-1,'[1]Normy VP'!$O$30:$R$30)),CHOOSE(_xlfn.ARABIC($H317),MATCH(O317-1,'[1]Normy VP'!$S$10:$V$10),MATCH(O317-1,'[1]Normy VP'!$S$11:$V$11),MATCH(O317-1,'[1]Normy VP'!$S$12:$V$12),MATCH(O317-1,'[1]Normy VP'!$S$13:$V$13),MATCH(O317-1,'[1]Normy VP'!$S$14:$V$14),MATCH(O317-1,'[1]Normy VP'!$S$15:$V$15)))),"O")</f>
        <v>N</v>
      </c>
      <c r="W317" s="34" t="str">
        <f t="shared" si="19"/>
        <v>N</v>
      </c>
      <c r="X317" s="27" t="str">
        <f>IF(COUNTIF(B317:G317,"")&gt;0,"",IF(COUNTIF([1]PP!$A:$A,A317)=0,"neni v PP",IF(OR(Y317="odešel",VLOOKUP(A317,[1]PP!$A:$W,22,FALSE)="odešel"),"odešel",IF(OR(Y317="N",VLOOKUP(A317,[1]PP!$A:$W,22,FALSE)="N"),"N",IF(OR(Y317="C",VLOOKUP(A317,[1]PP!$A:$W,22,FALSE)="C"),"C",IF(OR(Y317="DZO",VLOOKUP(A317,[1]PP!$A:$W,22,FALSE)="DZO"),"DZO",IF(OR(Y317="mise",Y317="disp.",Y317="končí",Y317="DSC",VLOOKUP(A317,[1]PP!$A:$W,22,FALSE)="mise",VLOOKUP(A317,[1]PP!$A:$W,22,FALSE)="disp.",VLOOKUP(A317,[1]PP!$A:$W,22,FALSE)="končí",VLOOKUP(A317,[1]PP!$A:$W,22,FALSE)="DSC"),"jiné",IF(OR(Y317=4,VLOOKUP(A317,[1]PP!$A:$W,22,FALSE)=4),4,IF(OR(Y317=3,VLOOKUP(A317,[1]PP!$A:$W,22,FALSE)=3),3,IF(OR(Y317=2,VLOOKUP(A317,[1]PP!$A:$W,22,FALSE)=2),2,IF(AND(Y317=1,VLOOKUP(A317,[1]PP!$A:$W,22,FALSE)=1),1)))))))))))</f>
        <v/>
      </c>
      <c r="Y317" s="28" t="str">
        <f>IF(COUNTIF(B317:G317,"")&gt;0,"",IF(COUNTIF([1]PP!$A:$A,A317)=0,"neni v PP",IF(VLOOKUP(A317,[1]PP!$A:$W,8,FALSE)="odešel","odešel",IF(F317="","",IF(J317="",IF(OR(T317=4,W317=4),4,IF(AND(T317="N",W317="N"),"N",IF(OR(T317="N",W317="N"),4,ROUND(AVERAGE(T317,W317),0)))),J317)))))</f>
        <v/>
      </c>
      <c r="Z317" s="29" t="str">
        <f>IF(COUNTIF(B317:G317,"")=0,IF(X317="neni v PP",CONCATENATE("ID: &lt;",A317,"&gt; se neshoduje s žádným IDem v kartě PP"),IF(COUNTIF($A:$A,A317)&gt;1,CONCATENATE("ID: &lt;",A317,"&gt; se v kartě VP opakuje. Je nutné tyto IDy od sebe odlišit, např. mezerou za příjmením."),IF(COUNTIF([1]PP!A:A,A317)&gt;1,CONCATENATE("ID: &lt;",A317,"&gt; se v kartě PP opakuje. Je nutné tyto IDy od sebe odlišit, např. mezerou za příjmením."),IF(VLOOKUP(A317,[1]PP!$A:$W,5,FALSE)&lt;&gt;E317,CONCATENATE($E$4," &lt;",E317,"&gt; se neshoduje s jednotkou v kartě PP"," &lt;",VLOOKUP(A317,[1]PP!$A:$W,5,FALSE),"&gt;"),IF(AND(COUNTIF(K317:O317,"")&lt;5,J317="",I317=""),CONCATENATE("Doplň: ",$I$4),IF(AND(YEAR(I317)&lt;&gt;$E$2,COUNTIF(I317,"")=0),CONCATENATE("špatně uveden &lt;",$D$2,"&gt; nebo &lt;",$I$4,"&gt;"),IF(OR(AND(OR(COUNTIF(C317,"*a"),COUNTIF(C317,"*ie"),COUNTIF(C317,"*ine"),COUNTIF(D317,"*Á")),F317="muž"),AND(AND(COUNTIF(C317,"&lt;&gt;"&amp;"*a"),COUNTIF(C317,"&lt;&gt;"&amp;"*ie"),COUNTIF(C317,"&lt;&gt;"&amp;"*ine"),COUNTIF(D317,"&lt;&gt;"&amp;"*Á")),F317="žena")),CONCATENATE(C317," ",D317," je ",F317,"?"),""))))))),IF(COUNTIF(B317:O317,"")=14,"",CONCATENATE("Doplň: ",IF(B317="",CONCATENATE($B$4,IF(COUNTIF(C317:G317,"")=0,"",", ")),""),IF(C317="",CONCATENATE($C$4,IF(COUNTIF(D317:G317,"")=0,"",", ")),""),IF(D317="",CONCATENATE($D$4,IF(COUNTIF(E317:G317,"")=0,"",", ")),""),IF(E317="",CONCATENATE($E$4,IF(COUNTIF(F317:G317,"")=0,"",", ")),""),IF(F317="",CONCATENATE($F$4,IF(G317="",", ","")),""),IF(G317="",$G$4,""))))</f>
        <v/>
      </c>
      <c r="AA317" s="30"/>
    </row>
    <row r="318" spans="1:27" ht="16" x14ac:dyDescent="0.35">
      <c r="A318" s="14" t="str">
        <f t="shared" si="16"/>
        <v xml:space="preserve">  </v>
      </c>
      <c r="B318" s="15"/>
      <c r="C318" s="31"/>
      <c r="D318" s="31"/>
      <c r="E318" s="17"/>
      <c r="F318" s="18"/>
      <c r="G318" s="32"/>
      <c r="H318" s="33" t="str">
        <f>IF(G318="","",IF(F318="žena",ROMAN(MATCH(G318+1,'[1]Normy VP'!$Y$27:$Y$33,-1)),ROMAN(MATCH(G318+1,'[1]Normy VP'!$Y$19:$Y$25,-1))))</f>
        <v/>
      </c>
      <c r="I318" s="21"/>
      <c r="J318" s="22"/>
      <c r="K318" s="23"/>
      <c r="L318" s="23"/>
      <c r="M318" s="23"/>
      <c r="N318" s="22"/>
      <c r="O318" s="22"/>
      <c r="P318" s="24" t="str">
        <f>IF(OR($J318="",$J318="odešel"),IF(K318="","",IF($F318="žena",CHOOSE(_xlfn.ARABIC($H318),MATCH(K318+1,'[1]Normy VP'!$C$25:$F$25,-1),MATCH(K318+1,'[1]Normy VP'!$C$26:$F$26,-1),MATCH(K318+1,'[1]Normy VP'!$C$27:$F$27,-1),MATCH(K318+1,'[1]Normy VP'!$C$28:$F$28,-1),MATCH(K318+1,'[1]Normy VP'!$C$29:$F$29,-1),"muž"),CHOOSE(_xlfn.ARABIC($H318),MATCH(K318+1,'[1]Normy VP'!$C$10:$F$10,-1),MATCH(K318+1,'[1]Normy VP'!$C$11:$F$11,-1),MATCH(K318+1,'[1]Normy VP'!$C$12:$F$12,-1),MATCH(K318+1,'[1]Normy VP'!$C$13:$F$13,-1),MATCH(K318+1,'[1]Normy VP'!$C$14:$F$14,-1),""))),"O")</f>
        <v/>
      </c>
      <c r="Q318" s="24" t="str">
        <f>IF(OR($J318="",$J318="odešel"),IF($F318="žena","",IF(L318="","",(CHOOSE(_xlfn.ARABIC($H318),MATCH(L318+1,'[1]Normy VP'!$G$10:$J$10,-1),MATCH(L318+1,'[1]Normy VP'!$G$11:$J$11,-1),MATCH(L318+1,'[1]Normy VP'!$G$12:$J$12,-1),MATCH(L318+1,'[1]Normy VP'!$G$13:$J$13,-1),MATCH(L318+1,'[1]Normy VP'!$G$14:$J$14,-1),"")))),"O")</f>
        <v/>
      </c>
      <c r="R318" s="34" t="str">
        <f t="shared" si="17"/>
        <v>N</v>
      </c>
      <c r="S318" s="24" t="str">
        <f>IF(OR($J318="",$J318="odešel"),IF(M318="","N",IF($F318="žena",CHOOSE(_xlfn.ARABIC($H318),MATCH(M318+1,'[1]Normy VP'!$G$25:$J$25,-1),MATCH(M318+1,'[1]Normy VP'!$G$26:$J$26,-1),MATCH(M318+1,'[1]Normy VP'!$G$27:$J$27,-1),MATCH(M318+1,'[1]Normy VP'!$G$28:$J$28,-1),MATCH(M318+1,'[1]Normy VP'!$G$29:$J$29,-1),"muž"),(CHOOSE(_xlfn.ARABIC($H318),MATCH(M318+1,'[1]Normy VP'!$K$10:$N$10,-1),MATCH(M318+1,'[1]Normy VP'!$K$11:$N$11,-1),MATCH(M318+1,'[1]Normy VP'!$K$12:$N$12,-1),MATCH(M318+1,'[1]Normy VP'!$K$13:$N$13,-1),MATCH(M318+1,'[1]Normy VP'!$K$14:$N$14,-1),"")))),"O")</f>
        <v>N</v>
      </c>
      <c r="T318" s="34" t="str">
        <f t="shared" si="18"/>
        <v>N</v>
      </c>
      <c r="U318" s="24" t="str">
        <f>IF(OR($J318="",$J318="odešel"),IF(N318="","N",IF($F318="žena",CHOOSE(_xlfn.ARABIC($H318),MATCH(N318+1,'[1]Normy VP'!$K$25:$N$25,-1),MATCH(N318+1,'[1]Normy VP'!$K$26:$N$26,-1),MATCH(N318+1,'[1]Normy VP'!$K$27:$N$27,-1),MATCH(N318+1,'[1]Normy VP'!$K$28:$N$28,-1),MATCH(N318+1,'[1]Normy VP'!$K$29:$N$29,-1),MATCH(N318+1,'[1]Normy VP'!$K$30:$N$30,-1)),CHOOSE(_xlfn.ARABIC($H318),MATCH(N318+1,'[1]Normy VP'!$O$10:$R$10,-1),MATCH(N318+1,'[1]Normy VP'!$O$11:$R$11,-1),MATCH(N318+1,'[1]Normy VP'!$O$12:$R$12,-1),MATCH(N318+1,'[1]Normy VP'!$O$13:$R$13,-1),MATCH(N318+1,'[1]Normy VP'!$O$14:$R$14,-1),MATCH(N318+1,'[1]Normy VP'!$O$15:$R$15,-1)))),"O")</f>
        <v>N</v>
      </c>
      <c r="V318" s="26" t="str">
        <f>IF(OR($J318="",$J318="odešel"),IF(O318="","N",IF($F318="žena",CHOOSE(_xlfn.ARABIC($H318),MATCH(O318-1,'[1]Normy VP'!$O$25:$R$25),MATCH(O318-1,'[1]Normy VP'!$O$26:$R$26),MATCH(O318-1,'[1]Normy VP'!$O$27:$R$27),MATCH(O318-1,'[1]Normy VP'!$O$28:$R$28),MATCH(O318-1,'[1]Normy VP'!$O$29:$R$29),MATCH(O318-1,'[1]Normy VP'!$O$30:$R$30)),CHOOSE(_xlfn.ARABIC($H318),MATCH(O318-1,'[1]Normy VP'!$S$10:$V$10),MATCH(O318-1,'[1]Normy VP'!$S$11:$V$11),MATCH(O318-1,'[1]Normy VP'!$S$12:$V$12),MATCH(O318-1,'[1]Normy VP'!$S$13:$V$13),MATCH(O318-1,'[1]Normy VP'!$S$14:$V$14),MATCH(O318-1,'[1]Normy VP'!$S$15:$V$15)))),"O")</f>
        <v>N</v>
      </c>
      <c r="W318" s="34" t="str">
        <f t="shared" si="19"/>
        <v>N</v>
      </c>
      <c r="X318" s="27" t="str">
        <f>IF(COUNTIF(B318:G318,"")&gt;0,"",IF(COUNTIF([1]PP!$A:$A,A318)=0,"neni v PP",IF(OR(Y318="odešel",VLOOKUP(A318,[1]PP!$A:$W,22,FALSE)="odešel"),"odešel",IF(OR(Y318="N",VLOOKUP(A318,[1]PP!$A:$W,22,FALSE)="N"),"N",IF(OR(Y318="C",VLOOKUP(A318,[1]PP!$A:$W,22,FALSE)="C"),"C",IF(OR(Y318="DZO",VLOOKUP(A318,[1]PP!$A:$W,22,FALSE)="DZO"),"DZO",IF(OR(Y318="mise",Y318="disp.",Y318="končí",Y318="DSC",VLOOKUP(A318,[1]PP!$A:$W,22,FALSE)="mise",VLOOKUP(A318,[1]PP!$A:$W,22,FALSE)="disp.",VLOOKUP(A318,[1]PP!$A:$W,22,FALSE)="končí",VLOOKUP(A318,[1]PP!$A:$W,22,FALSE)="DSC"),"jiné",IF(OR(Y318=4,VLOOKUP(A318,[1]PP!$A:$W,22,FALSE)=4),4,IF(OR(Y318=3,VLOOKUP(A318,[1]PP!$A:$W,22,FALSE)=3),3,IF(OR(Y318=2,VLOOKUP(A318,[1]PP!$A:$W,22,FALSE)=2),2,IF(AND(Y318=1,VLOOKUP(A318,[1]PP!$A:$W,22,FALSE)=1),1)))))))))))</f>
        <v/>
      </c>
      <c r="Y318" s="28" t="str">
        <f>IF(COUNTIF(B318:G318,"")&gt;0,"",IF(COUNTIF([1]PP!$A:$A,A318)=0,"neni v PP",IF(VLOOKUP(A318,[1]PP!$A:$W,8,FALSE)="odešel","odešel",IF(F318="","",IF(J318="",IF(OR(T318=4,W318=4),4,IF(AND(T318="N",W318="N"),"N",IF(OR(T318="N",W318="N"),4,ROUND(AVERAGE(T318,W318),0)))),J318)))))</f>
        <v/>
      </c>
      <c r="Z318" s="29"/>
      <c r="AA318" s="30"/>
    </row>
    <row r="319" spans="1:27" ht="16" x14ac:dyDescent="0.35">
      <c r="A319" s="14" t="str">
        <f t="shared" si="16"/>
        <v xml:space="preserve">  </v>
      </c>
      <c r="B319" s="15"/>
      <c r="C319" s="31"/>
      <c r="D319" s="31"/>
      <c r="E319" s="17"/>
      <c r="F319" s="18"/>
      <c r="G319" s="32"/>
      <c r="H319" s="33" t="str">
        <f>IF(G319="","",IF(F319="žena",ROMAN(MATCH(G319+1,'[1]Normy VP'!$Y$27:$Y$33,-1)),ROMAN(MATCH(G319+1,'[1]Normy VP'!$Y$19:$Y$25,-1))))</f>
        <v/>
      </c>
      <c r="I319" s="21"/>
      <c r="J319" s="22"/>
      <c r="K319" s="23"/>
      <c r="L319" s="23"/>
      <c r="M319" s="23"/>
      <c r="N319" s="22"/>
      <c r="O319" s="22"/>
      <c r="P319" s="24" t="str">
        <f>IF(OR($J319="",$J319="odešel"),IF(K319="","",IF($F319="žena",CHOOSE(_xlfn.ARABIC($H319),MATCH(K319+1,'[1]Normy VP'!$C$25:$F$25,-1),MATCH(K319+1,'[1]Normy VP'!$C$26:$F$26,-1),MATCH(K319+1,'[1]Normy VP'!$C$27:$F$27,-1),MATCH(K319+1,'[1]Normy VP'!$C$28:$F$28,-1),MATCH(K319+1,'[1]Normy VP'!$C$29:$F$29,-1),"muž"),CHOOSE(_xlfn.ARABIC($H319),MATCH(K319+1,'[1]Normy VP'!$C$10:$F$10,-1),MATCH(K319+1,'[1]Normy VP'!$C$11:$F$11,-1),MATCH(K319+1,'[1]Normy VP'!$C$12:$F$12,-1),MATCH(K319+1,'[1]Normy VP'!$C$13:$F$13,-1),MATCH(K319+1,'[1]Normy VP'!$C$14:$F$14,-1),""))),"O")</f>
        <v/>
      </c>
      <c r="Q319" s="24" t="str">
        <f>IF(OR($J319="",$J319="odešel"),IF($F319="žena","",IF(L319="","",(CHOOSE(_xlfn.ARABIC($H319),MATCH(L319+1,'[1]Normy VP'!$G$10:$J$10,-1),MATCH(L319+1,'[1]Normy VP'!$G$11:$J$11,-1),MATCH(L319+1,'[1]Normy VP'!$G$12:$J$12,-1),MATCH(L319+1,'[1]Normy VP'!$G$13:$J$13,-1),MATCH(L319+1,'[1]Normy VP'!$G$14:$J$14,-1),"")))),"O")</f>
        <v/>
      </c>
      <c r="R319" s="34" t="str">
        <f t="shared" si="17"/>
        <v>N</v>
      </c>
      <c r="S319" s="24" t="str">
        <f>IF(OR($J319="",$J319="odešel"),IF(M319="","N",IF($F319="žena",CHOOSE(_xlfn.ARABIC($H319),MATCH(M319+1,'[1]Normy VP'!$G$25:$J$25,-1),MATCH(M319+1,'[1]Normy VP'!$G$26:$J$26,-1),MATCH(M319+1,'[1]Normy VP'!$G$27:$J$27,-1),MATCH(M319+1,'[1]Normy VP'!$G$28:$J$28,-1),MATCH(M319+1,'[1]Normy VP'!$G$29:$J$29,-1),"muž"),(CHOOSE(_xlfn.ARABIC($H319),MATCH(M319+1,'[1]Normy VP'!$K$10:$N$10,-1),MATCH(M319+1,'[1]Normy VP'!$K$11:$N$11,-1),MATCH(M319+1,'[1]Normy VP'!$K$12:$N$12,-1),MATCH(M319+1,'[1]Normy VP'!$K$13:$N$13,-1),MATCH(M319+1,'[1]Normy VP'!$K$14:$N$14,-1),"")))),"O")</f>
        <v>N</v>
      </c>
      <c r="T319" s="34" t="str">
        <f t="shared" si="18"/>
        <v>N</v>
      </c>
      <c r="U319" s="24" t="str">
        <f>IF(OR($J319="",$J319="odešel"),IF(N319="","N",IF($F319="žena",CHOOSE(_xlfn.ARABIC($H319),MATCH(N319+1,'[1]Normy VP'!$K$25:$N$25,-1),MATCH(N319+1,'[1]Normy VP'!$K$26:$N$26,-1),MATCH(N319+1,'[1]Normy VP'!$K$27:$N$27,-1),MATCH(N319+1,'[1]Normy VP'!$K$28:$N$28,-1),MATCH(N319+1,'[1]Normy VP'!$K$29:$N$29,-1),MATCH(N319+1,'[1]Normy VP'!$K$30:$N$30,-1)),CHOOSE(_xlfn.ARABIC($H319),MATCH(N319+1,'[1]Normy VP'!$O$10:$R$10,-1),MATCH(N319+1,'[1]Normy VP'!$O$11:$R$11,-1),MATCH(N319+1,'[1]Normy VP'!$O$12:$R$12,-1),MATCH(N319+1,'[1]Normy VP'!$O$13:$R$13,-1),MATCH(N319+1,'[1]Normy VP'!$O$14:$R$14,-1),MATCH(N319+1,'[1]Normy VP'!$O$15:$R$15,-1)))),"O")</f>
        <v>N</v>
      </c>
      <c r="V319" s="26" t="str">
        <f>IF(OR($J319="",$J319="odešel"),IF(O319="","N",IF($F319="žena",CHOOSE(_xlfn.ARABIC($H319),MATCH(O319-1,'[1]Normy VP'!$O$25:$R$25),MATCH(O319-1,'[1]Normy VP'!$O$26:$R$26),MATCH(O319-1,'[1]Normy VP'!$O$27:$R$27),MATCH(O319-1,'[1]Normy VP'!$O$28:$R$28),MATCH(O319-1,'[1]Normy VP'!$O$29:$R$29),MATCH(O319-1,'[1]Normy VP'!$O$30:$R$30)),CHOOSE(_xlfn.ARABIC($H319),MATCH(O319-1,'[1]Normy VP'!$S$10:$V$10),MATCH(O319-1,'[1]Normy VP'!$S$11:$V$11),MATCH(O319-1,'[1]Normy VP'!$S$12:$V$12),MATCH(O319-1,'[1]Normy VP'!$S$13:$V$13),MATCH(O319-1,'[1]Normy VP'!$S$14:$V$14),MATCH(O319-1,'[1]Normy VP'!$S$15:$V$15)))),"O")</f>
        <v>N</v>
      </c>
      <c r="W319" s="34" t="str">
        <f t="shared" si="19"/>
        <v>N</v>
      </c>
      <c r="X319" s="27" t="str">
        <f>IF(COUNTIF(B319:G319,"")&gt;0,"",IF(COUNTIF([1]PP!$A:$A,A319)=0,"neni v PP",IF(OR(Y319="odešel",VLOOKUP(A319,[1]PP!$A:$W,22,FALSE)="odešel"),"odešel",IF(OR(Y319="N",VLOOKUP(A319,[1]PP!$A:$W,22,FALSE)="N"),"N",IF(OR(Y319="C",VLOOKUP(A319,[1]PP!$A:$W,22,FALSE)="C"),"C",IF(OR(Y319="DZO",VLOOKUP(A319,[1]PP!$A:$W,22,FALSE)="DZO"),"DZO",IF(OR(Y319="mise",Y319="disp.",Y319="končí",Y319="DSC",VLOOKUP(A319,[1]PP!$A:$W,22,FALSE)="mise",VLOOKUP(A319,[1]PP!$A:$W,22,FALSE)="disp.",VLOOKUP(A319,[1]PP!$A:$W,22,FALSE)="končí",VLOOKUP(A319,[1]PP!$A:$W,22,FALSE)="DSC"),"jiné",IF(OR(Y319=4,VLOOKUP(A319,[1]PP!$A:$W,22,FALSE)=4),4,IF(OR(Y319=3,VLOOKUP(A319,[1]PP!$A:$W,22,FALSE)=3),3,IF(OR(Y319=2,VLOOKUP(A319,[1]PP!$A:$W,22,FALSE)=2),2,IF(AND(Y319=1,VLOOKUP(A319,[1]PP!$A:$W,22,FALSE)=1),1)))))))))))</f>
        <v/>
      </c>
      <c r="Y319" s="28" t="str">
        <f>IF(COUNTIF(B319:G319,"")&gt;0,"",IF(COUNTIF([1]PP!$A:$A,A319)=0,"neni v PP",IF(VLOOKUP(A319,[1]PP!$A:$W,8,FALSE)="odešel","odešel",IF(F319="","",IF(J319="",IF(OR(T319=4,W319=4),4,IF(AND(T319="N",W319="N"),"N",IF(OR(T319="N",W319="N"),4,ROUND(AVERAGE(T319,W319),0)))),J319)))))</f>
        <v/>
      </c>
      <c r="Z319" s="29" t="str">
        <f>IF(COUNTIF(B319:G319,"")=0,IF(X319="neni v PP",CONCATENATE("ID: &lt;",A319,"&gt; se neshoduje s žádným IDem v kartě PP"),IF(COUNTIF($A:$A,A319)&gt;1,CONCATENATE("ID: &lt;",A319,"&gt; se v kartě VP opakuje. Je nutné tyto IDy od sebe odlišit, např. mezerou za příjmením."),IF(COUNTIF([1]PP!A:A,A319)&gt;1,CONCATENATE("ID: &lt;",A319,"&gt; se v kartě PP opakuje. Je nutné tyto IDy od sebe odlišit, např. mezerou za příjmením."),IF(VLOOKUP(A319,[1]PP!$A:$W,5,FALSE)&lt;&gt;E319,CONCATENATE($E$4," &lt;",E319,"&gt; se neshoduje s jednotkou v kartě PP"," &lt;",VLOOKUP(A319,[1]PP!$A:$W,5,FALSE),"&gt;"),IF(AND(COUNTIF(K319:O319,"")&lt;5,J319="",I319=""),CONCATENATE("Doplň: ",$I$4),IF(AND(YEAR(I319)&lt;&gt;$E$2,COUNTIF(I319,"")=0),CONCATENATE("špatně uveden &lt;",$D$2,"&gt; nebo &lt;",$I$4,"&gt;"),IF(OR(AND(OR(COUNTIF(C319,"*a"),COUNTIF(C319,"*ie"),COUNTIF(C319,"*ine"),COUNTIF(D319,"*Á")),F319="muž"),AND(AND(COUNTIF(C319,"&lt;&gt;"&amp;"*a"),COUNTIF(C319,"&lt;&gt;"&amp;"*ie"),COUNTIF(C319,"&lt;&gt;"&amp;"*ine"),COUNTIF(D319,"&lt;&gt;"&amp;"*Á")),F319="žena")),CONCATENATE(C319," ",D319," je ",F319,"?"),""))))))),IF(COUNTIF(B319:O319,"")=14,"",CONCATENATE("Doplň: ",IF(B319="",CONCATENATE($B$4,IF(COUNTIF(C319:G319,"")=0,"",", ")),""),IF(C319="",CONCATENATE($C$4,IF(COUNTIF(D319:G319,"")=0,"",", ")),""),IF(D319="",CONCATENATE($D$4,IF(COUNTIF(E319:G319,"")=0,"",", ")),""),IF(E319="",CONCATENATE($E$4,IF(COUNTIF(F319:G319,"")=0,"",", ")),""),IF(F319="",CONCATENATE($F$4,IF(G319="",", ","")),""),IF(G319="",$G$4,""))))</f>
        <v/>
      </c>
      <c r="AA319" s="30"/>
    </row>
    <row r="320" spans="1:27" ht="16" x14ac:dyDescent="0.35">
      <c r="A320" s="14" t="str">
        <f t="shared" si="16"/>
        <v xml:space="preserve">  </v>
      </c>
      <c r="B320" s="15"/>
      <c r="C320" s="31"/>
      <c r="D320" s="31"/>
      <c r="E320" s="17"/>
      <c r="F320" s="18"/>
      <c r="G320" s="32"/>
      <c r="H320" s="33" t="str">
        <f>IF(G320="","",IF(F320="žena",ROMAN(MATCH(G320+1,'[1]Normy VP'!$Y$27:$Y$33,-1)),ROMAN(MATCH(G320+1,'[1]Normy VP'!$Y$19:$Y$25,-1))))</f>
        <v/>
      </c>
      <c r="I320" s="21"/>
      <c r="J320" s="22"/>
      <c r="K320" s="23"/>
      <c r="L320" s="23"/>
      <c r="M320" s="23"/>
      <c r="N320" s="22"/>
      <c r="O320" s="22"/>
      <c r="P320" s="24" t="str">
        <f>IF(OR($J320="",$J320="odešel"),IF(K320="","",IF($F320="žena",CHOOSE(_xlfn.ARABIC($H320),MATCH(K320+1,'[1]Normy VP'!$C$25:$F$25,-1),MATCH(K320+1,'[1]Normy VP'!$C$26:$F$26,-1),MATCH(K320+1,'[1]Normy VP'!$C$27:$F$27,-1),MATCH(K320+1,'[1]Normy VP'!$C$28:$F$28,-1),MATCH(K320+1,'[1]Normy VP'!$C$29:$F$29,-1),"muž"),CHOOSE(_xlfn.ARABIC($H320),MATCH(K320+1,'[1]Normy VP'!$C$10:$F$10,-1),MATCH(K320+1,'[1]Normy VP'!$C$11:$F$11,-1),MATCH(K320+1,'[1]Normy VP'!$C$12:$F$12,-1),MATCH(K320+1,'[1]Normy VP'!$C$13:$F$13,-1),MATCH(K320+1,'[1]Normy VP'!$C$14:$F$14,-1),""))),"O")</f>
        <v/>
      </c>
      <c r="Q320" s="24" t="str">
        <f>IF(OR($J320="",$J320="odešel"),IF($F320="žena","",IF(L320="","",(CHOOSE(_xlfn.ARABIC($H320),MATCH(L320+1,'[1]Normy VP'!$G$10:$J$10,-1),MATCH(L320+1,'[1]Normy VP'!$G$11:$J$11,-1),MATCH(L320+1,'[1]Normy VP'!$G$12:$J$12,-1),MATCH(L320+1,'[1]Normy VP'!$G$13:$J$13,-1),MATCH(L320+1,'[1]Normy VP'!$G$14:$J$14,-1),"")))),"O")</f>
        <v/>
      </c>
      <c r="R320" s="34" t="str">
        <f t="shared" si="17"/>
        <v>N</v>
      </c>
      <c r="S320" s="24" t="str">
        <f>IF(OR($J320="",$J320="odešel"),IF(M320="","N",IF($F320="žena",CHOOSE(_xlfn.ARABIC($H320),MATCH(M320+1,'[1]Normy VP'!$G$25:$J$25,-1),MATCH(M320+1,'[1]Normy VP'!$G$26:$J$26,-1),MATCH(M320+1,'[1]Normy VP'!$G$27:$J$27,-1),MATCH(M320+1,'[1]Normy VP'!$G$28:$J$28,-1),MATCH(M320+1,'[1]Normy VP'!$G$29:$J$29,-1),"muž"),(CHOOSE(_xlfn.ARABIC($H320),MATCH(M320+1,'[1]Normy VP'!$K$10:$N$10,-1),MATCH(M320+1,'[1]Normy VP'!$K$11:$N$11,-1),MATCH(M320+1,'[1]Normy VP'!$K$12:$N$12,-1),MATCH(M320+1,'[1]Normy VP'!$K$13:$N$13,-1),MATCH(M320+1,'[1]Normy VP'!$K$14:$N$14,-1),"")))),"O")</f>
        <v>N</v>
      </c>
      <c r="T320" s="34" t="str">
        <f t="shared" si="18"/>
        <v>N</v>
      </c>
      <c r="U320" s="24" t="str">
        <f>IF(OR($J320="",$J320="odešel"),IF(N320="","N",IF($F320="žena",CHOOSE(_xlfn.ARABIC($H320),MATCH(N320+1,'[1]Normy VP'!$K$25:$N$25,-1),MATCH(N320+1,'[1]Normy VP'!$K$26:$N$26,-1),MATCH(N320+1,'[1]Normy VP'!$K$27:$N$27,-1),MATCH(N320+1,'[1]Normy VP'!$K$28:$N$28,-1),MATCH(N320+1,'[1]Normy VP'!$K$29:$N$29,-1),MATCH(N320+1,'[1]Normy VP'!$K$30:$N$30,-1)),CHOOSE(_xlfn.ARABIC($H320),MATCH(N320+1,'[1]Normy VP'!$O$10:$R$10,-1),MATCH(N320+1,'[1]Normy VP'!$O$11:$R$11,-1),MATCH(N320+1,'[1]Normy VP'!$O$12:$R$12,-1),MATCH(N320+1,'[1]Normy VP'!$O$13:$R$13,-1),MATCH(N320+1,'[1]Normy VP'!$O$14:$R$14,-1),MATCH(N320+1,'[1]Normy VP'!$O$15:$R$15,-1)))),"O")</f>
        <v>N</v>
      </c>
      <c r="V320" s="26" t="str">
        <f>IF(OR($J320="",$J320="odešel"),IF(O320="","N",IF($F320="žena",CHOOSE(_xlfn.ARABIC($H320),MATCH(O320-1,'[1]Normy VP'!$O$25:$R$25),MATCH(O320-1,'[1]Normy VP'!$O$26:$R$26),MATCH(O320-1,'[1]Normy VP'!$O$27:$R$27),MATCH(O320-1,'[1]Normy VP'!$O$28:$R$28),MATCH(O320-1,'[1]Normy VP'!$O$29:$R$29),MATCH(O320-1,'[1]Normy VP'!$O$30:$R$30)),CHOOSE(_xlfn.ARABIC($H320),MATCH(O320-1,'[1]Normy VP'!$S$10:$V$10),MATCH(O320-1,'[1]Normy VP'!$S$11:$V$11),MATCH(O320-1,'[1]Normy VP'!$S$12:$V$12),MATCH(O320-1,'[1]Normy VP'!$S$13:$V$13),MATCH(O320-1,'[1]Normy VP'!$S$14:$V$14),MATCH(O320-1,'[1]Normy VP'!$S$15:$V$15)))),"O")</f>
        <v>N</v>
      </c>
      <c r="W320" s="34" t="str">
        <f t="shared" si="19"/>
        <v>N</v>
      </c>
      <c r="X320" s="27" t="str">
        <f>IF(COUNTIF(B320:G320,"")&gt;0,"",IF(COUNTIF([1]PP!$A:$A,A320)=0,"neni v PP",IF(OR(Y320="odešel",VLOOKUP(A320,[1]PP!$A:$W,22,FALSE)="odešel"),"odešel",IF(OR(Y320="N",VLOOKUP(A320,[1]PP!$A:$W,22,FALSE)="N"),"N",IF(OR(Y320="C",VLOOKUP(A320,[1]PP!$A:$W,22,FALSE)="C"),"C",IF(OR(Y320="DZO",VLOOKUP(A320,[1]PP!$A:$W,22,FALSE)="DZO"),"DZO",IF(OR(Y320="mise",Y320="disp.",Y320="končí",Y320="DSC",VLOOKUP(A320,[1]PP!$A:$W,22,FALSE)="mise",VLOOKUP(A320,[1]PP!$A:$W,22,FALSE)="disp.",VLOOKUP(A320,[1]PP!$A:$W,22,FALSE)="končí",VLOOKUP(A320,[1]PP!$A:$W,22,FALSE)="DSC"),"jiné",IF(OR(Y320=4,VLOOKUP(A320,[1]PP!$A:$W,22,FALSE)=4),4,IF(OR(Y320=3,VLOOKUP(A320,[1]PP!$A:$W,22,FALSE)=3),3,IF(OR(Y320=2,VLOOKUP(A320,[1]PP!$A:$W,22,FALSE)=2),2,IF(AND(Y320=1,VLOOKUP(A320,[1]PP!$A:$W,22,FALSE)=1),1)))))))))))</f>
        <v/>
      </c>
      <c r="Y320" s="28" t="str">
        <f>IF(COUNTIF(B320:G320,"")&gt;0,"",IF(COUNTIF([1]PP!$A:$A,A320)=0,"neni v PP",IF(VLOOKUP(A320,[1]PP!$A:$W,8,FALSE)="odešel","odešel",IF(F320="","",IF(J320="",IF(OR(T320=4,W320=4),4,IF(AND(T320="N",W320="N"),"N",IF(OR(T320="N",W320="N"),4,ROUND(AVERAGE(T320,W320),0)))),J320)))))</f>
        <v/>
      </c>
      <c r="Z320" s="29" t="str">
        <f>IF(COUNTIF(B320:G320,"")=0,IF(X320="neni v PP",CONCATENATE("ID: &lt;",A320,"&gt; se neshoduje s žádným IDem v kartě PP"),IF(COUNTIF($A:$A,A320)&gt;1,CONCATENATE("ID: &lt;",A320,"&gt; se v kartě VP opakuje. Je nutné tyto IDy od sebe odlišit, např. mezerou za příjmením."),IF(COUNTIF([1]PP!A:A,A320)&gt;1,CONCATENATE("ID: &lt;",A320,"&gt; se v kartě PP opakuje. Je nutné tyto IDy od sebe odlišit, např. mezerou za příjmením."),IF(VLOOKUP(A320,[1]PP!$A:$W,5,FALSE)&lt;&gt;E320,CONCATENATE($E$4," &lt;",E320,"&gt; se neshoduje s jednotkou v kartě PP"," &lt;",VLOOKUP(A320,[1]PP!$A:$W,5,FALSE),"&gt;"),IF(AND(COUNTIF(K320:O320,"")&lt;5,J320="",I320=""),CONCATENATE("Doplň: ",$I$4),IF(AND(YEAR(I320)&lt;&gt;$E$2,COUNTIF(I320,"")=0),CONCATENATE("špatně uveden &lt;",$D$2,"&gt; nebo &lt;",$I$4,"&gt;"),IF(OR(AND(OR(COUNTIF(C320,"*a"),COUNTIF(C320,"*ie"),COUNTIF(C320,"*ine"),COUNTIF(D320,"*Á")),F320="muž"),AND(AND(COUNTIF(C320,"&lt;&gt;"&amp;"*a"),COUNTIF(C320,"&lt;&gt;"&amp;"*ie"),COUNTIF(C320,"&lt;&gt;"&amp;"*ine"),COUNTIF(D320,"&lt;&gt;"&amp;"*Á")),F320="žena")),CONCATENATE(C320," ",D320," je ",F320,"?"),""))))))),IF(COUNTIF(B320:O320,"")=14,"",CONCATENATE("Doplň: ",IF(B320="",CONCATENATE($B$4,IF(COUNTIF(C320:G320,"")=0,"",", ")),""),IF(C320="",CONCATENATE($C$4,IF(COUNTIF(D320:G320,"")=0,"",", ")),""),IF(D320="",CONCATENATE($D$4,IF(COUNTIF(E320:G320,"")=0,"",", ")),""),IF(E320="",CONCATENATE($E$4,IF(COUNTIF(F320:G320,"")=0,"",", ")),""),IF(F320="",CONCATENATE($F$4,IF(G320="",", ","")),""),IF(G320="",$G$4,""))))</f>
        <v/>
      </c>
      <c r="AA320" s="30"/>
    </row>
    <row r="321" spans="1:27" ht="16" x14ac:dyDescent="0.35">
      <c r="A321" s="14" t="str">
        <f t="shared" si="16"/>
        <v xml:space="preserve">  </v>
      </c>
      <c r="B321" s="15"/>
      <c r="C321" s="31"/>
      <c r="D321" s="31"/>
      <c r="E321" s="17"/>
      <c r="F321" s="18"/>
      <c r="G321" s="32"/>
      <c r="H321" s="33" t="str">
        <f>IF(G321="","",IF(F321="žena",ROMAN(MATCH(G321+1,'[1]Normy VP'!$Y$27:$Y$33,-1)),ROMAN(MATCH(G321+1,'[1]Normy VP'!$Y$19:$Y$25,-1))))</f>
        <v/>
      </c>
      <c r="I321" s="21"/>
      <c r="J321" s="22"/>
      <c r="K321" s="23"/>
      <c r="L321" s="23"/>
      <c r="M321" s="23"/>
      <c r="N321" s="22"/>
      <c r="O321" s="22"/>
      <c r="P321" s="24" t="str">
        <f>IF(OR($J321="",$J321="odešel"),IF(K321="","",IF($F321="žena",CHOOSE(_xlfn.ARABIC($H321),MATCH(K321+1,'[1]Normy VP'!$C$25:$F$25,-1),MATCH(K321+1,'[1]Normy VP'!$C$26:$F$26,-1),MATCH(K321+1,'[1]Normy VP'!$C$27:$F$27,-1),MATCH(K321+1,'[1]Normy VP'!$C$28:$F$28,-1),MATCH(K321+1,'[1]Normy VP'!$C$29:$F$29,-1),"muž"),CHOOSE(_xlfn.ARABIC($H321),MATCH(K321+1,'[1]Normy VP'!$C$10:$F$10,-1),MATCH(K321+1,'[1]Normy VP'!$C$11:$F$11,-1),MATCH(K321+1,'[1]Normy VP'!$C$12:$F$12,-1),MATCH(K321+1,'[1]Normy VP'!$C$13:$F$13,-1),MATCH(K321+1,'[1]Normy VP'!$C$14:$F$14,-1),""))),"O")</f>
        <v/>
      </c>
      <c r="Q321" s="24" t="str">
        <f>IF(OR($J321="",$J321="odešel"),IF($F321="žena","",IF(L321="","",(CHOOSE(_xlfn.ARABIC($H321),MATCH(L321+1,'[1]Normy VP'!$G$10:$J$10,-1),MATCH(L321+1,'[1]Normy VP'!$G$11:$J$11,-1),MATCH(L321+1,'[1]Normy VP'!$G$12:$J$12,-1),MATCH(L321+1,'[1]Normy VP'!$G$13:$J$13,-1),MATCH(L321+1,'[1]Normy VP'!$G$14:$J$14,-1),"")))),"O")</f>
        <v/>
      </c>
      <c r="R321" s="34" t="str">
        <f t="shared" si="17"/>
        <v>N</v>
      </c>
      <c r="S321" s="24" t="str">
        <f>IF(OR($J321="",$J321="odešel"),IF(M321="","N",IF($F321="žena",CHOOSE(_xlfn.ARABIC($H321),MATCH(M321+1,'[1]Normy VP'!$G$25:$J$25,-1),MATCH(M321+1,'[1]Normy VP'!$G$26:$J$26,-1),MATCH(M321+1,'[1]Normy VP'!$G$27:$J$27,-1),MATCH(M321+1,'[1]Normy VP'!$G$28:$J$28,-1),MATCH(M321+1,'[1]Normy VP'!$G$29:$J$29,-1),"muž"),(CHOOSE(_xlfn.ARABIC($H321),MATCH(M321+1,'[1]Normy VP'!$K$10:$N$10,-1),MATCH(M321+1,'[1]Normy VP'!$K$11:$N$11,-1),MATCH(M321+1,'[1]Normy VP'!$K$12:$N$12,-1),MATCH(M321+1,'[1]Normy VP'!$K$13:$N$13,-1),MATCH(M321+1,'[1]Normy VP'!$K$14:$N$14,-1),"")))),"O")</f>
        <v>N</v>
      </c>
      <c r="T321" s="34" t="str">
        <f t="shared" si="18"/>
        <v>N</v>
      </c>
      <c r="U321" s="24" t="str">
        <f>IF(OR($J321="",$J321="odešel"),IF(N321="","N",IF($F321="žena",CHOOSE(_xlfn.ARABIC($H321),MATCH(N321+1,'[1]Normy VP'!$K$25:$N$25,-1),MATCH(N321+1,'[1]Normy VP'!$K$26:$N$26,-1),MATCH(N321+1,'[1]Normy VP'!$K$27:$N$27,-1),MATCH(N321+1,'[1]Normy VP'!$K$28:$N$28,-1),MATCH(N321+1,'[1]Normy VP'!$K$29:$N$29,-1),MATCH(N321+1,'[1]Normy VP'!$K$30:$N$30,-1)),CHOOSE(_xlfn.ARABIC($H321),MATCH(N321+1,'[1]Normy VP'!$O$10:$R$10,-1),MATCH(N321+1,'[1]Normy VP'!$O$11:$R$11,-1),MATCH(N321+1,'[1]Normy VP'!$O$12:$R$12,-1),MATCH(N321+1,'[1]Normy VP'!$O$13:$R$13,-1),MATCH(N321+1,'[1]Normy VP'!$O$14:$R$14,-1),MATCH(N321+1,'[1]Normy VP'!$O$15:$R$15,-1)))),"O")</f>
        <v>N</v>
      </c>
      <c r="V321" s="26" t="str">
        <f>IF(OR($J321="",$J321="odešel"),IF(O321="","N",IF($F321="žena",CHOOSE(_xlfn.ARABIC($H321),MATCH(O321-1,'[1]Normy VP'!$O$25:$R$25),MATCH(O321-1,'[1]Normy VP'!$O$26:$R$26),MATCH(O321-1,'[1]Normy VP'!$O$27:$R$27),MATCH(O321-1,'[1]Normy VP'!$O$28:$R$28),MATCH(O321-1,'[1]Normy VP'!$O$29:$R$29),MATCH(O321-1,'[1]Normy VP'!$O$30:$R$30)),CHOOSE(_xlfn.ARABIC($H321),MATCH(O321-1,'[1]Normy VP'!$S$10:$V$10),MATCH(O321-1,'[1]Normy VP'!$S$11:$V$11),MATCH(O321-1,'[1]Normy VP'!$S$12:$V$12),MATCH(O321-1,'[1]Normy VP'!$S$13:$V$13),MATCH(O321-1,'[1]Normy VP'!$S$14:$V$14),MATCH(O321-1,'[1]Normy VP'!$S$15:$V$15)))),"O")</f>
        <v>N</v>
      </c>
      <c r="W321" s="34" t="str">
        <f t="shared" si="19"/>
        <v>N</v>
      </c>
      <c r="X321" s="27" t="str">
        <f>IF(COUNTIF(B321:G321,"")&gt;0,"",IF(COUNTIF([1]PP!$A:$A,A321)=0,"neni v PP",IF(OR(Y321="odešel",VLOOKUP(A321,[1]PP!$A:$W,22,FALSE)="odešel"),"odešel",IF(OR(Y321="N",VLOOKUP(A321,[1]PP!$A:$W,22,FALSE)="N"),"N",IF(OR(Y321="C",VLOOKUP(A321,[1]PP!$A:$W,22,FALSE)="C"),"C",IF(OR(Y321="DZO",VLOOKUP(A321,[1]PP!$A:$W,22,FALSE)="DZO"),"DZO",IF(OR(Y321="mise",Y321="disp.",Y321="končí",Y321="DSC",VLOOKUP(A321,[1]PP!$A:$W,22,FALSE)="mise",VLOOKUP(A321,[1]PP!$A:$W,22,FALSE)="disp.",VLOOKUP(A321,[1]PP!$A:$W,22,FALSE)="končí",VLOOKUP(A321,[1]PP!$A:$W,22,FALSE)="DSC"),"jiné",IF(OR(Y321=4,VLOOKUP(A321,[1]PP!$A:$W,22,FALSE)=4),4,IF(OR(Y321=3,VLOOKUP(A321,[1]PP!$A:$W,22,FALSE)=3),3,IF(OR(Y321=2,VLOOKUP(A321,[1]PP!$A:$W,22,FALSE)=2),2,IF(AND(Y321=1,VLOOKUP(A321,[1]PP!$A:$W,22,FALSE)=1),1)))))))))))</f>
        <v/>
      </c>
      <c r="Y321" s="28" t="str">
        <f>IF(COUNTIF(B321:G321,"")&gt;0,"",IF(COUNTIF([1]PP!$A:$A,A321)=0,"neni v PP",IF(VLOOKUP(A321,[1]PP!$A:$W,8,FALSE)="odešel","odešel",IF(F321="","",IF(J321="",IF(OR(T321=4,W321=4),4,IF(AND(T321="N",W321="N"),"N",IF(OR(T321="N",W321="N"),4,ROUND(AVERAGE(T321,W321),0)))),J321)))))</f>
        <v/>
      </c>
      <c r="Z321" s="29" t="str">
        <f>IF(COUNTIF(B321:G321,"")=0,IF(X321="neni v PP",CONCATENATE("ID: &lt;",A321,"&gt; se neshoduje s žádným IDem v kartě PP"),IF(COUNTIF($A:$A,A321)&gt;1,CONCATENATE("ID: &lt;",A321,"&gt; se v kartě VP opakuje. Je nutné tyto IDy od sebe odlišit, např. mezerou za příjmením."),IF(COUNTIF([1]PP!A:A,A321)&gt;1,CONCATENATE("ID: &lt;",A321,"&gt; se v kartě PP opakuje. Je nutné tyto IDy od sebe odlišit, např. mezerou za příjmením."),IF(VLOOKUP(A321,[1]PP!$A:$W,5,FALSE)&lt;&gt;E321,CONCATENATE($E$4," &lt;",E321,"&gt; se neshoduje s jednotkou v kartě PP"," &lt;",VLOOKUP(A321,[1]PP!$A:$W,5,FALSE),"&gt;"),IF(AND(COUNTIF(K321:O321,"")&lt;5,J321="",I321=""),CONCATENATE("Doplň: ",$I$4),IF(AND(YEAR(I321)&lt;&gt;$E$2,COUNTIF(I321,"")=0),CONCATENATE("špatně uveden &lt;",$D$2,"&gt; nebo &lt;",$I$4,"&gt;"),IF(OR(AND(OR(COUNTIF(C321,"*a"),COUNTIF(C321,"*ie"),COUNTIF(C321,"*ine"),COUNTIF(D321,"*Á")),F321="muž"),AND(AND(COUNTIF(C321,"&lt;&gt;"&amp;"*a"),COUNTIF(C321,"&lt;&gt;"&amp;"*ie"),COUNTIF(C321,"&lt;&gt;"&amp;"*ine"),COUNTIF(D321,"&lt;&gt;"&amp;"*Á")),F321="žena")),CONCATENATE(C321," ",D321," je ",F321,"?"),""))))))),IF(COUNTIF(B321:O321,"")=14,"",CONCATENATE("Doplň: ",IF(B321="",CONCATENATE($B$4,IF(COUNTIF(C321:G321,"")=0,"",", ")),""),IF(C321="",CONCATENATE($C$4,IF(COUNTIF(D321:G321,"")=0,"",", ")),""),IF(D321="",CONCATENATE($D$4,IF(COUNTIF(E321:G321,"")=0,"",", ")),""),IF(E321="",CONCATENATE($E$4,IF(COUNTIF(F321:G321,"")=0,"",", ")),""),IF(F321="",CONCATENATE($F$4,IF(G321="",", ","")),""),IF(G321="",$G$4,""))))</f>
        <v/>
      </c>
      <c r="AA321" s="30"/>
    </row>
    <row r="322" spans="1:27" ht="16" x14ac:dyDescent="0.35">
      <c r="A322" s="14" t="str">
        <f t="shared" ref="A322:A363" si="20">CONCATENATE(B322," ",UPPER(D322)," ",C322)</f>
        <v xml:space="preserve">  </v>
      </c>
      <c r="B322" s="15"/>
      <c r="C322" s="31"/>
      <c r="D322" s="31"/>
      <c r="E322" s="17"/>
      <c r="F322" s="18"/>
      <c r="G322" s="32"/>
      <c r="H322" s="33" t="str">
        <f>IF(G322="","",IF(F322="žena",ROMAN(MATCH(G322+1,'[1]Normy VP'!$Y$27:$Y$33,-1)),ROMAN(MATCH(G322+1,'[1]Normy VP'!$Y$19:$Y$25,-1))))</f>
        <v/>
      </c>
      <c r="I322" s="21"/>
      <c r="J322" s="22"/>
      <c r="K322" s="23"/>
      <c r="L322" s="23"/>
      <c r="M322" s="23"/>
      <c r="N322" s="22"/>
      <c r="O322" s="22"/>
      <c r="P322" s="24" t="str">
        <f>IF(OR($J322="",$J322="odešel"),IF(K322="","",IF($F322="žena",CHOOSE(_xlfn.ARABIC($H322),MATCH(K322+1,'[1]Normy VP'!$C$25:$F$25,-1),MATCH(K322+1,'[1]Normy VP'!$C$26:$F$26,-1),MATCH(K322+1,'[1]Normy VP'!$C$27:$F$27,-1),MATCH(K322+1,'[1]Normy VP'!$C$28:$F$28,-1),MATCH(K322+1,'[1]Normy VP'!$C$29:$F$29,-1),"muž"),CHOOSE(_xlfn.ARABIC($H322),MATCH(K322+1,'[1]Normy VP'!$C$10:$F$10,-1),MATCH(K322+1,'[1]Normy VP'!$C$11:$F$11,-1),MATCH(K322+1,'[1]Normy VP'!$C$12:$F$12,-1),MATCH(K322+1,'[1]Normy VP'!$C$13:$F$13,-1),MATCH(K322+1,'[1]Normy VP'!$C$14:$F$14,-1),""))),"O")</f>
        <v/>
      </c>
      <c r="Q322" s="24" t="str">
        <f>IF(OR($J322="",$J322="odešel"),IF($F322="žena","",IF(L322="","",(CHOOSE(_xlfn.ARABIC($H322),MATCH(L322+1,'[1]Normy VP'!$G$10:$J$10,-1),MATCH(L322+1,'[1]Normy VP'!$G$11:$J$11,-1),MATCH(L322+1,'[1]Normy VP'!$G$12:$J$12,-1),MATCH(L322+1,'[1]Normy VP'!$G$13:$J$13,-1),MATCH(L322+1,'[1]Normy VP'!$G$14:$J$14,-1),"")))),"O")</f>
        <v/>
      </c>
      <c r="R322" s="34" t="str">
        <f t="shared" ref="R322:R363" si="21">IF(F322="žena",IF(P322="","N",P322),IF(AND(P322="",Q322=""),"N",IF(OR(P322="",Q322=""),4,MAX(P322,Q322))))</f>
        <v>N</v>
      </c>
      <c r="S322" s="24" t="str">
        <f>IF(OR($J322="",$J322="odešel"),IF(M322="","N",IF($F322="žena",CHOOSE(_xlfn.ARABIC($H322),MATCH(M322+1,'[1]Normy VP'!$G$25:$J$25,-1),MATCH(M322+1,'[1]Normy VP'!$G$26:$J$26,-1),MATCH(M322+1,'[1]Normy VP'!$G$27:$J$27,-1),MATCH(M322+1,'[1]Normy VP'!$G$28:$J$28,-1),MATCH(M322+1,'[1]Normy VP'!$G$29:$J$29,-1),"muž"),(CHOOSE(_xlfn.ARABIC($H322),MATCH(M322+1,'[1]Normy VP'!$K$10:$N$10,-1),MATCH(M322+1,'[1]Normy VP'!$K$11:$N$11,-1),MATCH(M322+1,'[1]Normy VP'!$K$12:$N$12,-1),MATCH(M322+1,'[1]Normy VP'!$K$13:$N$13,-1),MATCH(M322+1,'[1]Normy VP'!$K$14:$N$14,-1),"")))),"O")</f>
        <v>N</v>
      </c>
      <c r="T322" s="34" t="str">
        <f t="shared" ref="T322:T363" si="22">IF(_xlfn.ARABIC(H322)=6,W322,IF(AND(R322="N",S322="N"),"N",MIN(R322,S322)))</f>
        <v>N</v>
      </c>
      <c r="U322" s="24" t="str">
        <f>IF(OR($J322="",$J322="odešel"),IF(N322="","N",IF($F322="žena",CHOOSE(_xlfn.ARABIC($H322),MATCH(N322+1,'[1]Normy VP'!$K$25:$N$25,-1),MATCH(N322+1,'[1]Normy VP'!$K$26:$N$26,-1),MATCH(N322+1,'[1]Normy VP'!$K$27:$N$27,-1),MATCH(N322+1,'[1]Normy VP'!$K$28:$N$28,-1),MATCH(N322+1,'[1]Normy VP'!$K$29:$N$29,-1),MATCH(N322+1,'[1]Normy VP'!$K$30:$N$30,-1)),CHOOSE(_xlfn.ARABIC($H322),MATCH(N322+1,'[1]Normy VP'!$O$10:$R$10,-1),MATCH(N322+1,'[1]Normy VP'!$O$11:$R$11,-1),MATCH(N322+1,'[1]Normy VP'!$O$12:$R$12,-1),MATCH(N322+1,'[1]Normy VP'!$O$13:$R$13,-1),MATCH(N322+1,'[1]Normy VP'!$O$14:$R$14,-1),MATCH(N322+1,'[1]Normy VP'!$O$15:$R$15,-1)))),"O")</f>
        <v>N</v>
      </c>
      <c r="V322" s="26" t="str">
        <f>IF(OR($J322="",$J322="odešel"),IF(O322="","N",IF($F322="žena",CHOOSE(_xlfn.ARABIC($H322),MATCH(O322-1,'[1]Normy VP'!$O$25:$R$25),MATCH(O322-1,'[1]Normy VP'!$O$26:$R$26),MATCH(O322-1,'[1]Normy VP'!$O$27:$R$27),MATCH(O322-1,'[1]Normy VP'!$O$28:$R$28),MATCH(O322-1,'[1]Normy VP'!$O$29:$R$29),MATCH(O322-1,'[1]Normy VP'!$O$30:$R$30)),CHOOSE(_xlfn.ARABIC($H322),MATCH(O322-1,'[1]Normy VP'!$S$10:$V$10),MATCH(O322-1,'[1]Normy VP'!$S$11:$V$11),MATCH(O322-1,'[1]Normy VP'!$S$12:$V$12),MATCH(O322-1,'[1]Normy VP'!$S$13:$V$13),MATCH(O322-1,'[1]Normy VP'!$S$14:$V$14),MATCH(O322-1,'[1]Normy VP'!$S$15:$V$15)))),"O")</f>
        <v>N</v>
      </c>
      <c r="W322" s="34" t="str">
        <f t="shared" ref="W322:W363" si="23">IF(AND(U322="N",V322="N"),"N",MIN(U322,V322))</f>
        <v>N</v>
      </c>
      <c r="X322" s="27" t="str">
        <f>IF(COUNTIF(B322:G322,"")&gt;0,"",IF(COUNTIF([1]PP!$A:$A,A322)=0,"neni v PP",IF(OR(Y322="odešel",VLOOKUP(A322,[1]PP!$A:$W,22,FALSE)="odešel"),"odešel",IF(OR(Y322="N",VLOOKUP(A322,[1]PP!$A:$W,22,FALSE)="N"),"N",IF(OR(Y322="C",VLOOKUP(A322,[1]PP!$A:$W,22,FALSE)="C"),"C",IF(OR(Y322="DZO",VLOOKUP(A322,[1]PP!$A:$W,22,FALSE)="DZO"),"DZO",IF(OR(Y322="mise",Y322="disp.",Y322="končí",Y322="DSC",VLOOKUP(A322,[1]PP!$A:$W,22,FALSE)="mise",VLOOKUP(A322,[1]PP!$A:$W,22,FALSE)="disp.",VLOOKUP(A322,[1]PP!$A:$W,22,FALSE)="končí",VLOOKUP(A322,[1]PP!$A:$W,22,FALSE)="DSC"),"jiné",IF(OR(Y322=4,VLOOKUP(A322,[1]PP!$A:$W,22,FALSE)=4),4,IF(OR(Y322=3,VLOOKUP(A322,[1]PP!$A:$W,22,FALSE)=3),3,IF(OR(Y322=2,VLOOKUP(A322,[1]PP!$A:$W,22,FALSE)=2),2,IF(AND(Y322=1,VLOOKUP(A322,[1]PP!$A:$W,22,FALSE)=1),1)))))))))))</f>
        <v/>
      </c>
      <c r="Y322" s="28" t="str">
        <f>IF(COUNTIF(B322:G322,"")&gt;0,"",IF(COUNTIF([1]PP!$A:$A,A322)=0,"neni v PP",IF(VLOOKUP(A322,[1]PP!$A:$W,8,FALSE)="odešel","odešel",IF(F322="","",IF(J322="",IF(OR(T322=4,W322=4),4,IF(AND(T322="N",W322="N"),"N",IF(OR(T322="N",W322="N"),4,ROUND(AVERAGE(T322,W322),0)))),J322)))))</f>
        <v/>
      </c>
      <c r="Z322" s="29" t="str">
        <f>IF(COUNTIF(B322:G322,"")=0,IF(X322="neni v PP",CONCATENATE("ID: &lt;",A322,"&gt; se neshoduje s žádným IDem v kartě PP"),IF(COUNTIF($A:$A,A322)&gt;1,CONCATENATE("ID: &lt;",A322,"&gt; se v kartě VP opakuje. Je nutné tyto IDy od sebe odlišit, např. mezerou za příjmením."),IF(COUNTIF([1]PP!A:A,A322)&gt;1,CONCATENATE("ID: &lt;",A322,"&gt; se v kartě PP opakuje. Je nutné tyto IDy od sebe odlišit, např. mezerou za příjmením."),IF(VLOOKUP(A322,[1]PP!$A:$W,5,FALSE)&lt;&gt;E322,CONCATENATE($E$4," &lt;",E322,"&gt; se neshoduje s jednotkou v kartě PP"," &lt;",VLOOKUP(A322,[1]PP!$A:$W,5,FALSE),"&gt;"),IF(AND(COUNTIF(K322:O322,"")&lt;5,J322="",I322=""),CONCATENATE("Doplň: ",$I$4),IF(AND(YEAR(I322)&lt;&gt;$E$2,COUNTIF(I322,"")=0),CONCATENATE("špatně uveden &lt;",$D$2,"&gt; nebo &lt;",$I$4,"&gt;"),IF(OR(AND(OR(COUNTIF(C322,"*a"),COUNTIF(C322,"*ie"),COUNTIF(C322,"*ine"),COUNTIF(D322,"*Á")),F322="muž"),AND(AND(COUNTIF(C322,"&lt;&gt;"&amp;"*a"),COUNTIF(C322,"&lt;&gt;"&amp;"*ie"),COUNTIF(C322,"&lt;&gt;"&amp;"*ine"),COUNTIF(D322,"&lt;&gt;"&amp;"*Á")),F322="žena")),CONCATENATE(C322," ",D322," je ",F322,"?"),""))))))),IF(COUNTIF(B322:O322,"")=14,"",CONCATENATE("Doplň: ",IF(B322="",CONCATENATE($B$4,IF(COUNTIF(C322:G322,"")=0,"",", ")),""),IF(C322="",CONCATENATE($C$4,IF(COUNTIF(D322:G322,"")=0,"",", ")),""),IF(D322="",CONCATENATE($D$4,IF(COUNTIF(E322:G322,"")=0,"",", ")),""),IF(E322="",CONCATENATE($E$4,IF(COUNTIF(F322:G322,"")=0,"",", ")),""),IF(F322="",CONCATENATE($F$4,IF(G322="",", ","")),""),IF(G322="",$G$4,""))))</f>
        <v/>
      </c>
      <c r="AA322" s="30"/>
    </row>
    <row r="323" spans="1:27" ht="16" x14ac:dyDescent="0.35">
      <c r="A323" s="14" t="str">
        <f t="shared" si="20"/>
        <v xml:space="preserve">  </v>
      </c>
      <c r="B323" s="15"/>
      <c r="C323" s="31"/>
      <c r="D323" s="31"/>
      <c r="E323" s="17"/>
      <c r="F323" s="18"/>
      <c r="G323" s="32"/>
      <c r="H323" s="33" t="str">
        <f>IF(G323="","",IF(F323="žena",ROMAN(MATCH(G323+1,'[1]Normy VP'!$Y$27:$Y$33,-1)),ROMAN(MATCH(G323+1,'[1]Normy VP'!$Y$19:$Y$25,-1))))</f>
        <v/>
      </c>
      <c r="I323" s="21"/>
      <c r="J323" s="22"/>
      <c r="K323" s="23"/>
      <c r="L323" s="23"/>
      <c r="M323" s="23"/>
      <c r="N323" s="22"/>
      <c r="O323" s="22"/>
      <c r="P323" s="24" t="str">
        <f>IF(OR($J323="",$J323="odešel"),IF(K323="","",IF($F323="žena",CHOOSE(_xlfn.ARABIC($H323),MATCH(K323+1,'[1]Normy VP'!$C$25:$F$25,-1),MATCH(K323+1,'[1]Normy VP'!$C$26:$F$26,-1),MATCH(K323+1,'[1]Normy VP'!$C$27:$F$27,-1),MATCH(K323+1,'[1]Normy VP'!$C$28:$F$28,-1),MATCH(K323+1,'[1]Normy VP'!$C$29:$F$29,-1),"muž"),CHOOSE(_xlfn.ARABIC($H323),MATCH(K323+1,'[1]Normy VP'!$C$10:$F$10,-1),MATCH(K323+1,'[1]Normy VP'!$C$11:$F$11,-1),MATCH(K323+1,'[1]Normy VP'!$C$12:$F$12,-1),MATCH(K323+1,'[1]Normy VP'!$C$13:$F$13,-1),MATCH(K323+1,'[1]Normy VP'!$C$14:$F$14,-1),""))),"O")</f>
        <v/>
      </c>
      <c r="Q323" s="24" t="str">
        <f>IF(OR($J323="",$J323="odešel"),IF($F323="žena","",IF(L323="","",(CHOOSE(_xlfn.ARABIC($H323),MATCH(L323+1,'[1]Normy VP'!$G$10:$J$10,-1),MATCH(L323+1,'[1]Normy VP'!$G$11:$J$11,-1),MATCH(L323+1,'[1]Normy VP'!$G$12:$J$12,-1),MATCH(L323+1,'[1]Normy VP'!$G$13:$J$13,-1),MATCH(L323+1,'[1]Normy VP'!$G$14:$J$14,-1),"")))),"O")</f>
        <v/>
      </c>
      <c r="R323" s="34" t="str">
        <f t="shared" si="21"/>
        <v>N</v>
      </c>
      <c r="S323" s="24" t="str">
        <f>IF(OR($J323="",$J323="odešel"),IF(M323="","N",IF($F323="žena",CHOOSE(_xlfn.ARABIC($H323),MATCH(M323+1,'[1]Normy VP'!$G$25:$J$25,-1),MATCH(M323+1,'[1]Normy VP'!$G$26:$J$26,-1),MATCH(M323+1,'[1]Normy VP'!$G$27:$J$27,-1),MATCH(M323+1,'[1]Normy VP'!$G$28:$J$28,-1),MATCH(M323+1,'[1]Normy VP'!$G$29:$J$29,-1),"muž"),(CHOOSE(_xlfn.ARABIC($H323),MATCH(M323+1,'[1]Normy VP'!$K$10:$N$10,-1),MATCH(M323+1,'[1]Normy VP'!$K$11:$N$11,-1),MATCH(M323+1,'[1]Normy VP'!$K$12:$N$12,-1),MATCH(M323+1,'[1]Normy VP'!$K$13:$N$13,-1),MATCH(M323+1,'[1]Normy VP'!$K$14:$N$14,-1),"")))),"O")</f>
        <v>N</v>
      </c>
      <c r="T323" s="34" t="str">
        <f t="shared" si="22"/>
        <v>N</v>
      </c>
      <c r="U323" s="24" t="str">
        <f>IF(OR($J323="",$J323="odešel"),IF(N323="","N",IF($F323="žena",CHOOSE(_xlfn.ARABIC($H323),MATCH(N323+1,'[1]Normy VP'!$K$25:$N$25,-1),MATCH(N323+1,'[1]Normy VP'!$K$26:$N$26,-1),MATCH(N323+1,'[1]Normy VP'!$K$27:$N$27,-1),MATCH(N323+1,'[1]Normy VP'!$K$28:$N$28,-1),MATCH(N323+1,'[1]Normy VP'!$K$29:$N$29,-1),MATCH(N323+1,'[1]Normy VP'!$K$30:$N$30,-1)),CHOOSE(_xlfn.ARABIC($H323),MATCH(N323+1,'[1]Normy VP'!$O$10:$R$10,-1),MATCH(N323+1,'[1]Normy VP'!$O$11:$R$11,-1),MATCH(N323+1,'[1]Normy VP'!$O$12:$R$12,-1),MATCH(N323+1,'[1]Normy VP'!$O$13:$R$13,-1),MATCH(N323+1,'[1]Normy VP'!$O$14:$R$14,-1),MATCH(N323+1,'[1]Normy VP'!$O$15:$R$15,-1)))),"O")</f>
        <v>N</v>
      </c>
      <c r="V323" s="26" t="str">
        <f>IF(OR($J323="",$J323="odešel"),IF(O323="","N",IF($F323="žena",CHOOSE(_xlfn.ARABIC($H323),MATCH(O323-1,'[1]Normy VP'!$O$25:$R$25),MATCH(O323-1,'[1]Normy VP'!$O$26:$R$26),MATCH(O323-1,'[1]Normy VP'!$O$27:$R$27),MATCH(O323-1,'[1]Normy VP'!$O$28:$R$28),MATCH(O323-1,'[1]Normy VP'!$O$29:$R$29),MATCH(O323-1,'[1]Normy VP'!$O$30:$R$30)),CHOOSE(_xlfn.ARABIC($H323),MATCH(O323-1,'[1]Normy VP'!$S$10:$V$10),MATCH(O323-1,'[1]Normy VP'!$S$11:$V$11),MATCH(O323-1,'[1]Normy VP'!$S$12:$V$12),MATCH(O323-1,'[1]Normy VP'!$S$13:$V$13),MATCH(O323-1,'[1]Normy VP'!$S$14:$V$14),MATCH(O323-1,'[1]Normy VP'!$S$15:$V$15)))),"O")</f>
        <v>N</v>
      </c>
      <c r="W323" s="34" t="str">
        <f t="shared" si="23"/>
        <v>N</v>
      </c>
      <c r="X323" s="27" t="str">
        <f>IF(COUNTIF(B323:G323,"")&gt;0,"",IF(COUNTIF([1]PP!$A:$A,A323)=0,"neni v PP",IF(OR(Y323="odešel",VLOOKUP(A323,[1]PP!$A:$W,22,FALSE)="odešel"),"odešel",IF(OR(Y323="N",VLOOKUP(A323,[1]PP!$A:$W,22,FALSE)="N"),"N",IF(OR(Y323="C",VLOOKUP(A323,[1]PP!$A:$W,22,FALSE)="C"),"C",IF(OR(Y323="DZO",VLOOKUP(A323,[1]PP!$A:$W,22,FALSE)="DZO"),"DZO",IF(OR(Y323="mise",Y323="disp.",Y323="končí",Y323="DSC",VLOOKUP(A323,[1]PP!$A:$W,22,FALSE)="mise",VLOOKUP(A323,[1]PP!$A:$W,22,FALSE)="disp.",VLOOKUP(A323,[1]PP!$A:$W,22,FALSE)="končí",VLOOKUP(A323,[1]PP!$A:$W,22,FALSE)="DSC"),"jiné",IF(OR(Y323=4,VLOOKUP(A323,[1]PP!$A:$W,22,FALSE)=4),4,IF(OR(Y323=3,VLOOKUP(A323,[1]PP!$A:$W,22,FALSE)=3),3,IF(OR(Y323=2,VLOOKUP(A323,[1]PP!$A:$W,22,FALSE)=2),2,IF(AND(Y323=1,VLOOKUP(A323,[1]PP!$A:$W,22,FALSE)=1),1)))))))))))</f>
        <v/>
      </c>
      <c r="Y323" s="28" t="str">
        <f>IF(COUNTIF(B323:G323,"")&gt;0,"",IF(COUNTIF([1]PP!$A:$A,A323)=0,"neni v PP",IF(VLOOKUP(A323,[1]PP!$A:$W,8,FALSE)="odešel","odešel",IF(F323="","",IF(J323="",IF(OR(T323=4,W323=4),4,IF(AND(T323="N",W323="N"),"N",IF(OR(T323="N",W323="N"),4,ROUND(AVERAGE(T323,W323),0)))),J323)))))</f>
        <v/>
      </c>
      <c r="Z323" s="29" t="str">
        <f>IF(COUNTIF(B323:G323,"")=0,IF(X323="neni v PP",CONCATENATE("ID: &lt;",A323,"&gt; se neshoduje s žádným IDem v kartě PP"),IF(COUNTIF($A:$A,A323)&gt;1,CONCATENATE("ID: &lt;",A323,"&gt; se v kartě VP opakuje. Je nutné tyto IDy od sebe odlišit, např. mezerou za příjmením."),IF(COUNTIF([1]PP!A:A,A323)&gt;1,CONCATENATE("ID: &lt;",A323,"&gt; se v kartě PP opakuje. Je nutné tyto IDy od sebe odlišit, např. mezerou za příjmením."),IF(VLOOKUP(A323,[1]PP!$A:$W,5,FALSE)&lt;&gt;E323,CONCATENATE($E$4," &lt;",E323,"&gt; se neshoduje s jednotkou v kartě PP"," &lt;",VLOOKUP(A323,[1]PP!$A:$W,5,FALSE),"&gt;"),IF(AND(COUNTIF(K323:O323,"")&lt;5,J323="",I323=""),CONCATENATE("Doplň: ",$I$4),IF(AND(YEAR(I323)&lt;&gt;$E$2,COUNTIF(I323,"")=0),CONCATENATE("špatně uveden &lt;",$D$2,"&gt; nebo &lt;",$I$4,"&gt;"),IF(OR(AND(OR(COUNTIF(C323,"*a"),COUNTIF(C323,"*ie"),COUNTIF(C323,"*ine"),COUNTIF(D323,"*Á")),F323="muž"),AND(AND(COUNTIF(C323,"&lt;&gt;"&amp;"*a"),COUNTIF(C323,"&lt;&gt;"&amp;"*ie"),COUNTIF(C323,"&lt;&gt;"&amp;"*ine"),COUNTIF(D323,"&lt;&gt;"&amp;"*Á")),F323="žena")),CONCATENATE(C323," ",D323," je ",F323,"?"),""))))))),IF(COUNTIF(B323:O323,"")=14,"",CONCATENATE("Doplň: ",IF(B323="",CONCATENATE($B$4,IF(COUNTIF(C323:G323,"")=0,"",", ")),""),IF(C323="",CONCATENATE($C$4,IF(COUNTIF(D323:G323,"")=0,"",", ")),""),IF(D323="",CONCATENATE($D$4,IF(COUNTIF(E323:G323,"")=0,"",", ")),""),IF(E323="",CONCATENATE($E$4,IF(COUNTIF(F323:G323,"")=0,"",", ")),""),IF(F323="",CONCATENATE($F$4,IF(G323="",", ","")),""),IF(G323="",$G$4,""))))</f>
        <v/>
      </c>
      <c r="AA323" s="30"/>
    </row>
    <row r="324" spans="1:27" ht="16" x14ac:dyDescent="0.35">
      <c r="A324" s="14" t="str">
        <f t="shared" si="20"/>
        <v xml:space="preserve">  </v>
      </c>
      <c r="B324" s="15"/>
      <c r="C324" s="35"/>
      <c r="D324" s="35"/>
      <c r="E324" s="17"/>
      <c r="F324" s="18"/>
      <c r="G324" s="32"/>
      <c r="H324" s="33" t="str">
        <f>IF(G324="","",IF(F324="žena",ROMAN(MATCH(G324+1,'[1]Normy VP'!$Y$27:$Y$33,-1)),ROMAN(MATCH(G324+1,'[1]Normy VP'!$Y$19:$Y$25,-1))))</f>
        <v/>
      </c>
      <c r="I324" s="21"/>
      <c r="J324" s="22"/>
      <c r="K324" s="23"/>
      <c r="L324" s="23"/>
      <c r="M324" s="23"/>
      <c r="N324" s="22"/>
      <c r="O324" s="22"/>
      <c r="P324" s="24" t="str">
        <f>IF(OR($J324="",$J324="odešel"),IF(K324="","",IF($F324="žena",CHOOSE(_xlfn.ARABIC($H324),MATCH(K324+1,'[1]Normy VP'!$C$25:$F$25,-1),MATCH(K324+1,'[1]Normy VP'!$C$26:$F$26,-1),MATCH(K324+1,'[1]Normy VP'!$C$27:$F$27,-1),MATCH(K324+1,'[1]Normy VP'!$C$28:$F$28,-1),MATCH(K324+1,'[1]Normy VP'!$C$29:$F$29,-1),"muž"),CHOOSE(_xlfn.ARABIC($H324),MATCH(K324+1,'[1]Normy VP'!$C$10:$F$10,-1),MATCH(K324+1,'[1]Normy VP'!$C$11:$F$11,-1),MATCH(K324+1,'[1]Normy VP'!$C$12:$F$12,-1),MATCH(K324+1,'[1]Normy VP'!$C$13:$F$13,-1),MATCH(K324+1,'[1]Normy VP'!$C$14:$F$14,-1),""))),"O")</f>
        <v/>
      </c>
      <c r="Q324" s="24" t="str">
        <f>IF(OR($J324="",$J324="odešel"),IF($F324="žena","",IF(L324="","",(CHOOSE(_xlfn.ARABIC($H324),MATCH(L324+1,'[1]Normy VP'!$G$10:$J$10,-1),MATCH(L324+1,'[1]Normy VP'!$G$11:$J$11,-1),MATCH(L324+1,'[1]Normy VP'!$G$12:$J$12,-1),MATCH(L324+1,'[1]Normy VP'!$G$13:$J$13,-1),MATCH(L324+1,'[1]Normy VP'!$G$14:$J$14,-1),"")))),"O")</f>
        <v/>
      </c>
      <c r="R324" s="34" t="str">
        <f t="shared" si="21"/>
        <v>N</v>
      </c>
      <c r="S324" s="24" t="str">
        <f>IF(OR($J324="",$J324="odešel"),IF(M324="","N",IF($F324="žena",CHOOSE(_xlfn.ARABIC($H324),MATCH(M324+1,'[1]Normy VP'!$G$25:$J$25,-1),MATCH(M324+1,'[1]Normy VP'!$G$26:$J$26,-1),MATCH(M324+1,'[1]Normy VP'!$G$27:$J$27,-1),MATCH(M324+1,'[1]Normy VP'!$G$28:$J$28,-1),MATCH(M324+1,'[1]Normy VP'!$G$29:$J$29,-1),"muž"),(CHOOSE(_xlfn.ARABIC($H324),MATCH(M324+1,'[1]Normy VP'!$K$10:$N$10,-1),MATCH(M324+1,'[1]Normy VP'!$K$11:$N$11,-1),MATCH(M324+1,'[1]Normy VP'!$K$12:$N$12,-1),MATCH(M324+1,'[1]Normy VP'!$K$13:$N$13,-1),MATCH(M324+1,'[1]Normy VP'!$K$14:$N$14,-1),"")))),"O")</f>
        <v>N</v>
      </c>
      <c r="T324" s="34" t="str">
        <f t="shared" si="22"/>
        <v>N</v>
      </c>
      <c r="U324" s="24" t="str">
        <f>IF(OR($J324="",$J324="odešel"),IF(N324="","N",IF($F324="žena",CHOOSE(_xlfn.ARABIC($H324),MATCH(N324+1,'[1]Normy VP'!$K$25:$N$25,-1),MATCH(N324+1,'[1]Normy VP'!$K$26:$N$26,-1),MATCH(N324+1,'[1]Normy VP'!$K$27:$N$27,-1),MATCH(N324+1,'[1]Normy VP'!$K$28:$N$28,-1),MATCH(N324+1,'[1]Normy VP'!$K$29:$N$29,-1),MATCH(N324+1,'[1]Normy VP'!$K$30:$N$30,-1)),CHOOSE(_xlfn.ARABIC($H324),MATCH(N324+1,'[1]Normy VP'!$O$10:$R$10,-1),MATCH(N324+1,'[1]Normy VP'!$O$11:$R$11,-1),MATCH(N324+1,'[1]Normy VP'!$O$12:$R$12,-1),MATCH(N324+1,'[1]Normy VP'!$O$13:$R$13,-1),MATCH(N324+1,'[1]Normy VP'!$O$14:$R$14,-1),MATCH(N324+1,'[1]Normy VP'!$O$15:$R$15,-1)))),"O")</f>
        <v>N</v>
      </c>
      <c r="V324" s="26" t="str">
        <f>IF(OR($J324="",$J324="odešel"),IF(O324="","N",IF($F324="žena",CHOOSE(_xlfn.ARABIC($H324),MATCH(O324-1,'[1]Normy VP'!$O$25:$R$25),MATCH(O324-1,'[1]Normy VP'!$O$26:$R$26),MATCH(O324-1,'[1]Normy VP'!$O$27:$R$27),MATCH(O324-1,'[1]Normy VP'!$O$28:$R$28),MATCH(O324-1,'[1]Normy VP'!$O$29:$R$29),MATCH(O324-1,'[1]Normy VP'!$O$30:$R$30)),CHOOSE(_xlfn.ARABIC($H324),MATCH(O324-1,'[1]Normy VP'!$S$10:$V$10),MATCH(O324-1,'[1]Normy VP'!$S$11:$V$11),MATCH(O324-1,'[1]Normy VP'!$S$12:$V$12),MATCH(O324-1,'[1]Normy VP'!$S$13:$V$13),MATCH(O324-1,'[1]Normy VP'!$S$14:$V$14),MATCH(O324-1,'[1]Normy VP'!$S$15:$V$15)))),"O")</f>
        <v>N</v>
      </c>
      <c r="W324" s="34" t="str">
        <f t="shared" si="23"/>
        <v>N</v>
      </c>
      <c r="X324" s="27" t="str">
        <f>IF(COUNTIF(B324:G324,"")&gt;0,"",IF(COUNTIF([1]PP!$A:$A,A324)=0,"neni v PP",IF(OR(Y324="odešel",VLOOKUP(A324,[1]PP!$A:$W,22,FALSE)="odešel"),"odešel",IF(OR(Y324="N",VLOOKUP(A324,[1]PP!$A:$W,22,FALSE)="N"),"N",IF(OR(Y324="C",VLOOKUP(A324,[1]PP!$A:$W,22,FALSE)="C"),"C",IF(OR(Y324="DZO",VLOOKUP(A324,[1]PP!$A:$W,22,FALSE)="DZO"),"DZO",IF(OR(Y324="mise",Y324="disp.",Y324="končí",Y324="DSC",VLOOKUP(A324,[1]PP!$A:$W,22,FALSE)="mise",VLOOKUP(A324,[1]PP!$A:$W,22,FALSE)="disp.",VLOOKUP(A324,[1]PP!$A:$W,22,FALSE)="končí",VLOOKUP(A324,[1]PP!$A:$W,22,FALSE)="DSC"),"jiné",IF(OR(Y324=4,VLOOKUP(A324,[1]PP!$A:$W,22,FALSE)=4),4,IF(OR(Y324=3,VLOOKUP(A324,[1]PP!$A:$W,22,FALSE)=3),3,IF(OR(Y324=2,VLOOKUP(A324,[1]PP!$A:$W,22,FALSE)=2),2,IF(AND(Y324=1,VLOOKUP(A324,[1]PP!$A:$W,22,FALSE)=1),1)))))))))))</f>
        <v/>
      </c>
      <c r="Y324" s="28" t="str">
        <f>IF(COUNTIF(B324:G324,"")&gt;0,"",IF(COUNTIF([1]PP!$A:$A,A324)=0,"neni v PP",IF(VLOOKUP(A324,[1]PP!$A:$W,8,FALSE)="odešel","odešel",IF(F324="","",IF(J324="",IF(OR(T324=4,W324=4),4,IF(AND(T324="N",W324="N"),"N",IF(OR(T324="N",W324="N"),4,ROUND(AVERAGE(T324,W324),0)))),J324)))))</f>
        <v/>
      </c>
      <c r="Z324" s="29" t="str">
        <f>IF(COUNTIF(B324:G324,"")=0,IF(X324="neni v PP",CONCATENATE("ID: &lt;",A324,"&gt; se neshoduje s žádným IDem v kartě PP"),IF(COUNTIF($A:$A,A324)&gt;1,CONCATENATE("ID: &lt;",A324,"&gt; se v kartě VP opakuje. Je nutné tyto IDy od sebe odlišit, např. mezerou za příjmením."),IF(COUNTIF([1]PP!A:A,A324)&gt;1,CONCATENATE("ID: &lt;",A324,"&gt; se v kartě PP opakuje. Je nutné tyto IDy od sebe odlišit, např. mezerou za příjmením."),IF(VLOOKUP(A324,[1]PP!$A:$W,5,FALSE)&lt;&gt;E324,CONCATENATE($E$4," &lt;",E324,"&gt; se neshoduje s jednotkou v kartě PP"," &lt;",VLOOKUP(A324,[1]PP!$A:$W,5,FALSE),"&gt;"),IF(AND(COUNTIF(K324:O324,"")&lt;5,J324="",I324=""),CONCATENATE("Doplň: ",$I$4),IF(AND(YEAR(I324)&lt;&gt;$E$2,COUNTIF(I324,"")=0),CONCATENATE("špatně uveden &lt;",$D$2,"&gt; nebo &lt;",$I$4,"&gt;"),IF(OR(AND(OR(COUNTIF(C324,"*a"),COUNTIF(C324,"*ie"),COUNTIF(C324,"*ine"),COUNTIF(D324,"*Á")),F324="muž"),AND(AND(COUNTIF(C324,"&lt;&gt;"&amp;"*a"),COUNTIF(C324,"&lt;&gt;"&amp;"*ie"),COUNTIF(C324,"&lt;&gt;"&amp;"*ine"),COUNTIF(D324,"&lt;&gt;"&amp;"*Á")),F324="žena")),CONCATENATE(C324," ",D324," je ",F324,"?"),""))))))),IF(COUNTIF(B324:O324,"")=14,"",CONCATENATE("Doplň: ",IF(B324="",CONCATENATE($B$4,IF(COUNTIF(C324:G324,"")=0,"",", ")),""),IF(C324="",CONCATENATE($C$4,IF(COUNTIF(D324:G324,"")=0,"",", ")),""),IF(D324="",CONCATENATE($D$4,IF(COUNTIF(E324:G324,"")=0,"",", ")),""),IF(E324="",CONCATENATE($E$4,IF(COUNTIF(F324:G324,"")=0,"",", ")),""),IF(F324="",CONCATENATE($F$4,IF(G324="",", ","")),""),IF(G324="",$G$4,""))))</f>
        <v/>
      </c>
      <c r="AA324" s="30"/>
    </row>
    <row r="325" spans="1:27" ht="16" x14ac:dyDescent="0.35">
      <c r="A325" s="14" t="str">
        <f t="shared" si="20"/>
        <v xml:space="preserve">  </v>
      </c>
      <c r="B325" s="15"/>
      <c r="C325" s="31"/>
      <c r="D325" s="31"/>
      <c r="E325" s="17"/>
      <c r="F325" s="18"/>
      <c r="G325" s="32"/>
      <c r="H325" s="33" t="str">
        <f>IF(G325="","",IF(F325="žena",ROMAN(MATCH(G325+1,'[1]Normy VP'!$Y$27:$Y$33,-1)),ROMAN(MATCH(G325+1,'[1]Normy VP'!$Y$19:$Y$25,-1))))</f>
        <v/>
      </c>
      <c r="I325" s="21"/>
      <c r="J325" s="22"/>
      <c r="K325" s="23"/>
      <c r="L325" s="23"/>
      <c r="M325" s="23"/>
      <c r="N325" s="22"/>
      <c r="O325" s="22"/>
      <c r="P325" s="24" t="str">
        <f>IF(OR($J325="",$J325="odešel"),IF(K325="","",IF($F325="žena",CHOOSE(_xlfn.ARABIC($H325),MATCH(K325+1,'[1]Normy VP'!$C$25:$F$25,-1),MATCH(K325+1,'[1]Normy VP'!$C$26:$F$26,-1),MATCH(K325+1,'[1]Normy VP'!$C$27:$F$27,-1),MATCH(K325+1,'[1]Normy VP'!$C$28:$F$28,-1),MATCH(K325+1,'[1]Normy VP'!$C$29:$F$29,-1),"muž"),CHOOSE(_xlfn.ARABIC($H325),MATCH(K325+1,'[1]Normy VP'!$C$10:$F$10,-1),MATCH(K325+1,'[1]Normy VP'!$C$11:$F$11,-1),MATCH(K325+1,'[1]Normy VP'!$C$12:$F$12,-1),MATCH(K325+1,'[1]Normy VP'!$C$13:$F$13,-1),MATCH(K325+1,'[1]Normy VP'!$C$14:$F$14,-1),""))),"O")</f>
        <v/>
      </c>
      <c r="Q325" s="24" t="str">
        <f>IF(OR($J325="",$J325="odešel"),IF($F325="žena","",IF(L325="","",(CHOOSE(_xlfn.ARABIC($H325),MATCH(L325+1,'[1]Normy VP'!$G$10:$J$10,-1),MATCH(L325+1,'[1]Normy VP'!$G$11:$J$11,-1),MATCH(L325+1,'[1]Normy VP'!$G$12:$J$12,-1),MATCH(L325+1,'[1]Normy VP'!$G$13:$J$13,-1),MATCH(L325+1,'[1]Normy VP'!$G$14:$J$14,-1),"")))),"O")</f>
        <v/>
      </c>
      <c r="R325" s="34" t="str">
        <f t="shared" si="21"/>
        <v>N</v>
      </c>
      <c r="S325" s="24" t="str">
        <f>IF(OR($J325="",$J325="odešel"),IF(M325="","N",IF($F325="žena",CHOOSE(_xlfn.ARABIC($H325),MATCH(M325+1,'[1]Normy VP'!$G$25:$J$25,-1),MATCH(M325+1,'[1]Normy VP'!$G$26:$J$26,-1),MATCH(M325+1,'[1]Normy VP'!$G$27:$J$27,-1),MATCH(M325+1,'[1]Normy VP'!$G$28:$J$28,-1),MATCH(M325+1,'[1]Normy VP'!$G$29:$J$29,-1),"muž"),(CHOOSE(_xlfn.ARABIC($H325),MATCH(M325+1,'[1]Normy VP'!$K$10:$N$10,-1),MATCH(M325+1,'[1]Normy VP'!$K$11:$N$11,-1),MATCH(M325+1,'[1]Normy VP'!$K$12:$N$12,-1),MATCH(M325+1,'[1]Normy VP'!$K$13:$N$13,-1),MATCH(M325+1,'[1]Normy VP'!$K$14:$N$14,-1),"")))),"O")</f>
        <v>N</v>
      </c>
      <c r="T325" s="34" t="str">
        <f t="shared" si="22"/>
        <v>N</v>
      </c>
      <c r="U325" s="24" t="str">
        <f>IF(OR($J325="",$J325="odešel"),IF(N325="","N",IF($F325="žena",CHOOSE(_xlfn.ARABIC($H325),MATCH(N325+1,'[1]Normy VP'!$K$25:$N$25,-1),MATCH(N325+1,'[1]Normy VP'!$K$26:$N$26,-1),MATCH(N325+1,'[1]Normy VP'!$K$27:$N$27,-1),MATCH(N325+1,'[1]Normy VP'!$K$28:$N$28,-1),MATCH(N325+1,'[1]Normy VP'!$K$29:$N$29,-1),MATCH(N325+1,'[1]Normy VP'!$K$30:$N$30,-1)),CHOOSE(_xlfn.ARABIC($H325),MATCH(N325+1,'[1]Normy VP'!$O$10:$R$10,-1),MATCH(N325+1,'[1]Normy VP'!$O$11:$R$11,-1),MATCH(N325+1,'[1]Normy VP'!$O$12:$R$12,-1),MATCH(N325+1,'[1]Normy VP'!$O$13:$R$13,-1),MATCH(N325+1,'[1]Normy VP'!$O$14:$R$14,-1),MATCH(N325+1,'[1]Normy VP'!$O$15:$R$15,-1)))),"O")</f>
        <v>N</v>
      </c>
      <c r="V325" s="26" t="str">
        <f>IF(OR($J325="",$J325="odešel"),IF(O325="","N",IF($F325="žena",CHOOSE(_xlfn.ARABIC($H325),MATCH(O325-1,'[1]Normy VP'!$O$25:$R$25),MATCH(O325-1,'[1]Normy VP'!$O$26:$R$26),MATCH(O325-1,'[1]Normy VP'!$O$27:$R$27),MATCH(O325-1,'[1]Normy VP'!$O$28:$R$28),MATCH(O325-1,'[1]Normy VP'!$O$29:$R$29),MATCH(O325-1,'[1]Normy VP'!$O$30:$R$30)),CHOOSE(_xlfn.ARABIC($H325),MATCH(O325-1,'[1]Normy VP'!$S$10:$V$10),MATCH(O325-1,'[1]Normy VP'!$S$11:$V$11),MATCH(O325-1,'[1]Normy VP'!$S$12:$V$12),MATCH(O325-1,'[1]Normy VP'!$S$13:$V$13),MATCH(O325-1,'[1]Normy VP'!$S$14:$V$14),MATCH(O325-1,'[1]Normy VP'!$S$15:$V$15)))),"O")</f>
        <v>N</v>
      </c>
      <c r="W325" s="34" t="str">
        <f t="shared" si="23"/>
        <v>N</v>
      </c>
      <c r="X325" s="27" t="str">
        <f>IF(COUNTIF(B325:G325,"")&gt;0,"",IF(COUNTIF([1]PP!$A:$A,A325)=0,"neni v PP",IF(OR(Y325="odešel",VLOOKUP(A325,[1]PP!$A:$W,22,FALSE)="odešel"),"odešel",IF(OR(Y325="N",VLOOKUP(A325,[1]PP!$A:$W,22,FALSE)="N"),"N",IF(OR(Y325="C",VLOOKUP(A325,[1]PP!$A:$W,22,FALSE)="C"),"C",IF(OR(Y325="DZO",VLOOKUP(A325,[1]PP!$A:$W,22,FALSE)="DZO"),"DZO",IF(OR(Y325="mise",Y325="disp.",Y325="končí",Y325="DSC",VLOOKUP(A325,[1]PP!$A:$W,22,FALSE)="mise",VLOOKUP(A325,[1]PP!$A:$W,22,FALSE)="disp.",VLOOKUP(A325,[1]PP!$A:$W,22,FALSE)="končí",VLOOKUP(A325,[1]PP!$A:$W,22,FALSE)="DSC"),"jiné",IF(OR(Y325=4,VLOOKUP(A325,[1]PP!$A:$W,22,FALSE)=4),4,IF(OR(Y325=3,VLOOKUP(A325,[1]PP!$A:$W,22,FALSE)=3),3,IF(OR(Y325=2,VLOOKUP(A325,[1]PP!$A:$W,22,FALSE)=2),2,IF(AND(Y325=1,VLOOKUP(A325,[1]PP!$A:$W,22,FALSE)=1),1)))))))))))</f>
        <v/>
      </c>
      <c r="Y325" s="28" t="str">
        <f>IF(COUNTIF(B325:G325,"")&gt;0,"",IF(COUNTIF([1]PP!$A:$A,A325)=0,"neni v PP",IF(VLOOKUP(A325,[1]PP!$A:$W,8,FALSE)="odešel","odešel",IF(F325="","",IF(J325="",IF(OR(T325=4,W325=4),4,IF(AND(T325="N",W325="N"),"N",IF(OR(T325="N",W325="N"),4,ROUND(AVERAGE(T325,W325),0)))),J325)))))</f>
        <v/>
      </c>
      <c r="Z325" s="29" t="str">
        <f>IF(COUNTIF(B325:G325,"")=0,IF(X325="neni v PP",CONCATENATE("ID: &lt;",A325,"&gt; se neshoduje s žádným IDem v kartě PP"),IF(COUNTIF($A:$A,A325)&gt;1,CONCATENATE("ID: &lt;",A325,"&gt; se v kartě VP opakuje. Je nutné tyto IDy od sebe odlišit, např. mezerou za příjmením."),IF(COUNTIF([1]PP!A:A,A325)&gt;1,CONCATENATE("ID: &lt;",A325,"&gt; se v kartě PP opakuje. Je nutné tyto IDy od sebe odlišit, např. mezerou za příjmením."),IF(VLOOKUP(A325,[1]PP!$A:$W,5,FALSE)&lt;&gt;E325,CONCATENATE($E$4," &lt;",E325,"&gt; se neshoduje s jednotkou v kartě PP"," &lt;",VLOOKUP(A325,[1]PP!$A:$W,5,FALSE),"&gt;"),IF(AND(COUNTIF(K325:O325,"")&lt;5,J325="",I325=""),CONCATENATE("Doplň: ",$I$4),IF(AND(YEAR(I325)&lt;&gt;$E$2,COUNTIF(I325,"")=0),CONCATENATE("špatně uveden &lt;",$D$2,"&gt; nebo &lt;",$I$4,"&gt;"),IF(OR(AND(OR(COUNTIF(C325,"*a"),COUNTIF(C325,"*ie"),COUNTIF(C325,"*ine"),COUNTIF(D325,"*Á")),F325="muž"),AND(AND(COUNTIF(C325,"&lt;&gt;"&amp;"*a"),COUNTIF(C325,"&lt;&gt;"&amp;"*ie"),COUNTIF(C325,"&lt;&gt;"&amp;"*ine"),COUNTIF(D325,"&lt;&gt;"&amp;"*Á")),F325="žena")),CONCATENATE(C325," ",D325," je ",F325,"?"),""))))))),IF(COUNTIF(B325:O325,"")=14,"",CONCATENATE("Doplň: ",IF(B325="",CONCATENATE($B$4,IF(COUNTIF(C325:G325,"")=0,"",", ")),""),IF(C325="",CONCATENATE($C$4,IF(COUNTIF(D325:G325,"")=0,"",", ")),""),IF(D325="",CONCATENATE($D$4,IF(COUNTIF(E325:G325,"")=0,"",", ")),""),IF(E325="",CONCATENATE($E$4,IF(COUNTIF(F325:G325,"")=0,"",", ")),""),IF(F325="",CONCATENATE($F$4,IF(G325="",", ","")),""),IF(G325="",$G$4,""))))</f>
        <v/>
      </c>
      <c r="AA325" s="30"/>
    </row>
    <row r="326" spans="1:27" ht="16" x14ac:dyDescent="0.35">
      <c r="A326" s="14" t="str">
        <f t="shared" si="20"/>
        <v xml:space="preserve">  </v>
      </c>
      <c r="B326" s="15"/>
      <c r="C326" s="31"/>
      <c r="D326" s="31"/>
      <c r="E326" s="17"/>
      <c r="F326" s="18"/>
      <c r="G326" s="32"/>
      <c r="H326" s="33" t="str">
        <f>IF(G326="","",IF(F326="žena",ROMAN(MATCH(G326+1,'[1]Normy VP'!$Y$27:$Y$33,-1)),ROMAN(MATCH(G326+1,'[1]Normy VP'!$Y$19:$Y$25,-1))))</f>
        <v/>
      </c>
      <c r="I326" s="21"/>
      <c r="J326" s="22"/>
      <c r="K326" s="23"/>
      <c r="L326" s="23"/>
      <c r="M326" s="23"/>
      <c r="N326" s="22"/>
      <c r="O326" s="22"/>
      <c r="P326" s="24" t="str">
        <f>IF(OR($J326="",$J326="odešel"),IF(K326="","",IF($F326="žena",CHOOSE(_xlfn.ARABIC($H326),MATCH(K326+1,'[1]Normy VP'!$C$25:$F$25,-1),MATCH(K326+1,'[1]Normy VP'!$C$26:$F$26,-1),MATCH(K326+1,'[1]Normy VP'!$C$27:$F$27,-1),MATCH(K326+1,'[1]Normy VP'!$C$28:$F$28,-1),MATCH(K326+1,'[1]Normy VP'!$C$29:$F$29,-1),"muž"),CHOOSE(_xlfn.ARABIC($H326),MATCH(K326+1,'[1]Normy VP'!$C$10:$F$10,-1),MATCH(K326+1,'[1]Normy VP'!$C$11:$F$11,-1),MATCH(K326+1,'[1]Normy VP'!$C$12:$F$12,-1),MATCH(K326+1,'[1]Normy VP'!$C$13:$F$13,-1),MATCH(K326+1,'[1]Normy VP'!$C$14:$F$14,-1),""))),"O")</f>
        <v/>
      </c>
      <c r="Q326" s="24" t="str">
        <f>IF(OR($J326="",$J326="odešel"),IF($F326="žena","",IF(L326="","",(CHOOSE(_xlfn.ARABIC($H326),MATCH(L326+1,'[1]Normy VP'!$G$10:$J$10,-1),MATCH(L326+1,'[1]Normy VP'!$G$11:$J$11,-1),MATCH(L326+1,'[1]Normy VP'!$G$12:$J$12,-1),MATCH(L326+1,'[1]Normy VP'!$G$13:$J$13,-1),MATCH(L326+1,'[1]Normy VP'!$G$14:$J$14,-1),"")))),"O")</f>
        <v/>
      </c>
      <c r="R326" s="34" t="str">
        <f t="shared" si="21"/>
        <v>N</v>
      </c>
      <c r="S326" s="24" t="str">
        <f>IF(OR($J326="",$J326="odešel"),IF(M326="","N",IF($F326="žena",CHOOSE(_xlfn.ARABIC($H326),MATCH(M326+1,'[1]Normy VP'!$G$25:$J$25,-1),MATCH(M326+1,'[1]Normy VP'!$G$26:$J$26,-1),MATCH(M326+1,'[1]Normy VP'!$G$27:$J$27,-1),MATCH(M326+1,'[1]Normy VP'!$G$28:$J$28,-1),MATCH(M326+1,'[1]Normy VP'!$G$29:$J$29,-1),"muž"),(CHOOSE(_xlfn.ARABIC($H326),MATCH(M326+1,'[1]Normy VP'!$K$10:$N$10,-1),MATCH(M326+1,'[1]Normy VP'!$K$11:$N$11,-1),MATCH(M326+1,'[1]Normy VP'!$K$12:$N$12,-1),MATCH(M326+1,'[1]Normy VP'!$K$13:$N$13,-1),MATCH(M326+1,'[1]Normy VP'!$K$14:$N$14,-1),"")))),"O")</f>
        <v>N</v>
      </c>
      <c r="T326" s="34" t="str">
        <f t="shared" si="22"/>
        <v>N</v>
      </c>
      <c r="U326" s="24" t="str">
        <f>IF(OR($J326="",$J326="odešel"),IF(N326="","N",IF($F326="žena",CHOOSE(_xlfn.ARABIC($H326),MATCH(N326+1,'[1]Normy VP'!$K$25:$N$25,-1),MATCH(N326+1,'[1]Normy VP'!$K$26:$N$26,-1),MATCH(N326+1,'[1]Normy VP'!$K$27:$N$27,-1),MATCH(N326+1,'[1]Normy VP'!$K$28:$N$28,-1),MATCH(N326+1,'[1]Normy VP'!$K$29:$N$29,-1),MATCH(N326+1,'[1]Normy VP'!$K$30:$N$30,-1)),CHOOSE(_xlfn.ARABIC($H326),MATCH(N326+1,'[1]Normy VP'!$O$10:$R$10,-1),MATCH(N326+1,'[1]Normy VP'!$O$11:$R$11,-1),MATCH(N326+1,'[1]Normy VP'!$O$12:$R$12,-1),MATCH(N326+1,'[1]Normy VP'!$O$13:$R$13,-1),MATCH(N326+1,'[1]Normy VP'!$O$14:$R$14,-1),MATCH(N326+1,'[1]Normy VP'!$O$15:$R$15,-1)))),"O")</f>
        <v>N</v>
      </c>
      <c r="V326" s="26" t="str">
        <f>IF(OR($J326="",$J326="odešel"),IF(O326="","N",IF($F326="žena",CHOOSE(_xlfn.ARABIC($H326),MATCH(O326-1,'[1]Normy VP'!$O$25:$R$25),MATCH(O326-1,'[1]Normy VP'!$O$26:$R$26),MATCH(O326-1,'[1]Normy VP'!$O$27:$R$27),MATCH(O326-1,'[1]Normy VP'!$O$28:$R$28),MATCH(O326-1,'[1]Normy VP'!$O$29:$R$29),MATCH(O326-1,'[1]Normy VP'!$O$30:$R$30)),CHOOSE(_xlfn.ARABIC($H326),MATCH(O326-1,'[1]Normy VP'!$S$10:$V$10),MATCH(O326-1,'[1]Normy VP'!$S$11:$V$11),MATCH(O326-1,'[1]Normy VP'!$S$12:$V$12),MATCH(O326-1,'[1]Normy VP'!$S$13:$V$13),MATCH(O326-1,'[1]Normy VP'!$S$14:$V$14),MATCH(O326-1,'[1]Normy VP'!$S$15:$V$15)))),"O")</f>
        <v>N</v>
      </c>
      <c r="W326" s="34" t="str">
        <f t="shared" si="23"/>
        <v>N</v>
      </c>
      <c r="X326" s="27" t="str">
        <f>IF(COUNTIF(B326:G326,"")&gt;0,"",IF(COUNTIF([1]PP!$A:$A,A326)=0,"neni v PP",IF(OR(Y326="odešel",VLOOKUP(A326,[1]PP!$A:$W,22,FALSE)="odešel"),"odešel",IF(OR(Y326="N",VLOOKUP(A326,[1]PP!$A:$W,22,FALSE)="N"),"N",IF(OR(Y326="C",VLOOKUP(A326,[1]PP!$A:$W,22,FALSE)="C"),"C",IF(OR(Y326="DZO",VLOOKUP(A326,[1]PP!$A:$W,22,FALSE)="DZO"),"DZO",IF(OR(Y326="mise",Y326="disp.",Y326="končí",Y326="DSC",VLOOKUP(A326,[1]PP!$A:$W,22,FALSE)="mise",VLOOKUP(A326,[1]PP!$A:$W,22,FALSE)="disp.",VLOOKUP(A326,[1]PP!$A:$W,22,FALSE)="končí",VLOOKUP(A326,[1]PP!$A:$W,22,FALSE)="DSC"),"jiné",IF(OR(Y326=4,VLOOKUP(A326,[1]PP!$A:$W,22,FALSE)=4),4,IF(OR(Y326=3,VLOOKUP(A326,[1]PP!$A:$W,22,FALSE)=3),3,IF(OR(Y326=2,VLOOKUP(A326,[1]PP!$A:$W,22,FALSE)=2),2,IF(AND(Y326=1,VLOOKUP(A326,[1]PP!$A:$W,22,FALSE)=1),1)))))))))))</f>
        <v/>
      </c>
      <c r="Y326" s="28" t="str">
        <f>IF(COUNTIF(B326:G326,"")&gt;0,"",IF(COUNTIF([1]PP!$A:$A,A326)=0,"neni v PP",IF(VLOOKUP(A326,[1]PP!$A:$W,8,FALSE)="odešel","odešel",IF(F326="","",IF(J326="",IF(OR(T326=4,W326=4),4,IF(AND(T326="N",W326="N"),"N",IF(OR(T326="N",W326="N"),4,ROUND(AVERAGE(T326,W326),0)))),J326)))))</f>
        <v/>
      </c>
      <c r="Z326" s="29" t="str">
        <f>IF(COUNTIF(B326:G326,"")=0,IF(X326="neni v PP",CONCATENATE("ID: &lt;",A326,"&gt; se neshoduje s žádným IDem v kartě PP"),IF(COUNTIF($A:$A,A326)&gt;1,CONCATENATE("ID: &lt;",A326,"&gt; se v kartě VP opakuje. Je nutné tyto IDy od sebe odlišit, např. mezerou za příjmením."),IF(COUNTIF([1]PP!A:A,A326)&gt;1,CONCATENATE("ID: &lt;",A326,"&gt; se v kartě PP opakuje. Je nutné tyto IDy od sebe odlišit, např. mezerou za příjmením."),IF(VLOOKUP(A326,[1]PP!$A:$W,5,FALSE)&lt;&gt;E326,CONCATENATE($E$4," &lt;",E326,"&gt; se neshoduje s jednotkou v kartě PP"," &lt;",VLOOKUP(A326,[1]PP!$A:$W,5,FALSE),"&gt;"),IF(AND(COUNTIF(K326:O326,"")&lt;5,J326="",I326=""),CONCATENATE("Doplň: ",$I$4),IF(AND(YEAR(I326)&lt;&gt;$E$2,COUNTIF(I326,"")=0),CONCATENATE("špatně uveden &lt;",$D$2,"&gt; nebo &lt;",$I$4,"&gt;"),IF(OR(AND(OR(COUNTIF(C326,"*a"),COUNTIF(C326,"*ie"),COUNTIF(C326,"*ine"),COUNTIF(D326,"*Á")),F326="muž"),AND(AND(COUNTIF(C326,"&lt;&gt;"&amp;"*a"),COUNTIF(C326,"&lt;&gt;"&amp;"*ie"),COUNTIF(C326,"&lt;&gt;"&amp;"*ine"),COUNTIF(D326,"&lt;&gt;"&amp;"*Á")),F326="žena")),CONCATENATE(C326," ",D326," je ",F326,"?"),""))))))),IF(COUNTIF(B326:O326,"")=14,"",CONCATENATE("Doplň: ",IF(B326="",CONCATENATE($B$4,IF(COUNTIF(C326:G326,"")=0,"",", ")),""),IF(C326="",CONCATENATE($C$4,IF(COUNTIF(D326:G326,"")=0,"",", ")),""),IF(D326="",CONCATENATE($D$4,IF(COUNTIF(E326:G326,"")=0,"",", ")),""),IF(E326="",CONCATENATE($E$4,IF(COUNTIF(F326:G326,"")=0,"",", ")),""),IF(F326="",CONCATENATE($F$4,IF(G326="",", ","")),""),IF(G326="",$G$4,""))))</f>
        <v/>
      </c>
      <c r="AA326" s="30"/>
    </row>
    <row r="327" spans="1:27" ht="16" x14ac:dyDescent="0.35">
      <c r="A327" s="14" t="str">
        <f t="shared" si="20"/>
        <v xml:space="preserve">  </v>
      </c>
      <c r="B327" s="15"/>
      <c r="C327" s="31"/>
      <c r="D327" s="31"/>
      <c r="E327" s="17"/>
      <c r="F327" s="18"/>
      <c r="G327" s="32"/>
      <c r="H327" s="33" t="str">
        <f>IF(G327="","",IF(F327="žena",ROMAN(MATCH(G327+1,'[1]Normy VP'!$Y$27:$Y$33,-1)),ROMAN(MATCH(G327+1,'[1]Normy VP'!$Y$19:$Y$25,-1))))</f>
        <v/>
      </c>
      <c r="I327" s="21"/>
      <c r="J327" s="22"/>
      <c r="K327" s="23"/>
      <c r="L327" s="23"/>
      <c r="M327" s="23"/>
      <c r="N327" s="22"/>
      <c r="O327" s="22"/>
      <c r="P327" s="24" t="str">
        <f>IF(OR($J327="",$J327="odešel"),IF(K327="","",IF($F327="žena",CHOOSE(_xlfn.ARABIC($H327),MATCH(K327+1,'[1]Normy VP'!$C$25:$F$25,-1),MATCH(K327+1,'[1]Normy VP'!$C$26:$F$26,-1),MATCH(K327+1,'[1]Normy VP'!$C$27:$F$27,-1),MATCH(K327+1,'[1]Normy VP'!$C$28:$F$28,-1),MATCH(K327+1,'[1]Normy VP'!$C$29:$F$29,-1),"muž"),CHOOSE(_xlfn.ARABIC($H327),MATCH(K327+1,'[1]Normy VP'!$C$10:$F$10,-1),MATCH(K327+1,'[1]Normy VP'!$C$11:$F$11,-1),MATCH(K327+1,'[1]Normy VP'!$C$12:$F$12,-1),MATCH(K327+1,'[1]Normy VP'!$C$13:$F$13,-1),MATCH(K327+1,'[1]Normy VP'!$C$14:$F$14,-1),""))),"O")</f>
        <v/>
      </c>
      <c r="Q327" s="24" t="str">
        <f>IF(OR($J327="",$J327="odešel"),IF($F327="žena","",IF(L327="","",(CHOOSE(_xlfn.ARABIC($H327),MATCH(L327+1,'[1]Normy VP'!$G$10:$J$10,-1),MATCH(L327+1,'[1]Normy VP'!$G$11:$J$11,-1),MATCH(L327+1,'[1]Normy VP'!$G$12:$J$12,-1),MATCH(L327+1,'[1]Normy VP'!$G$13:$J$13,-1),MATCH(L327+1,'[1]Normy VP'!$G$14:$J$14,-1),"")))),"O")</f>
        <v/>
      </c>
      <c r="R327" s="34" t="str">
        <f t="shared" si="21"/>
        <v>N</v>
      </c>
      <c r="S327" s="24" t="str">
        <f>IF(OR($J327="",$J327="odešel"),IF(M327="","N",IF($F327="žena",CHOOSE(_xlfn.ARABIC($H327),MATCH(M327+1,'[1]Normy VP'!$G$25:$J$25,-1),MATCH(M327+1,'[1]Normy VP'!$G$26:$J$26,-1),MATCH(M327+1,'[1]Normy VP'!$G$27:$J$27,-1),MATCH(M327+1,'[1]Normy VP'!$G$28:$J$28,-1),MATCH(M327+1,'[1]Normy VP'!$G$29:$J$29,-1),"muž"),(CHOOSE(_xlfn.ARABIC($H327),MATCH(M327+1,'[1]Normy VP'!$K$10:$N$10,-1),MATCH(M327+1,'[1]Normy VP'!$K$11:$N$11,-1),MATCH(M327+1,'[1]Normy VP'!$K$12:$N$12,-1),MATCH(M327+1,'[1]Normy VP'!$K$13:$N$13,-1),MATCH(M327+1,'[1]Normy VP'!$K$14:$N$14,-1),"")))),"O")</f>
        <v>N</v>
      </c>
      <c r="T327" s="34" t="str">
        <f t="shared" si="22"/>
        <v>N</v>
      </c>
      <c r="U327" s="24" t="str">
        <f>IF(OR($J327="",$J327="odešel"),IF(N327="","N",IF($F327="žena",CHOOSE(_xlfn.ARABIC($H327),MATCH(N327+1,'[1]Normy VP'!$K$25:$N$25,-1),MATCH(N327+1,'[1]Normy VP'!$K$26:$N$26,-1),MATCH(N327+1,'[1]Normy VP'!$K$27:$N$27,-1),MATCH(N327+1,'[1]Normy VP'!$K$28:$N$28,-1),MATCH(N327+1,'[1]Normy VP'!$K$29:$N$29,-1),MATCH(N327+1,'[1]Normy VP'!$K$30:$N$30,-1)),CHOOSE(_xlfn.ARABIC($H327),MATCH(N327+1,'[1]Normy VP'!$O$10:$R$10,-1),MATCH(N327+1,'[1]Normy VP'!$O$11:$R$11,-1),MATCH(N327+1,'[1]Normy VP'!$O$12:$R$12,-1),MATCH(N327+1,'[1]Normy VP'!$O$13:$R$13,-1),MATCH(N327+1,'[1]Normy VP'!$O$14:$R$14,-1),MATCH(N327+1,'[1]Normy VP'!$O$15:$R$15,-1)))),"O")</f>
        <v>N</v>
      </c>
      <c r="V327" s="26" t="str">
        <f>IF(OR($J327="",$J327="odešel"),IF(O327="","N",IF($F327="žena",CHOOSE(_xlfn.ARABIC($H327),MATCH(O327-1,'[1]Normy VP'!$O$25:$R$25),MATCH(O327-1,'[1]Normy VP'!$O$26:$R$26),MATCH(O327-1,'[1]Normy VP'!$O$27:$R$27),MATCH(O327-1,'[1]Normy VP'!$O$28:$R$28),MATCH(O327-1,'[1]Normy VP'!$O$29:$R$29),MATCH(O327-1,'[1]Normy VP'!$O$30:$R$30)),CHOOSE(_xlfn.ARABIC($H327),MATCH(O327-1,'[1]Normy VP'!$S$10:$V$10),MATCH(O327-1,'[1]Normy VP'!$S$11:$V$11),MATCH(O327-1,'[1]Normy VP'!$S$12:$V$12),MATCH(O327-1,'[1]Normy VP'!$S$13:$V$13),MATCH(O327-1,'[1]Normy VP'!$S$14:$V$14),MATCH(O327-1,'[1]Normy VP'!$S$15:$V$15)))),"O")</f>
        <v>N</v>
      </c>
      <c r="W327" s="34" t="str">
        <f t="shared" si="23"/>
        <v>N</v>
      </c>
      <c r="X327" s="27" t="str">
        <f>IF(COUNTIF(B327:G327,"")&gt;0,"",IF(COUNTIF([1]PP!$A:$A,A327)=0,"neni v PP",IF(OR(Y327="odešel",VLOOKUP(A327,[1]PP!$A:$W,22,FALSE)="odešel"),"odešel",IF(OR(Y327="N",VLOOKUP(A327,[1]PP!$A:$W,22,FALSE)="N"),"N",IF(OR(Y327="C",VLOOKUP(A327,[1]PP!$A:$W,22,FALSE)="C"),"C",IF(OR(Y327="DZO",VLOOKUP(A327,[1]PP!$A:$W,22,FALSE)="DZO"),"DZO",IF(OR(Y327="mise",Y327="disp.",Y327="končí",Y327="DSC",VLOOKUP(A327,[1]PP!$A:$W,22,FALSE)="mise",VLOOKUP(A327,[1]PP!$A:$W,22,FALSE)="disp.",VLOOKUP(A327,[1]PP!$A:$W,22,FALSE)="končí",VLOOKUP(A327,[1]PP!$A:$W,22,FALSE)="DSC"),"jiné",IF(OR(Y327=4,VLOOKUP(A327,[1]PP!$A:$W,22,FALSE)=4),4,IF(OR(Y327=3,VLOOKUP(A327,[1]PP!$A:$W,22,FALSE)=3),3,IF(OR(Y327=2,VLOOKUP(A327,[1]PP!$A:$W,22,FALSE)=2),2,IF(AND(Y327=1,VLOOKUP(A327,[1]PP!$A:$W,22,FALSE)=1),1)))))))))))</f>
        <v/>
      </c>
      <c r="Y327" s="28" t="str">
        <f>IF(COUNTIF(B327:G327,"")&gt;0,"",IF(COUNTIF([1]PP!$A:$A,A327)=0,"neni v PP",IF(VLOOKUP(A327,[1]PP!$A:$W,8,FALSE)="odešel","odešel",IF(F327="","",IF(J327="",IF(OR(T327=4,W327=4),4,IF(AND(T327="N",W327="N"),"N",IF(OR(T327="N",W327="N"),4,ROUND(AVERAGE(T327,W327),0)))),J327)))))</f>
        <v/>
      </c>
      <c r="Z327" s="29" t="str">
        <f>IF(COUNTIF(B327:G327,"")=0,IF(X327="neni v PP",CONCATENATE("ID: &lt;",A327,"&gt; se neshoduje s žádným IDem v kartě PP"),IF(COUNTIF($A:$A,A327)&gt;1,CONCATENATE("ID: &lt;",A327,"&gt; se v kartě VP opakuje. Je nutné tyto IDy od sebe odlišit, např. mezerou za příjmením."),IF(COUNTIF([1]PP!A:A,A327)&gt;1,CONCATENATE("ID: &lt;",A327,"&gt; se v kartě PP opakuje. Je nutné tyto IDy od sebe odlišit, např. mezerou za příjmením."),IF(VLOOKUP(A327,[1]PP!$A:$W,5,FALSE)&lt;&gt;E327,CONCATENATE($E$4," &lt;",E327,"&gt; se neshoduje s jednotkou v kartě PP"," &lt;",VLOOKUP(A327,[1]PP!$A:$W,5,FALSE),"&gt;"),IF(AND(COUNTIF(K327:O327,"")&lt;5,J327="",I327=""),CONCATENATE("Doplň: ",$I$4),IF(AND(YEAR(I327)&lt;&gt;$E$2,COUNTIF(I327,"")=0),CONCATENATE("špatně uveden &lt;",$D$2,"&gt; nebo &lt;",$I$4,"&gt;"),IF(OR(AND(OR(COUNTIF(C327,"*a"),COUNTIF(C327,"*ie"),COUNTIF(C327,"*ine"),COUNTIF(D327,"*Á")),F327="muž"),AND(AND(COUNTIF(C327,"&lt;&gt;"&amp;"*a"),COUNTIF(C327,"&lt;&gt;"&amp;"*ie"),COUNTIF(C327,"&lt;&gt;"&amp;"*ine"),COUNTIF(D327,"&lt;&gt;"&amp;"*Á")),F327="žena")),CONCATENATE(C327," ",D327," je ",F327,"?"),""))))))),IF(COUNTIF(B327:O327,"")=14,"",CONCATENATE("Doplň: ",IF(B327="",CONCATENATE($B$4,IF(COUNTIF(C327:G327,"")=0,"",", ")),""),IF(C327="",CONCATENATE($C$4,IF(COUNTIF(D327:G327,"")=0,"",", ")),""),IF(D327="",CONCATENATE($D$4,IF(COUNTIF(E327:G327,"")=0,"",", ")),""),IF(E327="",CONCATENATE($E$4,IF(COUNTIF(F327:G327,"")=0,"",", ")),""),IF(F327="",CONCATENATE($F$4,IF(G327="",", ","")),""),IF(G327="",$G$4,""))))</f>
        <v/>
      </c>
      <c r="AA327" s="30"/>
    </row>
    <row r="328" spans="1:27" ht="16" x14ac:dyDescent="0.35">
      <c r="A328" s="14" t="str">
        <f t="shared" si="20"/>
        <v xml:space="preserve">  </v>
      </c>
      <c r="B328" s="15"/>
      <c r="C328" s="31"/>
      <c r="D328" s="31"/>
      <c r="E328" s="17"/>
      <c r="F328" s="18"/>
      <c r="G328" s="32"/>
      <c r="H328" s="33" t="str">
        <f>IF(G328="","",IF(F328="žena",ROMAN(MATCH(G328+1,'[1]Normy VP'!$Y$27:$Y$33,-1)),ROMAN(MATCH(G328+1,'[1]Normy VP'!$Y$19:$Y$25,-1))))</f>
        <v/>
      </c>
      <c r="I328" s="21"/>
      <c r="J328" s="22"/>
      <c r="K328" s="23"/>
      <c r="L328" s="23"/>
      <c r="M328" s="23"/>
      <c r="N328" s="22"/>
      <c r="O328" s="22"/>
      <c r="P328" s="24" t="str">
        <f>IF(OR($J328="",$J328="odešel"),IF(K328="","",IF($F328="žena",CHOOSE(_xlfn.ARABIC($H328),MATCH(K328+1,'[1]Normy VP'!$C$25:$F$25,-1),MATCH(K328+1,'[1]Normy VP'!$C$26:$F$26,-1),MATCH(K328+1,'[1]Normy VP'!$C$27:$F$27,-1),MATCH(K328+1,'[1]Normy VP'!$C$28:$F$28,-1),MATCH(K328+1,'[1]Normy VP'!$C$29:$F$29,-1),"muž"),CHOOSE(_xlfn.ARABIC($H328),MATCH(K328+1,'[1]Normy VP'!$C$10:$F$10,-1),MATCH(K328+1,'[1]Normy VP'!$C$11:$F$11,-1),MATCH(K328+1,'[1]Normy VP'!$C$12:$F$12,-1),MATCH(K328+1,'[1]Normy VP'!$C$13:$F$13,-1),MATCH(K328+1,'[1]Normy VP'!$C$14:$F$14,-1),""))),"O")</f>
        <v/>
      </c>
      <c r="Q328" s="24" t="str">
        <f>IF(OR($J328="",$J328="odešel"),IF($F328="žena","",IF(L328="","",(CHOOSE(_xlfn.ARABIC($H328),MATCH(L328+1,'[1]Normy VP'!$G$10:$J$10,-1),MATCH(L328+1,'[1]Normy VP'!$G$11:$J$11,-1),MATCH(L328+1,'[1]Normy VP'!$G$12:$J$12,-1),MATCH(L328+1,'[1]Normy VP'!$G$13:$J$13,-1),MATCH(L328+1,'[1]Normy VP'!$G$14:$J$14,-1),"")))),"O")</f>
        <v/>
      </c>
      <c r="R328" s="34" t="str">
        <f t="shared" si="21"/>
        <v>N</v>
      </c>
      <c r="S328" s="24" t="str">
        <f>IF(OR($J328="",$J328="odešel"),IF(M328="","N",IF($F328="žena",CHOOSE(_xlfn.ARABIC($H328),MATCH(M328+1,'[1]Normy VP'!$G$25:$J$25,-1),MATCH(M328+1,'[1]Normy VP'!$G$26:$J$26,-1),MATCH(M328+1,'[1]Normy VP'!$G$27:$J$27,-1),MATCH(M328+1,'[1]Normy VP'!$G$28:$J$28,-1),MATCH(M328+1,'[1]Normy VP'!$G$29:$J$29,-1),"muž"),(CHOOSE(_xlfn.ARABIC($H328),MATCH(M328+1,'[1]Normy VP'!$K$10:$N$10,-1),MATCH(M328+1,'[1]Normy VP'!$K$11:$N$11,-1),MATCH(M328+1,'[1]Normy VP'!$K$12:$N$12,-1),MATCH(M328+1,'[1]Normy VP'!$K$13:$N$13,-1),MATCH(M328+1,'[1]Normy VP'!$K$14:$N$14,-1),"")))),"O")</f>
        <v>N</v>
      </c>
      <c r="T328" s="34" t="str">
        <f t="shared" si="22"/>
        <v>N</v>
      </c>
      <c r="U328" s="24" t="str">
        <f>IF(OR($J328="",$J328="odešel"),IF(N328="","N",IF($F328="žena",CHOOSE(_xlfn.ARABIC($H328),MATCH(N328+1,'[1]Normy VP'!$K$25:$N$25,-1),MATCH(N328+1,'[1]Normy VP'!$K$26:$N$26,-1),MATCH(N328+1,'[1]Normy VP'!$K$27:$N$27,-1),MATCH(N328+1,'[1]Normy VP'!$K$28:$N$28,-1),MATCH(N328+1,'[1]Normy VP'!$K$29:$N$29,-1),MATCH(N328+1,'[1]Normy VP'!$K$30:$N$30,-1)),CHOOSE(_xlfn.ARABIC($H328),MATCH(N328+1,'[1]Normy VP'!$O$10:$R$10,-1),MATCH(N328+1,'[1]Normy VP'!$O$11:$R$11,-1),MATCH(N328+1,'[1]Normy VP'!$O$12:$R$12,-1),MATCH(N328+1,'[1]Normy VP'!$O$13:$R$13,-1),MATCH(N328+1,'[1]Normy VP'!$O$14:$R$14,-1),MATCH(N328+1,'[1]Normy VP'!$O$15:$R$15,-1)))),"O")</f>
        <v>N</v>
      </c>
      <c r="V328" s="26" t="str">
        <f>IF(OR($J328="",$J328="odešel"),IF(O328="","N",IF($F328="žena",CHOOSE(_xlfn.ARABIC($H328),MATCH(O328-1,'[1]Normy VP'!$O$25:$R$25),MATCH(O328-1,'[1]Normy VP'!$O$26:$R$26),MATCH(O328-1,'[1]Normy VP'!$O$27:$R$27),MATCH(O328-1,'[1]Normy VP'!$O$28:$R$28),MATCH(O328-1,'[1]Normy VP'!$O$29:$R$29),MATCH(O328-1,'[1]Normy VP'!$O$30:$R$30)),CHOOSE(_xlfn.ARABIC($H328),MATCH(O328-1,'[1]Normy VP'!$S$10:$V$10),MATCH(O328-1,'[1]Normy VP'!$S$11:$V$11),MATCH(O328-1,'[1]Normy VP'!$S$12:$V$12),MATCH(O328-1,'[1]Normy VP'!$S$13:$V$13),MATCH(O328-1,'[1]Normy VP'!$S$14:$V$14),MATCH(O328-1,'[1]Normy VP'!$S$15:$V$15)))),"O")</f>
        <v>N</v>
      </c>
      <c r="W328" s="34" t="str">
        <f t="shared" si="23"/>
        <v>N</v>
      </c>
      <c r="X328" s="27" t="str">
        <f>IF(COUNTIF(B328:G328,"")&gt;0,"",IF(COUNTIF([1]PP!$A:$A,A328)=0,"neni v PP",IF(OR(Y328="odešel",VLOOKUP(A328,[1]PP!$A:$W,22,FALSE)="odešel"),"odešel",IF(OR(Y328="N",VLOOKUP(A328,[1]PP!$A:$W,22,FALSE)="N"),"N",IF(OR(Y328="C",VLOOKUP(A328,[1]PP!$A:$W,22,FALSE)="C"),"C",IF(OR(Y328="DZO",VLOOKUP(A328,[1]PP!$A:$W,22,FALSE)="DZO"),"DZO",IF(OR(Y328="mise",Y328="disp.",Y328="končí",Y328="DSC",VLOOKUP(A328,[1]PP!$A:$W,22,FALSE)="mise",VLOOKUP(A328,[1]PP!$A:$W,22,FALSE)="disp.",VLOOKUP(A328,[1]PP!$A:$W,22,FALSE)="končí",VLOOKUP(A328,[1]PP!$A:$W,22,FALSE)="DSC"),"jiné",IF(OR(Y328=4,VLOOKUP(A328,[1]PP!$A:$W,22,FALSE)=4),4,IF(OR(Y328=3,VLOOKUP(A328,[1]PP!$A:$W,22,FALSE)=3),3,IF(OR(Y328=2,VLOOKUP(A328,[1]PP!$A:$W,22,FALSE)=2),2,IF(AND(Y328=1,VLOOKUP(A328,[1]PP!$A:$W,22,FALSE)=1),1)))))))))))</f>
        <v/>
      </c>
      <c r="Y328" s="28" t="str">
        <f>IF(COUNTIF(B328:G328,"")&gt;0,"",IF(COUNTIF([1]PP!$A:$A,A328)=0,"neni v PP",IF(VLOOKUP(A328,[1]PP!$A:$W,8,FALSE)="odešel","odešel",IF(F328="","",IF(J328="",IF(OR(T328=4,W328=4),4,IF(AND(T328="N",W328="N"),"N",IF(OR(T328="N",W328="N"),4,ROUND(AVERAGE(T328,W328),0)))),J328)))))</f>
        <v/>
      </c>
      <c r="Z328" s="29" t="str">
        <f>IF(COUNTIF(B328:G328,"")=0,IF(X328="neni v PP",CONCATENATE("ID: &lt;",A328,"&gt; se neshoduje s žádným IDem v kartě PP"),IF(COUNTIF($A:$A,A328)&gt;1,CONCATENATE("ID: &lt;",A328,"&gt; se v kartě VP opakuje. Je nutné tyto IDy od sebe odlišit, např. mezerou za příjmením."),IF(COUNTIF([1]PP!A:A,A328)&gt;1,CONCATENATE("ID: &lt;",A328,"&gt; se v kartě PP opakuje. Je nutné tyto IDy od sebe odlišit, např. mezerou za příjmením."),IF(VLOOKUP(A328,[1]PP!$A:$W,5,FALSE)&lt;&gt;E328,CONCATENATE($E$4," &lt;",E328,"&gt; se neshoduje s jednotkou v kartě PP"," &lt;",VLOOKUP(A328,[1]PP!$A:$W,5,FALSE),"&gt;"),IF(AND(COUNTIF(K328:O328,"")&lt;5,J328="",I328=""),CONCATENATE("Doplň: ",$I$4),IF(AND(YEAR(I328)&lt;&gt;$E$2,COUNTIF(I328,"")=0),CONCATENATE("špatně uveden &lt;",$D$2,"&gt; nebo &lt;",$I$4,"&gt;"),IF(OR(AND(OR(COUNTIF(C328,"*a"),COUNTIF(C328,"*ie"),COUNTIF(C328,"*ine"),COUNTIF(D328,"*Á")),F328="muž"),AND(AND(COUNTIF(C328,"&lt;&gt;"&amp;"*a"),COUNTIF(C328,"&lt;&gt;"&amp;"*ie"),COUNTIF(C328,"&lt;&gt;"&amp;"*ine"),COUNTIF(D328,"&lt;&gt;"&amp;"*Á")),F328="žena")),CONCATENATE(C328," ",D328," je ",F328,"?"),""))))))),IF(COUNTIF(B328:O328,"")=14,"",CONCATENATE("Doplň: ",IF(B328="",CONCATENATE($B$4,IF(COUNTIF(C328:G328,"")=0,"",", ")),""),IF(C328="",CONCATENATE($C$4,IF(COUNTIF(D328:G328,"")=0,"",", ")),""),IF(D328="",CONCATENATE($D$4,IF(COUNTIF(E328:G328,"")=0,"",", ")),""),IF(E328="",CONCATENATE($E$4,IF(COUNTIF(F328:G328,"")=0,"",", ")),""),IF(F328="",CONCATENATE($F$4,IF(G328="",", ","")),""),IF(G328="",$G$4,""))))</f>
        <v/>
      </c>
      <c r="AA328" s="30"/>
    </row>
    <row r="329" spans="1:27" ht="16" x14ac:dyDescent="0.35">
      <c r="A329" s="14" t="str">
        <f t="shared" si="20"/>
        <v xml:space="preserve">  </v>
      </c>
      <c r="B329" s="15"/>
      <c r="C329" s="31"/>
      <c r="D329" s="31"/>
      <c r="E329" s="17"/>
      <c r="F329" s="18"/>
      <c r="G329" s="32"/>
      <c r="H329" s="33" t="str">
        <f>IF(G329="","",IF(F329="žena",ROMAN(MATCH(G329+1,'[1]Normy VP'!$Y$27:$Y$33,-1)),ROMAN(MATCH(G329+1,'[1]Normy VP'!$Y$19:$Y$25,-1))))</f>
        <v/>
      </c>
      <c r="I329" s="21"/>
      <c r="J329" s="22"/>
      <c r="K329" s="23"/>
      <c r="L329" s="23"/>
      <c r="M329" s="23"/>
      <c r="N329" s="22"/>
      <c r="O329" s="22"/>
      <c r="P329" s="24" t="str">
        <f>IF(OR($J329="",$J329="odešel"),IF(K329="","",IF($F329="žena",CHOOSE(_xlfn.ARABIC($H329),MATCH(K329+1,'[1]Normy VP'!$C$25:$F$25,-1),MATCH(K329+1,'[1]Normy VP'!$C$26:$F$26,-1),MATCH(K329+1,'[1]Normy VP'!$C$27:$F$27,-1),MATCH(K329+1,'[1]Normy VP'!$C$28:$F$28,-1),MATCH(K329+1,'[1]Normy VP'!$C$29:$F$29,-1),"muž"),CHOOSE(_xlfn.ARABIC($H329),MATCH(K329+1,'[1]Normy VP'!$C$10:$F$10,-1),MATCH(K329+1,'[1]Normy VP'!$C$11:$F$11,-1),MATCH(K329+1,'[1]Normy VP'!$C$12:$F$12,-1),MATCH(K329+1,'[1]Normy VP'!$C$13:$F$13,-1),MATCH(K329+1,'[1]Normy VP'!$C$14:$F$14,-1),""))),"O")</f>
        <v/>
      </c>
      <c r="Q329" s="24" t="str">
        <f>IF(OR($J329="",$J329="odešel"),IF($F329="žena","",IF(L329="","",(CHOOSE(_xlfn.ARABIC($H329),MATCH(L329+1,'[1]Normy VP'!$G$10:$J$10,-1),MATCH(L329+1,'[1]Normy VP'!$G$11:$J$11,-1),MATCH(L329+1,'[1]Normy VP'!$G$12:$J$12,-1),MATCH(L329+1,'[1]Normy VP'!$G$13:$J$13,-1),MATCH(L329+1,'[1]Normy VP'!$G$14:$J$14,-1),"")))),"O")</f>
        <v/>
      </c>
      <c r="R329" s="34" t="str">
        <f t="shared" si="21"/>
        <v>N</v>
      </c>
      <c r="S329" s="24" t="str">
        <f>IF(OR($J329="",$J329="odešel"),IF(M329="","N",IF($F329="žena",CHOOSE(_xlfn.ARABIC($H329),MATCH(M329+1,'[1]Normy VP'!$G$25:$J$25,-1),MATCH(M329+1,'[1]Normy VP'!$G$26:$J$26,-1),MATCH(M329+1,'[1]Normy VP'!$G$27:$J$27,-1),MATCH(M329+1,'[1]Normy VP'!$G$28:$J$28,-1),MATCH(M329+1,'[1]Normy VP'!$G$29:$J$29,-1),"muž"),(CHOOSE(_xlfn.ARABIC($H329),MATCH(M329+1,'[1]Normy VP'!$K$10:$N$10,-1),MATCH(M329+1,'[1]Normy VP'!$K$11:$N$11,-1),MATCH(M329+1,'[1]Normy VP'!$K$12:$N$12,-1),MATCH(M329+1,'[1]Normy VP'!$K$13:$N$13,-1),MATCH(M329+1,'[1]Normy VP'!$K$14:$N$14,-1),"")))),"O")</f>
        <v>N</v>
      </c>
      <c r="T329" s="34" t="str">
        <f t="shared" si="22"/>
        <v>N</v>
      </c>
      <c r="U329" s="24" t="str">
        <f>IF(OR($J329="",$J329="odešel"),IF(N329="","N",IF($F329="žena",CHOOSE(_xlfn.ARABIC($H329),MATCH(N329+1,'[1]Normy VP'!$K$25:$N$25,-1),MATCH(N329+1,'[1]Normy VP'!$K$26:$N$26,-1),MATCH(N329+1,'[1]Normy VP'!$K$27:$N$27,-1),MATCH(N329+1,'[1]Normy VP'!$K$28:$N$28,-1),MATCH(N329+1,'[1]Normy VP'!$K$29:$N$29,-1),MATCH(N329+1,'[1]Normy VP'!$K$30:$N$30,-1)),CHOOSE(_xlfn.ARABIC($H329),MATCH(N329+1,'[1]Normy VP'!$O$10:$R$10,-1),MATCH(N329+1,'[1]Normy VP'!$O$11:$R$11,-1),MATCH(N329+1,'[1]Normy VP'!$O$12:$R$12,-1),MATCH(N329+1,'[1]Normy VP'!$O$13:$R$13,-1),MATCH(N329+1,'[1]Normy VP'!$O$14:$R$14,-1),MATCH(N329+1,'[1]Normy VP'!$O$15:$R$15,-1)))),"O")</f>
        <v>N</v>
      </c>
      <c r="V329" s="26" t="str">
        <f>IF(OR($J329="",$J329="odešel"),IF(O329="","N",IF($F329="žena",CHOOSE(_xlfn.ARABIC($H329),MATCH(O329-1,'[1]Normy VP'!$O$25:$R$25),MATCH(O329-1,'[1]Normy VP'!$O$26:$R$26),MATCH(O329-1,'[1]Normy VP'!$O$27:$R$27),MATCH(O329-1,'[1]Normy VP'!$O$28:$R$28),MATCH(O329-1,'[1]Normy VP'!$O$29:$R$29),MATCH(O329-1,'[1]Normy VP'!$O$30:$R$30)),CHOOSE(_xlfn.ARABIC($H329),MATCH(O329-1,'[1]Normy VP'!$S$10:$V$10),MATCH(O329-1,'[1]Normy VP'!$S$11:$V$11),MATCH(O329-1,'[1]Normy VP'!$S$12:$V$12),MATCH(O329-1,'[1]Normy VP'!$S$13:$V$13),MATCH(O329-1,'[1]Normy VP'!$S$14:$V$14),MATCH(O329-1,'[1]Normy VP'!$S$15:$V$15)))),"O")</f>
        <v>N</v>
      </c>
      <c r="W329" s="34" t="str">
        <f t="shared" si="23"/>
        <v>N</v>
      </c>
      <c r="X329" s="27" t="str">
        <f>IF(COUNTIF(B329:G329,"")&gt;0,"",IF(COUNTIF([1]PP!$A:$A,A329)=0,"neni v PP",IF(OR(Y329="odešel",VLOOKUP(A329,[1]PP!$A:$W,22,FALSE)="odešel"),"odešel",IF(OR(Y329="N",VLOOKUP(A329,[1]PP!$A:$W,22,FALSE)="N"),"N",IF(OR(Y329="C",VLOOKUP(A329,[1]PP!$A:$W,22,FALSE)="C"),"C",IF(OR(Y329="DZO",VLOOKUP(A329,[1]PP!$A:$W,22,FALSE)="DZO"),"DZO",IF(OR(Y329="mise",Y329="disp.",Y329="končí",Y329="DSC",VLOOKUP(A329,[1]PP!$A:$W,22,FALSE)="mise",VLOOKUP(A329,[1]PP!$A:$W,22,FALSE)="disp.",VLOOKUP(A329,[1]PP!$A:$W,22,FALSE)="končí",VLOOKUP(A329,[1]PP!$A:$W,22,FALSE)="DSC"),"jiné",IF(OR(Y329=4,VLOOKUP(A329,[1]PP!$A:$W,22,FALSE)=4),4,IF(OR(Y329=3,VLOOKUP(A329,[1]PP!$A:$W,22,FALSE)=3),3,IF(OR(Y329=2,VLOOKUP(A329,[1]PP!$A:$W,22,FALSE)=2),2,IF(AND(Y329=1,VLOOKUP(A329,[1]PP!$A:$W,22,FALSE)=1),1)))))))))))</f>
        <v/>
      </c>
      <c r="Y329" s="28" t="str">
        <f>IF(COUNTIF(B329:G329,"")&gt;0,"",IF(COUNTIF([1]PP!$A:$A,A329)=0,"neni v PP",IF(VLOOKUP(A329,[1]PP!$A:$W,8,FALSE)="odešel","odešel",IF(F329="","",IF(J329="",IF(OR(T329=4,W329=4),4,IF(AND(T329="N",W329="N"),"N",IF(OR(T329="N",W329="N"),4,ROUND(AVERAGE(T329,W329),0)))),J329)))))</f>
        <v/>
      </c>
      <c r="Z329" s="29" t="str">
        <f>IF(COUNTIF(B329:G329,"")=0,IF(X329="neni v PP",CONCATENATE("ID: &lt;",A329,"&gt; se neshoduje s žádným IDem v kartě PP"),IF(COUNTIF($A:$A,A329)&gt;1,CONCATENATE("ID: &lt;",A329,"&gt; se v kartě VP opakuje. Je nutné tyto IDy od sebe odlišit, např. mezerou za příjmením."),IF(COUNTIF([1]PP!A:A,A329)&gt;1,CONCATENATE("ID: &lt;",A329,"&gt; se v kartě PP opakuje. Je nutné tyto IDy od sebe odlišit, např. mezerou za příjmením."),IF(VLOOKUP(A329,[1]PP!$A:$W,5,FALSE)&lt;&gt;E329,CONCATENATE($E$4," &lt;",E329,"&gt; se neshoduje s jednotkou v kartě PP"," &lt;",VLOOKUP(A329,[1]PP!$A:$W,5,FALSE),"&gt;"),IF(AND(COUNTIF(K329:O329,"")&lt;5,J329="",I329=""),CONCATENATE("Doplň: ",$I$4),IF(AND(YEAR(I329)&lt;&gt;$E$2,COUNTIF(I329,"")=0),CONCATENATE("špatně uveden &lt;",$D$2,"&gt; nebo &lt;",$I$4,"&gt;"),IF(OR(AND(OR(COUNTIF(C329,"*a"),COUNTIF(C329,"*ie"),COUNTIF(C329,"*ine"),COUNTIF(D329,"*Á")),F329="muž"),AND(AND(COUNTIF(C329,"&lt;&gt;"&amp;"*a"),COUNTIF(C329,"&lt;&gt;"&amp;"*ie"),COUNTIF(C329,"&lt;&gt;"&amp;"*ine"),COUNTIF(D329,"&lt;&gt;"&amp;"*Á")),F329="žena")),CONCATENATE(C329," ",D329," je ",F329,"?"),""))))))),IF(COUNTIF(B329:O329,"")=14,"",CONCATENATE("Doplň: ",IF(B329="",CONCATENATE($B$4,IF(COUNTIF(C329:G329,"")=0,"",", ")),""),IF(C329="",CONCATENATE($C$4,IF(COUNTIF(D329:G329,"")=0,"",", ")),""),IF(D329="",CONCATENATE($D$4,IF(COUNTIF(E329:G329,"")=0,"",", ")),""),IF(E329="",CONCATENATE($E$4,IF(COUNTIF(F329:G329,"")=0,"",", ")),""),IF(F329="",CONCATENATE($F$4,IF(G329="",", ","")),""),IF(G329="",$G$4,""))))</f>
        <v/>
      </c>
      <c r="AA329" s="30"/>
    </row>
    <row r="330" spans="1:27" ht="16" x14ac:dyDescent="0.35">
      <c r="A330" s="14" t="str">
        <f t="shared" si="20"/>
        <v xml:space="preserve">  </v>
      </c>
      <c r="B330" s="15"/>
      <c r="C330" s="31"/>
      <c r="D330" s="31"/>
      <c r="E330" s="17"/>
      <c r="F330" s="18"/>
      <c r="G330" s="32"/>
      <c r="H330" s="33" t="str">
        <f>IF(G330="","",IF(F330="žena",ROMAN(MATCH(G330+1,'[1]Normy VP'!$Y$27:$Y$33,-1)),ROMAN(MATCH(G330+1,'[1]Normy VP'!$Y$19:$Y$25,-1))))</f>
        <v/>
      </c>
      <c r="I330" s="21"/>
      <c r="J330" s="22"/>
      <c r="K330" s="23"/>
      <c r="L330" s="23"/>
      <c r="M330" s="23"/>
      <c r="N330" s="22"/>
      <c r="O330" s="22"/>
      <c r="P330" s="24" t="str">
        <f>IF(OR($J330="",$J330="odešel"),IF(K330="","",IF($F330="žena",CHOOSE(_xlfn.ARABIC($H330),MATCH(K330+1,'[1]Normy VP'!$C$25:$F$25,-1),MATCH(K330+1,'[1]Normy VP'!$C$26:$F$26,-1),MATCH(K330+1,'[1]Normy VP'!$C$27:$F$27,-1),MATCH(K330+1,'[1]Normy VP'!$C$28:$F$28,-1),MATCH(K330+1,'[1]Normy VP'!$C$29:$F$29,-1),"muž"),CHOOSE(_xlfn.ARABIC($H330),MATCH(K330+1,'[1]Normy VP'!$C$10:$F$10,-1),MATCH(K330+1,'[1]Normy VP'!$C$11:$F$11,-1),MATCH(K330+1,'[1]Normy VP'!$C$12:$F$12,-1),MATCH(K330+1,'[1]Normy VP'!$C$13:$F$13,-1),MATCH(K330+1,'[1]Normy VP'!$C$14:$F$14,-1),""))),"O")</f>
        <v/>
      </c>
      <c r="Q330" s="24" t="str">
        <f>IF(OR($J330="",$J330="odešel"),IF($F330="žena","",IF(L330="","",(CHOOSE(_xlfn.ARABIC($H330),MATCH(L330+1,'[1]Normy VP'!$G$10:$J$10,-1),MATCH(L330+1,'[1]Normy VP'!$G$11:$J$11,-1),MATCH(L330+1,'[1]Normy VP'!$G$12:$J$12,-1),MATCH(L330+1,'[1]Normy VP'!$G$13:$J$13,-1),MATCH(L330+1,'[1]Normy VP'!$G$14:$J$14,-1),"")))),"O")</f>
        <v/>
      </c>
      <c r="R330" s="34" t="str">
        <f t="shared" si="21"/>
        <v>N</v>
      </c>
      <c r="S330" s="24" t="str">
        <f>IF(OR($J330="",$J330="odešel"),IF(M330="","N",IF($F330="žena",CHOOSE(_xlfn.ARABIC($H330),MATCH(M330+1,'[1]Normy VP'!$G$25:$J$25,-1),MATCH(M330+1,'[1]Normy VP'!$G$26:$J$26,-1),MATCH(M330+1,'[1]Normy VP'!$G$27:$J$27,-1),MATCH(M330+1,'[1]Normy VP'!$G$28:$J$28,-1),MATCH(M330+1,'[1]Normy VP'!$G$29:$J$29,-1),"muž"),(CHOOSE(_xlfn.ARABIC($H330),MATCH(M330+1,'[1]Normy VP'!$K$10:$N$10,-1),MATCH(M330+1,'[1]Normy VP'!$K$11:$N$11,-1),MATCH(M330+1,'[1]Normy VP'!$K$12:$N$12,-1),MATCH(M330+1,'[1]Normy VP'!$K$13:$N$13,-1),MATCH(M330+1,'[1]Normy VP'!$K$14:$N$14,-1),"")))),"O")</f>
        <v>N</v>
      </c>
      <c r="T330" s="34" t="str">
        <f t="shared" si="22"/>
        <v>N</v>
      </c>
      <c r="U330" s="24" t="str">
        <f>IF(OR($J330="",$J330="odešel"),IF(N330="","N",IF($F330="žena",CHOOSE(_xlfn.ARABIC($H330),MATCH(N330+1,'[1]Normy VP'!$K$25:$N$25,-1),MATCH(N330+1,'[1]Normy VP'!$K$26:$N$26,-1),MATCH(N330+1,'[1]Normy VP'!$K$27:$N$27,-1),MATCH(N330+1,'[1]Normy VP'!$K$28:$N$28,-1),MATCH(N330+1,'[1]Normy VP'!$K$29:$N$29,-1),MATCH(N330+1,'[1]Normy VP'!$K$30:$N$30,-1)),CHOOSE(_xlfn.ARABIC($H330),MATCH(N330+1,'[1]Normy VP'!$O$10:$R$10,-1),MATCH(N330+1,'[1]Normy VP'!$O$11:$R$11,-1),MATCH(N330+1,'[1]Normy VP'!$O$12:$R$12,-1),MATCH(N330+1,'[1]Normy VP'!$O$13:$R$13,-1),MATCH(N330+1,'[1]Normy VP'!$O$14:$R$14,-1),MATCH(N330+1,'[1]Normy VP'!$O$15:$R$15,-1)))),"O")</f>
        <v>N</v>
      </c>
      <c r="V330" s="26" t="str">
        <f>IF(OR($J330="",$J330="odešel"),IF(O330="","N",IF($F330="žena",CHOOSE(_xlfn.ARABIC($H330),MATCH(O330-1,'[1]Normy VP'!$O$25:$R$25),MATCH(O330-1,'[1]Normy VP'!$O$26:$R$26),MATCH(O330-1,'[1]Normy VP'!$O$27:$R$27),MATCH(O330-1,'[1]Normy VP'!$O$28:$R$28),MATCH(O330-1,'[1]Normy VP'!$O$29:$R$29),MATCH(O330-1,'[1]Normy VP'!$O$30:$R$30)),CHOOSE(_xlfn.ARABIC($H330),MATCH(O330-1,'[1]Normy VP'!$S$10:$V$10),MATCH(O330-1,'[1]Normy VP'!$S$11:$V$11),MATCH(O330-1,'[1]Normy VP'!$S$12:$V$12),MATCH(O330-1,'[1]Normy VP'!$S$13:$V$13),MATCH(O330-1,'[1]Normy VP'!$S$14:$V$14),MATCH(O330-1,'[1]Normy VP'!$S$15:$V$15)))),"O")</f>
        <v>N</v>
      </c>
      <c r="W330" s="34" t="str">
        <f t="shared" si="23"/>
        <v>N</v>
      </c>
      <c r="X330" s="27" t="str">
        <f>IF(COUNTIF(B330:G330,"")&gt;0,"",IF(COUNTIF([1]PP!$A:$A,A330)=0,"neni v PP",IF(OR(Y330="odešel",VLOOKUP(A330,[1]PP!$A:$W,22,FALSE)="odešel"),"odešel",IF(OR(Y330="N",VLOOKUP(A330,[1]PP!$A:$W,22,FALSE)="N"),"N",IF(OR(Y330="C",VLOOKUP(A330,[1]PP!$A:$W,22,FALSE)="C"),"C",IF(OR(Y330="DZO",VLOOKUP(A330,[1]PP!$A:$W,22,FALSE)="DZO"),"DZO",IF(OR(Y330="mise",Y330="disp.",Y330="končí",Y330="DSC",VLOOKUP(A330,[1]PP!$A:$W,22,FALSE)="mise",VLOOKUP(A330,[1]PP!$A:$W,22,FALSE)="disp.",VLOOKUP(A330,[1]PP!$A:$W,22,FALSE)="končí",VLOOKUP(A330,[1]PP!$A:$W,22,FALSE)="DSC"),"jiné",IF(OR(Y330=4,VLOOKUP(A330,[1]PP!$A:$W,22,FALSE)=4),4,IF(OR(Y330=3,VLOOKUP(A330,[1]PP!$A:$W,22,FALSE)=3),3,IF(OR(Y330=2,VLOOKUP(A330,[1]PP!$A:$W,22,FALSE)=2),2,IF(AND(Y330=1,VLOOKUP(A330,[1]PP!$A:$W,22,FALSE)=1),1)))))))))))</f>
        <v/>
      </c>
      <c r="Y330" s="28" t="str">
        <f>IF(COUNTIF(B330:G330,"")&gt;0,"",IF(COUNTIF([1]PP!$A:$A,A330)=0,"neni v PP",IF(VLOOKUP(A330,[1]PP!$A:$W,8,FALSE)="odešel","odešel",IF(F330="","",IF(J330="",IF(OR(T330=4,W330=4),4,IF(AND(T330="N",W330="N"),"N",IF(OR(T330="N",W330="N"),4,ROUND(AVERAGE(T330,W330),0)))),J330)))))</f>
        <v/>
      </c>
      <c r="Z330" s="29" t="str">
        <f>IF(COUNTIF(B330:G330,"")=0,IF(X330="neni v PP",CONCATENATE("ID: &lt;",A330,"&gt; se neshoduje s žádným IDem v kartě PP"),IF(COUNTIF($A:$A,A330)&gt;1,CONCATENATE("ID: &lt;",A330,"&gt; se v kartě VP opakuje. Je nutné tyto IDy od sebe odlišit, např. mezerou za příjmením."),IF(COUNTIF([1]PP!A:A,A330)&gt;1,CONCATENATE("ID: &lt;",A330,"&gt; se v kartě PP opakuje. Je nutné tyto IDy od sebe odlišit, např. mezerou za příjmením."),IF(VLOOKUP(A330,[1]PP!$A:$W,5,FALSE)&lt;&gt;E330,CONCATENATE($E$4," &lt;",E330,"&gt; se neshoduje s jednotkou v kartě PP"," &lt;",VLOOKUP(A330,[1]PP!$A:$W,5,FALSE),"&gt;"),IF(AND(COUNTIF(K330:O330,"")&lt;5,J330="",I330=""),CONCATENATE("Doplň: ",$I$4),IF(AND(YEAR(I330)&lt;&gt;$E$2,COUNTIF(I330,"")=0),CONCATENATE("špatně uveden &lt;",$D$2,"&gt; nebo &lt;",$I$4,"&gt;"),IF(OR(AND(OR(COUNTIF(C330,"*a"),COUNTIF(C330,"*ie"),COUNTIF(C330,"*ine"),COUNTIF(D330,"*Á")),F330="muž"),AND(AND(COUNTIF(C330,"&lt;&gt;"&amp;"*a"),COUNTIF(C330,"&lt;&gt;"&amp;"*ie"),COUNTIF(C330,"&lt;&gt;"&amp;"*ine"),COUNTIF(D330,"&lt;&gt;"&amp;"*Á")),F330="žena")),CONCATENATE(C330," ",D330," je ",F330,"?"),""))))))),IF(COUNTIF(B330:O330,"")=14,"",CONCATENATE("Doplň: ",IF(B330="",CONCATENATE($B$4,IF(COUNTIF(C330:G330,"")=0,"",", ")),""),IF(C330="",CONCATENATE($C$4,IF(COUNTIF(D330:G330,"")=0,"",", ")),""),IF(D330="",CONCATENATE($D$4,IF(COUNTIF(E330:G330,"")=0,"",", ")),""),IF(E330="",CONCATENATE($E$4,IF(COUNTIF(F330:G330,"")=0,"",", ")),""),IF(F330="",CONCATENATE($F$4,IF(G330="",", ","")),""),IF(G330="",$G$4,""))))</f>
        <v/>
      </c>
      <c r="AA330" s="30"/>
    </row>
    <row r="331" spans="1:27" ht="16" x14ac:dyDescent="0.35">
      <c r="A331" s="14" t="str">
        <f t="shared" si="20"/>
        <v xml:space="preserve">  </v>
      </c>
      <c r="B331" s="15"/>
      <c r="C331" s="31"/>
      <c r="D331" s="31"/>
      <c r="E331" s="17"/>
      <c r="F331" s="18"/>
      <c r="G331" s="32"/>
      <c r="H331" s="33" t="str">
        <f>IF(G331="","",IF(F331="žena",ROMAN(MATCH(G331+1,'[1]Normy VP'!$Y$27:$Y$33,-1)),ROMAN(MATCH(G331+1,'[1]Normy VP'!$Y$19:$Y$25,-1))))</f>
        <v/>
      </c>
      <c r="I331" s="21"/>
      <c r="J331" s="22"/>
      <c r="K331" s="23"/>
      <c r="L331" s="23"/>
      <c r="M331" s="23"/>
      <c r="N331" s="22"/>
      <c r="O331" s="22"/>
      <c r="P331" s="24" t="str">
        <f>IF(OR($J331="",$J331="odešel"),IF(K331="","",IF($F331="žena",CHOOSE(_xlfn.ARABIC($H331),MATCH(K331+1,'[1]Normy VP'!$C$25:$F$25,-1),MATCH(K331+1,'[1]Normy VP'!$C$26:$F$26,-1),MATCH(K331+1,'[1]Normy VP'!$C$27:$F$27,-1),MATCH(K331+1,'[1]Normy VP'!$C$28:$F$28,-1),MATCH(K331+1,'[1]Normy VP'!$C$29:$F$29,-1),"muž"),CHOOSE(_xlfn.ARABIC($H331),MATCH(K331+1,'[1]Normy VP'!$C$10:$F$10,-1),MATCH(K331+1,'[1]Normy VP'!$C$11:$F$11,-1),MATCH(K331+1,'[1]Normy VP'!$C$12:$F$12,-1),MATCH(K331+1,'[1]Normy VP'!$C$13:$F$13,-1),MATCH(K331+1,'[1]Normy VP'!$C$14:$F$14,-1),""))),"O")</f>
        <v/>
      </c>
      <c r="Q331" s="24" t="str">
        <f>IF(OR($J331="",$J331="odešel"),IF($F331="žena","",IF(L331="","",(CHOOSE(_xlfn.ARABIC($H331),MATCH(L331+1,'[1]Normy VP'!$G$10:$J$10,-1),MATCH(L331+1,'[1]Normy VP'!$G$11:$J$11,-1),MATCH(L331+1,'[1]Normy VP'!$G$12:$J$12,-1),MATCH(L331+1,'[1]Normy VP'!$G$13:$J$13,-1),MATCH(L331+1,'[1]Normy VP'!$G$14:$J$14,-1),"")))),"O")</f>
        <v/>
      </c>
      <c r="R331" s="34" t="str">
        <f t="shared" si="21"/>
        <v>N</v>
      </c>
      <c r="S331" s="24" t="str">
        <f>IF(OR($J331="",$J331="odešel"),IF(M331="","N",IF($F331="žena",CHOOSE(_xlfn.ARABIC($H331),MATCH(M331+1,'[1]Normy VP'!$G$25:$J$25,-1),MATCH(M331+1,'[1]Normy VP'!$G$26:$J$26,-1),MATCH(M331+1,'[1]Normy VP'!$G$27:$J$27,-1),MATCH(M331+1,'[1]Normy VP'!$G$28:$J$28,-1),MATCH(M331+1,'[1]Normy VP'!$G$29:$J$29,-1),"muž"),(CHOOSE(_xlfn.ARABIC($H331),MATCH(M331+1,'[1]Normy VP'!$K$10:$N$10,-1),MATCH(M331+1,'[1]Normy VP'!$K$11:$N$11,-1),MATCH(M331+1,'[1]Normy VP'!$K$12:$N$12,-1),MATCH(M331+1,'[1]Normy VP'!$K$13:$N$13,-1),MATCH(M331+1,'[1]Normy VP'!$K$14:$N$14,-1),"")))),"O")</f>
        <v>N</v>
      </c>
      <c r="T331" s="34" t="str">
        <f t="shared" si="22"/>
        <v>N</v>
      </c>
      <c r="U331" s="24" t="str">
        <f>IF(OR($J331="",$J331="odešel"),IF(N331="","N",IF($F331="žena",CHOOSE(_xlfn.ARABIC($H331),MATCH(N331+1,'[1]Normy VP'!$K$25:$N$25,-1),MATCH(N331+1,'[1]Normy VP'!$K$26:$N$26,-1),MATCH(N331+1,'[1]Normy VP'!$K$27:$N$27,-1),MATCH(N331+1,'[1]Normy VP'!$K$28:$N$28,-1),MATCH(N331+1,'[1]Normy VP'!$K$29:$N$29,-1),MATCH(N331+1,'[1]Normy VP'!$K$30:$N$30,-1)),CHOOSE(_xlfn.ARABIC($H331),MATCH(N331+1,'[1]Normy VP'!$O$10:$R$10,-1),MATCH(N331+1,'[1]Normy VP'!$O$11:$R$11,-1),MATCH(N331+1,'[1]Normy VP'!$O$12:$R$12,-1),MATCH(N331+1,'[1]Normy VP'!$O$13:$R$13,-1),MATCH(N331+1,'[1]Normy VP'!$O$14:$R$14,-1),MATCH(N331+1,'[1]Normy VP'!$O$15:$R$15,-1)))),"O")</f>
        <v>N</v>
      </c>
      <c r="V331" s="26" t="str">
        <f>IF(OR($J331="",$J331="odešel"),IF(O331="","N",IF($F331="žena",CHOOSE(_xlfn.ARABIC($H331),MATCH(O331-1,'[1]Normy VP'!$O$25:$R$25),MATCH(O331-1,'[1]Normy VP'!$O$26:$R$26),MATCH(O331-1,'[1]Normy VP'!$O$27:$R$27),MATCH(O331-1,'[1]Normy VP'!$O$28:$R$28),MATCH(O331-1,'[1]Normy VP'!$O$29:$R$29),MATCH(O331-1,'[1]Normy VP'!$O$30:$R$30)),CHOOSE(_xlfn.ARABIC($H331),MATCH(O331-1,'[1]Normy VP'!$S$10:$V$10),MATCH(O331-1,'[1]Normy VP'!$S$11:$V$11),MATCH(O331-1,'[1]Normy VP'!$S$12:$V$12),MATCH(O331-1,'[1]Normy VP'!$S$13:$V$13),MATCH(O331-1,'[1]Normy VP'!$S$14:$V$14),MATCH(O331-1,'[1]Normy VP'!$S$15:$V$15)))),"O")</f>
        <v>N</v>
      </c>
      <c r="W331" s="34" t="str">
        <f t="shared" si="23"/>
        <v>N</v>
      </c>
      <c r="X331" s="27" t="str">
        <f>IF(COUNTIF(B331:G331,"")&gt;0,"",IF(COUNTIF([1]PP!$A:$A,A331)=0,"neni v PP",IF(OR(Y331="odešel",VLOOKUP(A331,[1]PP!$A:$W,22,FALSE)="odešel"),"odešel",IF(OR(Y331="N",VLOOKUP(A331,[1]PP!$A:$W,22,FALSE)="N"),"N",IF(OR(Y331="C",VLOOKUP(A331,[1]PP!$A:$W,22,FALSE)="C"),"C",IF(OR(Y331="DZO",VLOOKUP(A331,[1]PP!$A:$W,22,FALSE)="DZO"),"DZO",IF(OR(Y331="mise",Y331="disp.",Y331="končí",Y331="DSC",VLOOKUP(A331,[1]PP!$A:$W,22,FALSE)="mise",VLOOKUP(A331,[1]PP!$A:$W,22,FALSE)="disp.",VLOOKUP(A331,[1]PP!$A:$W,22,FALSE)="končí",VLOOKUP(A331,[1]PP!$A:$W,22,FALSE)="DSC"),"jiné",IF(OR(Y331=4,VLOOKUP(A331,[1]PP!$A:$W,22,FALSE)=4),4,IF(OR(Y331=3,VLOOKUP(A331,[1]PP!$A:$W,22,FALSE)=3),3,IF(OR(Y331=2,VLOOKUP(A331,[1]PP!$A:$W,22,FALSE)=2),2,IF(AND(Y331=1,VLOOKUP(A331,[1]PP!$A:$W,22,FALSE)=1),1)))))))))))</f>
        <v/>
      </c>
      <c r="Y331" s="28" t="str">
        <f>IF(COUNTIF(B331:G331,"")&gt;0,"",IF(COUNTIF([1]PP!$A:$A,A331)=0,"neni v PP",IF(VLOOKUP(A331,[1]PP!$A:$W,8,FALSE)="odešel","odešel",IF(F331="","",IF(J331="",IF(OR(T331=4,W331=4),4,IF(AND(T331="N",W331="N"),"N",IF(OR(T331="N",W331="N"),4,ROUND(AVERAGE(T331,W331),0)))),J331)))))</f>
        <v/>
      </c>
      <c r="Z331" s="29" t="str">
        <f>IF(COUNTIF(B331:G331,"")=0,IF(X331="neni v PP",CONCATENATE("ID: &lt;",A331,"&gt; se neshoduje s žádným IDem v kartě PP"),IF(COUNTIF($A:$A,A331)&gt;1,CONCATENATE("ID: &lt;",A331,"&gt; se v kartě VP opakuje. Je nutné tyto IDy od sebe odlišit, např. mezerou za příjmením."),IF(COUNTIF([1]PP!A:A,A331)&gt;1,CONCATENATE("ID: &lt;",A331,"&gt; se v kartě PP opakuje. Je nutné tyto IDy od sebe odlišit, např. mezerou za příjmením."),IF(VLOOKUP(A331,[1]PP!$A:$W,5,FALSE)&lt;&gt;E331,CONCATENATE($E$4," &lt;",E331,"&gt; se neshoduje s jednotkou v kartě PP"," &lt;",VLOOKUP(A331,[1]PP!$A:$W,5,FALSE),"&gt;"),IF(AND(COUNTIF(K331:O331,"")&lt;5,J331="",I331=""),CONCATENATE("Doplň: ",$I$4),IF(AND(YEAR(I331)&lt;&gt;$E$2,COUNTIF(I331,"")=0),CONCATENATE("špatně uveden &lt;",$D$2,"&gt; nebo &lt;",$I$4,"&gt;"),IF(OR(AND(OR(COUNTIF(C331,"*a"),COUNTIF(C331,"*ie"),COUNTIF(C331,"*ine"),COUNTIF(D331,"*Á")),F331="muž"),AND(AND(COUNTIF(C331,"&lt;&gt;"&amp;"*a"),COUNTIF(C331,"&lt;&gt;"&amp;"*ie"),COUNTIF(C331,"&lt;&gt;"&amp;"*ine"),COUNTIF(D331,"&lt;&gt;"&amp;"*Á")),F331="žena")),CONCATENATE(C331," ",D331," je ",F331,"?"),""))))))),IF(COUNTIF(B331:O331,"")=14,"",CONCATENATE("Doplň: ",IF(B331="",CONCATENATE($B$4,IF(COUNTIF(C331:G331,"")=0,"",", ")),""),IF(C331="",CONCATENATE($C$4,IF(COUNTIF(D331:G331,"")=0,"",", ")),""),IF(D331="",CONCATENATE($D$4,IF(COUNTIF(E331:G331,"")=0,"",", ")),""),IF(E331="",CONCATENATE($E$4,IF(COUNTIF(F331:G331,"")=0,"",", ")),""),IF(F331="",CONCATENATE($F$4,IF(G331="",", ","")),""),IF(G331="",$G$4,""))))</f>
        <v/>
      </c>
      <c r="AA331" s="30"/>
    </row>
    <row r="332" spans="1:27" ht="16" x14ac:dyDescent="0.35">
      <c r="A332" s="14" t="str">
        <f t="shared" si="20"/>
        <v xml:space="preserve">  </v>
      </c>
      <c r="B332" s="15"/>
      <c r="C332" s="31"/>
      <c r="D332" s="31"/>
      <c r="E332" s="17"/>
      <c r="F332" s="18"/>
      <c r="G332" s="32"/>
      <c r="H332" s="33" t="str">
        <f>IF(G332="","",IF(F332="žena",ROMAN(MATCH(G332+1,'[1]Normy VP'!$Y$27:$Y$33,-1)),ROMAN(MATCH(G332+1,'[1]Normy VP'!$Y$19:$Y$25,-1))))</f>
        <v/>
      </c>
      <c r="I332" s="21"/>
      <c r="J332" s="22"/>
      <c r="K332" s="23"/>
      <c r="L332" s="23"/>
      <c r="M332" s="23"/>
      <c r="N332" s="22"/>
      <c r="O332" s="22"/>
      <c r="P332" s="24" t="str">
        <f>IF(OR($J332="",$J332="odešel"),IF(K332="","",IF($F332="žena",CHOOSE(_xlfn.ARABIC($H332),MATCH(K332+1,'[1]Normy VP'!$C$25:$F$25,-1),MATCH(K332+1,'[1]Normy VP'!$C$26:$F$26,-1),MATCH(K332+1,'[1]Normy VP'!$C$27:$F$27,-1),MATCH(K332+1,'[1]Normy VP'!$C$28:$F$28,-1),MATCH(K332+1,'[1]Normy VP'!$C$29:$F$29,-1),"muž"),CHOOSE(_xlfn.ARABIC($H332),MATCH(K332+1,'[1]Normy VP'!$C$10:$F$10,-1),MATCH(K332+1,'[1]Normy VP'!$C$11:$F$11,-1),MATCH(K332+1,'[1]Normy VP'!$C$12:$F$12,-1),MATCH(K332+1,'[1]Normy VP'!$C$13:$F$13,-1),MATCH(K332+1,'[1]Normy VP'!$C$14:$F$14,-1),""))),"O")</f>
        <v/>
      </c>
      <c r="Q332" s="24" t="str">
        <f>IF(OR($J332="",$J332="odešel"),IF($F332="žena","",IF(L332="","",(CHOOSE(_xlfn.ARABIC($H332),MATCH(L332+1,'[1]Normy VP'!$G$10:$J$10,-1),MATCH(L332+1,'[1]Normy VP'!$G$11:$J$11,-1),MATCH(L332+1,'[1]Normy VP'!$G$12:$J$12,-1),MATCH(L332+1,'[1]Normy VP'!$G$13:$J$13,-1),MATCH(L332+1,'[1]Normy VP'!$G$14:$J$14,-1),"")))),"O")</f>
        <v/>
      </c>
      <c r="R332" s="34" t="str">
        <f t="shared" si="21"/>
        <v>N</v>
      </c>
      <c r="S332" s="24" t="str">
        <f>IF(OR($J332="",$J332="odešel"),IF(M332="","N",IF($F332="žena",CHOOSE(_xlfn.ARABIC($H332),MATCH(M332+1,'[1]Normy VP'!$G$25:$J$25,-1),MATCH(M332+1,'[1]Normy VP'!$G$26:$J$26,-1),MATCH(M332+1,'[1]Normy VP'!$G$27:$J$27,-1),MATCH(M332+1,'[1]Normy VP'!$G$28:$J$28,-1),MATCH(M332+1,'[1]Normy VP'!$G$29:$J$29,-1),"muž"),(CHOOSE(_xlfn.ARABIC($H332),MATCH(M332+1,'[1]Normy VP'!$K$10:$N$10,-1),MATCH(M332+1,'[1]Normy VP'!$K$11:$N$11,-1),MATCH(M332+1,'[1]Normy VP'!$K$12:$N$12,-1),MATCH(M332+1,'[1]Normy VP'!$K$13:$N$13,-1),MATCH(M332+1,'[1]Normy VP'!$K$14:$N$14,-1),"")))),"O")</f>
        <v>N</v>
      </c>
      <c r="T332" s="34" t="str">
        <f t="shared" si="22"/>
        <v>N</v>
      </c>
      <c r="U332" s="24" t="str">
        <f>IF(OR($J332="",$J332="odešel"),IF(N332="","N",IF($F332="žena",CHOOSE(_xlfn.ARABIC($H332),MATCH(N332+1,'[1]Normy VP'!$K$25:$N$25,-1),MATCH(N332+1,'[1]Normy VP'!$K$26:$N$26,-1),MATCH(N332+1,'[1]Normy VP'!$K$27:$N$27,-1),MATCH(N332+1,'[1]Normy VP'!$K$28:$N$28,-1),MATCH(N332+1,'[1]Normy VP'!$K$29:$N$29,-1),MATCH(N332+1,'[1]Normy VP'!$K$30:$N$30,-1)),CHOOSE(_xlfn.ARABIC($H332),MATCH(N332+1,'[1]Normy VP'!$O$10:$R$10,-1),MATCH(N332+1,'[1]Normy VP'!$O$11:$R$11,-1),MATCH(N332+1,'[1]Normy VP'!$O$12:$R$12,-1),MATCH(N332+1,'[1]Normy VP'!$O$13:$R$13,-1),MATCH(N332+1,'[1]Normy VP'!$O$14:$R$14,-1),MATCH(N332+1,'[1]Normy VP'!$O$15:$R$15,-1)))),"O")</f>
        <v>N</v>
      </c>
      <c r="V332" s="26" t="str">
        <f>IF(OR($J332="",$J332="odešel"),IF(O332="","N",IF($F332="žena",CHOOSE(_xlfn.ARABIC($H332),MATCH(O332-1,'[1]Normy VP'!$O$25:$R$25),MATCH(O332-1,'[1]Normy VP'!$O$26:$R$26),MATCH(O332-1,'[1]Normy VP'!$O$27:$R$27),MATCH(O332-1,'[1]Normy VP'!$O$28:$R$28),MATCH(O332-1,'[1]Normy VP'!$O$29:$R$29),MATCH(O332-1,'[1]Normy VP'!$O$30:$R$30)),CHOOSE(_xlfn.ARABIC($H332),MATCH(O332-1,'[1]Normy VP'!$S$10:$V$10),MATCH(O332-1,'[1]Normy VP'!$S$11:$V$11),MATCH(O332-1,'[1]Normy VP'!$S$12:$V$12),MATCH(O332-1,'[1]Normy VP'!$S$13:$V$13),MATCH(O332-1,'[1]Normy VP'!$S$14:$V$14),MATCH(O332-1,'[1]Normy VP'!$S$15:$V$15)))),"O")</f>
        <v>N</v>
      </c>
      <c r="W332" s="34" t="str">
        <f t="shared" si="23"/>
        <v>N</v>
      </c>
      <c r="X332" s="27" t="str">
        <f>IF(COUNTIF(B332:G332,"")&gt;0,"",IF(COUNTIF([1]PP!$A:$A,A332)=0,"neni v PP",IF(OR(Y332="odešel",VLOOKUP(A332,[1]PP!$A:$W,22,FALSE)="odešel"),"odešel",IF(OR(Y332="N",VLOOKUP(A332,[1]PP!$A:$W,22,FALSE)="N"),"N",IF(OR(Y332="C",VLOOKUP(A332,[1]PP!$A:$W,22,FALSE)="C"),"C",IF(OR(Y332="DZO",VLOOKUP(A332,[1]PP!$A:$W,22,FALSE)="DZO"),"DZO",IF(OR(Y332="mise",Y332="disp.",Y332="končí",Y332="DSC",VLOOKUP(A332,[1]PP!$A:$W,22,FALSE)="mise",VLOOKUP(A332,[1]PP!$A:$W,22,FALSE)="disp.",VLOOKUP(A332,[1]PP!$A:$W,22,FALSE)="končí",VLOOKUP(A332,[1]PP!$A:$W,22,FALSE)="DSC"),"jiné",IF(OR(Y332=4,VLOOKUP(A332,[1]PP!$A:$W,22,FALSE)=4),4,IF(OR(Y332=3,VLOOKUP(A332,[1]PP!$A:$W,22,FALSE)=3),3,IF(OR(Y332=2,VLOOKUP(A332,[1]PP!$A:$W,22,FALSE)=2),2,IF(AND(Y332=1,VLOOKUP(A332,[1]PP!$A:$W,22,FALSE)=1),1)))))))))))</f>
        <v/>
      </c>
      <c r="Y332" s="28" t="str">
        <f>IF(COUNTIF(B332:G332,"")&gt;0,"",IF(COUNTIF([1]PP!$A:$A,A332)=0,"neni v PP",IF(VLOOKUP(A332,[1]PP!$A:$W,8,FALSE)="odešel","odešel",IF(F332="","",IF(J332="",IF(OR(T332=4,W332=4),4,IF(AND(T332="N",W332="N"),"N",IF(OR(T332="N",W332="N"),4,ROUND(AVERAGE(T332,W332),0)))),J332)))))</f>
        <v/>
      </c>
      <c r="Z332" s="29"/>
      <c r="AA332" s="30"/>
    </row>
    <row r="333" spans="1:27" ht="16" x14ac:dyDescent="0.35">
      <c r="A333" s="14" t="str">
        <f t="shared" si="20"/>
        <v xml:space="preserve">  </v>
      </c>
      <c r="B333" s="15"/>
      <c r="C333" s="35"/>
      <c r="D333" s="35"/>
      <c r="E333" s="17"/>
      <c r="F333" s="18"/>
      <c r="G333" s="32"/>
      <c r="H333" s="33" t="str">
        <f>IF(G333="","",IF(F333="žena",ROMAN(MATCH(G333+1,'[1]Normy VP'!$Y$27:$Y$33,-1)),ROMAN(MATCH(G333+1,'[1]Normy VP'!$Y$19:$Y$25,-1))))</f>
        <v/>
      </c>
      <c r="I333" s="21"/>
      <c r="J333" s="22"/>
      <c r="K333" s="23"/>
      <c r="L333" s="23"/>
      <c r="M333" s="23"/>
      <c r="N333" s="22"/>
      <c r="O333" s="22"/>
      <c r="P333" s="24" t="str">
        <f>IF(OR($J333="",$J333="odešel"),IF(K333="","",IF($F333="žena",CHOOSE(_xlfn.ARABIC($H333),MATCH(K333+1,'[1]Normy VP'!$C$25:$F$25,-1),MATCH(K333+1,'[1]Normy VP'!$C$26:$F$26,-1),MATCH(K333+1,'[1]Normy VP'!$C$27:$F$27,-1),MATCH(K333+1,'[1]Normy VP'!$C$28:$F$28,-1),MATCH(K333+1,'[1]Normy VP'!$C$29:$F$29,-1),"muž"),CHOOSE(_xlfn.ARABIC($H333),MATCH(K333+1,'[1]Normy VP'!$C$10:$F$10,-1),MATCH(K333+1,'[1]Normy VP'!$C$11:$F$11,-1),MATCH(K333+1,'[1]Normy VP'!$C$12:$F$12,-1),MATCH(K333+1,'[1]Normy VP'!$C$13:$F$13,-1),MATCH(K333+1,'[1]Normy VP'!$C$14:$F$14,-1),""))),"O")</f>
        <v/>
      </c>
      <c r="Q333" s="24" t="str">
        <f>IF(OR($J333="",$J333="odešel"),IF($F333="žena","",IF(L333="","",(CHOOSE(_xlfn.ARABIC($H333),MATCH(L333+1,'[1]Normy VP'!$G$10:$J$10,-1),MATCH(L333+1,'[1]Normy VP'!$G$11:$J$11,-1),MATCH(L333+1,'[1]Normy VP'!$G$12:$J$12,-1),MATCH(L333+1,'[1]Normy VP'!$G$13:$J$13,-1),MATCH(L333+1,'[1]Normy VP'!$G$14:$J$14,-1),"")))),"O")</f>
        <v/>
      </c>
      <c r="R333" s="34" t="str">
        <f t="shared" si="21"/>
        <v>N</v>
      </c>
      <c r="S333" s="24" t="str">
        <f>IF(OR($J333="",$J333="odešel"),IF(M333="","N",IF($F333="žena",CHOOSE(_xlfn.ARABIC($H333),MATCH(M333+1,'[1]Normy VP'!$G$25:$J$25,-1),MATCH(M333+1,'[1]Normy VP'!$G$26:$J$26,-1),MATCH(M333+1,'[1]Normy VP'!$G$27:$J$27,-1),MATCH(M333+1,'[1]Normy VP'!$G$28:$J$28,-1),MATCH(M333+1,'[1]Normy VP'!$G$29:$J$29,-1),"muž"),(CHOOSE(_xlfn.ARABIC($H333),MATCH(M333+1,'[1]Normy VP'!$K$10:$N$10,-1),MATCH(M333+1,'[1]Normy VP'!$K$11:$N$11,-1),MATCH(M333+1,'[1]Normy VP'!$K$12:$N$12,-1),MATCH(M333+1,'[1]Normy VP'!$K$13:$N$13,-1),MATCH(M333+1,'[1]Normy VP'!$K$14:$N$14,-1),"")))),"O")</f>
        <v>N</v>
      </c>
      <c r="T333" s="34" t="str">
        <f t="shared" si="22"/>
        <v>N</v>
      </c>
      <c r="U333" s="24" t="str">
        <f>IF(OR($J333="",$J333="odešel"),IF(N333="","N",IF($F333="žena",CHOOSE(_xlfn.ARABIC($H333),MATCH(N333+1,'[1]Normy VP'!$K$25:$N$25,-1),MATCH(N333+1,'[1]Normy VP'!$K$26:$N$26,-1),MATCH(N333+1,'[1]Normy VP'!$K$27:$N$27,-1),MATCH(N333+1,'[1]Normy VP'!$K$28:$N$28,-1),MATCH(N333+1,'[1]Normy VP'!$K$29:$N$29,-1),MATCH(N333+1,'[1]Normy VP'!$K$30:$N$30,-1)),CHOOSE(_xlfn.ARABIC($H333),MATCH(N333+1,'[1]Normy VP'!$O$10:$R$10,-1),MATCH(N333+1,'[1]Normy VP'!$O$11:$R$11,-1),MATCH(N333+1,'[1]Normy VP'!$O$12:$R$12,-1),MATCH(N333+1,'[1]Normy VP'!$O$13:$R$13,-1),MATCH(N333+1,'[1]Normy VP'!$O$14:$R$14,-1),MATCH(N333+1,'[1]Normy VP'!$O$15:$R$15,-1)))),"O")</f>
        <v>N</v>
      </c>
      <c r="V333" s="26" t="str">
        <f>IF(OR($J333="",$J333="odešel"),IF(O333="","N",IF($F333="žena",CHOOSE(_xlfn.ARABIC($H333),MATCH(O333-1,'[1]Normy VP'!$O$25:$R$25),MATCH(O333-1,'[1]Normy VP'!$O$26:$R$26),MATCH(O333-1,'[1]Normy VP'!$O$27:$R$27),MATCH(O333-1,'[1]Normy VP'!$O$28:$R$28),MATCH(O333-1,'[1]Normy VP'!$O$29:$R$29),MATCH(O333-1,'[1]Normy VP'!$O$30:$R$30)),CHOOSE(_xlfn.ARABIC($H333),MATCH(O333-1,'[1]Normy VP'!$S$10:$V$10),MATCH(O333-1,'[1]Normy VP'!$S$11:$V$11),MATCH(O333-1,'[1]Normy VP'!$S$12:$V$12),MATCH(O333-1,'[1]Normy VP'!$S$13:$V$13),MATCH(O333-1,'[1]Normy VP'!$S$14:$V$14),MATCH(O333-1,'[1]Normy VP'!$S$15:$V$15)))),"O")</f>
        <v>N</v>
      </c>
      <c r="W333" s="34" t="str">
        <f t="shared" si="23"/>
        <v>N</v>
      </c>
      <c r="X333" s="27" t="str">
        <f>IF(COUNTIF(B333:G333,"")&gt;0,"",IF(COUNTIF([1]PP!$A:$A,A333)=0,"neni v PP",IF(OR(Y333="odešel",VLOOKUP(A333,[1]PP!$A:$W,22,FALSE)="odešel"),"odešel",IF(OR(Y333="N",VLOOKUP(A333,[1]PP!$A:$W,22,FALSE)="N"),"N",IF(OR(Y333="C",VLOOKUP(A333,[1]PP!$A:$W,22,FALSE)="C"),"C",IF(OR(Y333="DZO",VLOOKUP(A333,[1]PP!$A:$W,22,FALSE)="DZO"),"DZO",IF(OR(Y333="mise",Y333="disp.",Y333="končí",Y333="DSC",VLOOKUP(A333,[1]PP!$A:$W,22,FALSE)="mise",VLOOKUP(A333,[1]PP!$A:$W,22,FALSE)="disp.",VLOOKUP(A333,[1]PP!$A:$W,22,FALSE)="končí",VLOOKUP(A333,[1]PP!$A:$W,22,FALSE)="DSC"),"jiné",IF(OR(Y333=4,VLOOKUP(A333,[1]PP!$A:$W,22,FALSE)=4),4,IF(OR(Y333=3,VLOOKUP(A333,[1]PP!$A:$W,22,FALSE)=3),3,IF(OR(Y333=2,VLOOKUP(A333,[1]PP!$A:$W,22,FALSE)=2),2,IF(AND(Y333=1,VLOOKUP(A333,[1]PP!$A:$W,22,FALSE)=1),1)))))))))))</f>
        <v/>
      </c>
      <c r="Y333" s="28" t="str">
        <f>IF(COUNTIF(B333:G333,"")&gt;0,"",IF(COUNTIF([1]PP!$A:$A,A333)=0,"neni v PP",IF(VLOOKUP(A333,[1]PP!$A:$W,8,FALSE)="odešel","odešel",IF(F333="","",IF(J333="",IF(OR(T333=4,W333=4),4,IF(AND(T333="N",W333="N"),"N",IF(OR(T333="N",W333="N"),4,ROUND(AVERAGE(T333,W333),0)))),J333)))))</f>
        <v/>
      </c>
      <c r="Z333" s="29" t="str">
        <f>IF(COUNTIF(B333:G333,"")=0,IF(X333="neni v PP",CONCATENATE("ID: &lt;",A333,"&gt; se neshoduje s žádným IDem v kartě PP"),IF(COUNTIF($A:$A,A333)&gt;1,CONCATENATE("ID: &lt;",A333,"&gt; se v kartě VP opakuje. Je nutné tyto IDy od sebe odlišit, např. mezerou za příjmením."),IF(COUNTIF([1]PP!A:A,A333)&gt;1,CONCATENATE("ID: &lt;",A333,"&gt; se v kartě PP opakuje. Je nutné tyto IDy od sebe odlišit, např. mezerou za příjmením."),IF(VLOOKUP(A333,[1]PP!$A:$W,5,FALSE)&lt;&gt;E333,CONCATENATE($E$4," &lt;",E333,"&gt; se neshoduje s jednotkou v kartě PP"," &lt;",VLOOKUP(A333,[1]PP!$A:$W,5,FALSE),"&gt;"),IF(AND(COUNTIF(K333:O333,"")&lt;5,J333="",I333=""),CONCATENATE("Doplň: ",$I$4),IF(AND(YEAR(I333)&lt;&gt;$E$2,COUNTIF(I333,"")=0),CONCATENATE("špatně uveden &lt;",$D$2,"&gt; nebo &lt;",$I$4,"&gt;"),IF(OR(AND(OR(COUNTIF(C333,"*a"),COUNTIF(C333,"*ie"),COUNTIF(C333,"*ine"),COUNTIF(D333,"*Á")),F333="muž"),AND(AND(COUNTIF(C333,"&lt;&gt;"&amp;"*a"),COUNTIF(C333,"&lt;&gt;"&amp;"*ie"),COUNTIF(C333,"&lt;&gt;"&amp;"*ine"),COUNTIF(D333,"&lt;&gt;"&amp;"*Á")),F333="žena")),CONCATENATE(C333," ",D333," je ",F333,"?"),""))))))),IF(COUNTIF(B333:O333,"")=14,"",CONCATENATE("Doplň: ",IF(B333="",CONCATENATE($B$4,IF(COUNTIF(C333:G333,"")=0,"",", ")),""),IF(C333="",CONCATENATE($C$4,IF(COUNTIF(D333:G333,"")=0,"",", ")),""),IF(D333="",CONCATENATE($D$4,IF(COUNTIF(E333:G333,"")=0,"",", ")),""),IF(E333="",CONCATENATE($E$4,IF(COUNTIF(F333:G333,"")=0,"",", ")),""),IF(F333="",CONCATENATE($F$4,IF(G333="",", ","")),""),IF(G333="",$G$4,""))))</f>
        <v/>
      </c>
      <c r="AA333" s="30"/>
    </row>
    <row r="334" spans="1:27" ht="16" x14ac:dyDescent="0.35">
      <c r="A334" s="14" t="str">
        <f t="shared" si="20"/>
        <v xml:space="preserve">  </v>
      </c>
      <c r="B334" s="15"/>
      <c r="C334" s="31"/>
      <c r="D334" s="31"/>
      <c r="E334" s="17"/>
      <c r="F334" s="18"/>
      <c r="G334" s="32"/>
      <c r="H334" s="33" t="str">
        <f>IF(G334="","",IF(F334="žena",ROMAN(MATCH(G334+1,'[1]Normy VP'!$Y$27:$Y$33,-1)),ROMAN(MATCH(G334+1,'[1]Normy VP'!$Y$19:$Y$25,-1))))</f>
        <v/>
      </c>
      <c r="I334" s="21"/>
      <c r="J334" s="22"/>
      <c r="K334" s="23"/>
      <c r="L334" s="23"/>
      <c r="M334" s="23"/>
      <c r="N334" s="22"/>
      <c r="O334" s="22"/>
      <c r="P334" s="24" t="str">
        <f>IF(OR($J334="",$J334="odešel"),IF(K334="","",IF($F334="žena",CHOOSE(_xlfn.ARABIC($H334),MATCH(K334+1,'[1]Normy VP'!$C$25:$F$25,-1),MATCH(K334+1,'[1]Normy VP'!$C$26:$F$26,-1),MATCH(K334+1,'[1]Normy VP'!$C$27:$F$27,-1),MATCH(K334+1,'[1]Normy VP'!$C$28:$F$28,-1),MATCH(K334+1,'[1]Normy VP'!$C$29:$F$29,-1),"muž"),CHOOSE(_xlfn.ARABIC($H334),MATCH(K334+1,'[1]Normy VP'!$C$10:$F$10,-1),MATCH(K334+1,'[1]Normy VP'!$C$11:$F$11,-1),MATCH(K334+1,'[1]Normy VP'!$C$12:$F$12,-1),MATCH(K334+1,'[1]Normy VP'!$C$13:$F$13,-1),MATCH(K334+1,'[1]Normy VP'!$C$14:$F$14,-1),""))),"O")</f>
        <v/>
      </c>
      <c r="Q334" s="24" t="str">
        <f>IF(OR($J334="",$J334="odešel"),IF($F334="žena","",IF(L334="","",(CHOOSE(_xlfn.ARABIC($H334),MATCH(L334+1,'[1]Normy VP'!$G$10:$J$10,-1),MATCH(L334+1,'[1]Normy VP'!$G$11:$J$11,-1),MATCH(L334+1,'[1]Normy VP'!$G$12:$J$12,-1),MATCH(L334+1,'[1]Normy VP'!$G$13:$J$13,-1),MATCH(L334+1,'[1]Normy VP'!$G$14:$J$14,-1),"")))),"O")</f>
        <v/>
      </c>
      <c r="R334" s="34" t="str">
        <f t="shared" si="21"/>
        <v>N</v>
      </c>
      <c r="S334" s="24" t="str">
        <f>IF(OR($J334="",$J334="odešel"),IF(M334="","N",IF($F334="žena",CHOOSE(_xlfn.ARABIC($H334),MATCH(M334+1,'[1]Normy VP'!$G$25:$J$25,-1),MATCH(M334+1,'[1]Normy VP'!$G$26:$J$26,-1),MATCH(M334+1,'[1]Normy VP'!$G$27:$J$27,-1),MATCH(M334+1,'[1]Normy VP'!$G$28:$J$28,-1),MATCH(M334+1,'[1]Normy VP'!$G$29:$J$29,-1),"muž"),(CHOOSE(_xlfn.ARABIC($H334),MATCH(M334+1,'[1]Normy VP'!$K$10:$N$10,-1),MATCH(M334+1,'[1]Normy VP'!$K$11:$N$11,-1),MATCH(M334+1,'[1]Normy VP'!$K$12:$N$12,-1),MATCH(M334+1,'[1]Normy VP'!$K$13:$N$13,-1),MATCH(M334+1,'[1]Normy VP'!$K$14:$N$14,-1),"")))),"O")</f>
        <v>N</v>
      </c>
      <c r="T334" s="34" t="str">
        <f t="shared" si="22"/>
        <v>N</v>
      </c>
      <c r="U334" s="24" t="str">
        <f>IF(OR($J334="",$J334="odešel"),IF(N334="","N",IF($F334="žena",CHOOSE(_xlfn.ARABIC($H334),MATCH(N334+1,'[1]Normy VP'!$K$25:$N$25,-1),MATCH(N334+1,'[1]Normy VP'!$K$26:$N$26,-1),MATCH(N334+1,'[1]Normy VP'!$K$27:$N$27,-1),MATCH(N334+1,'[1]Normy VP'!$K$28:$N$28,-1),MATCH(N334+1,'[1]Normy VP'!$K$29:$N$29,-1),MATCH(N334+1,'[1]Normy VP'!$K$30:$N$30,-1)),CHOOSE(_xlfn.ARABIC($H334),MATCH(N334+1,'[1]Normy VP'!$O$10:$R$10,-1),MATCH(N334+1,'[1]Normy VP'!$O$11:$R$11,-1),MATCH(N334+1,'[1]Normy VP'!$O$12:$R$12,-1),MATCH(N334+1,'[1]Normy VP'!$O$13:$R$13,-1),MATCH(N334+1,'[1]Normy VP'!$O$14:$R$14,-1),MATCH(N334+1,'[1]Normy VP'!$O$15:$R$15,-1)))),"O")</f>
        <v>N</v>
      </c>
      <c r="V334" s="26" t="str">
        <f>IF(OR($J334="",$J334="odešel"),IF(O334="","N",IF($F334="žena",CHOOSE(_xlfn.ARABIC($H334),MATCH(O334-1,'[1]Normy VP'!$O$25:$R$25),MATCH(O334-1,'[1]Normy VP'!$O$26:$R$26),MATCH(O334-1,'[1]Normy VP'!$O$27:$R$27),MATCH(O334-1,'[1]Normy VP'!$O$28:$R$28),MATCH(O334-1,'[1]Normy VP'!$O$29:$R$29),MATCH(O334-1,'[1]Normy VP'!$O$30:$R$30)),CHOOSE(_xlfn.ARABIC($H334),MATCH(O334-1,'[1]Normy VP'!$S$10:$V$10),MATCH(O334-1,'[1]Normy VP'!$S$11:$V$11),MATCH(O334-1,'[1]Normy VP'!$S$12:$V$12),MATCH(O334-1,'[1]Normy VP'!$S$13:$V$13),MATCH(O334-1,'[1]Normy VP'!$S$14:$V$14),MATCH(O334-1,'[1]Normy VP'!$S$15:$V$15)))),"O")</f>
        <v>N</v>
      </c>
      <c r="W334" s="34" t="str">
        <f t="shared" si="23"/>
        <v>N</v>
      </c>
      <c r="X334" s="27" t="str">
        <f>IF(COUNTIF(B334:G334,"")&gt;0,"",IF(COUNTIF([1]PP!$A:$A,A334)=0,"neni v PP",IF(OR(Y334="odešel",VLOOKUP(A334,[1]PP!$A:$W,22,FALSE)="odešel"),"odešel",IF(OR(Y334="N",VLOOKUP(A334,[1]PP!$A:$W,22,FALSE)="N"),"N",IF(OR(Y334="C",VLOOKUP(A334,[1]PP!$A:$W,22,FALSE)="C"),"C",IF(OR(Y334="DZO",VLOOKUP(A334,[1]PP!$A:$W,22,FALSE)="DZO"),"DZO",IF(OR(Y334="mise",Y334="disp.",Y334="končí",Y334="DSC",VLOOKUP(A334,[1]PP!$A:$W,22,FALSE)="mise",VLOOKUP(A334,[1]PP!$A:$W,22,FALSE)="disp.",VLOOKUP(A334,[1]PP!$A:$W,22,FALSE)="končí",VLOOKUP(A334,[1]PP!$A:$W,22,FALSE)="DSC"),"jiné",IF(OR(Y334=4,VLOOKUP(A334,[1]PP!$A:$W,22,FALSE)=4),4,IF(OR(Y334=3,VLOOKUP(A334,[1]PP!$A:$W,22,FALSE)=3),3,IF(OR(Y334=2,VLOOKUP(A334,[1]PP!$A:$W,22,FALSE)=2),2,IF(AND(Y334=1,VLOOKUP(A334,[1]PP!$A:$W,22,FALSE)=1),1)))))))))))</f>
        <v/>
      </c>
      <c r="Y334" s="28" t="str">
        <f>IF(COUNTIF(B334:G334,"")&gt;0,"",IF(COUNTIF([1]PP!$A:$A,A334)=0,"neni v PP",IF(VLOOKUP(A334,[1]PP!$A:$W,8,FALSE)="odešel","odešel",IF(F334="","",IF(J334="",IF(OR(T334=4,W334=4),4,IF(AND(T334="N",W334="N"),"N",IF(OR(T334="N",W334="N"),4,ROUND(AVERAGE(T334,W334),0)))),J334)))))</f>
        <v/>
      </c>
      <c r="Z334" s="29" t="str">
        <f>IF(COUNTIF(B334:G334,"")=0,IF(X334="neni v PP",CONCATENATE("ID: &lt;",A334,"&gt; se neshoduje s žádným IDem v kartě PP"),IF(COUNTIF($A:$A,A334)&gt;1,CONCATENATE("ID: &lt;",A334,"&gt; se v kartě VP opakuje. Je nutné tyto IDy od sebe odlišit, např. mezerou za příjmením."),IF(COUNTIF([1]PP!A:A,A334)&gt;1,CONCATENATE("ID: &lt;",A334,"&gt; se v kartě PP opakuje. Je nutné tyto IDy od sebe odlišit, např. mezerou za příjmením."),IF(VLOOKUP(A334,[1]PP!$A:$W,5,FALSE)&lt;&gt;E334,CONCATENATE($E$4," &lt;",E334,"&gt; se neshoduje s jednotkou v kartě PP"," &lt;",VLOOKUP(A334,[1]PP!$A:$W,5,FALSE),"&gt;"),IF(AND(COUNTIF(K334:O334,"")&lt;5,J334="",I334=""),CONCATENATE("Doplň: ",$I$4),IF(AND(YEAR(I334)&lt;&gt;$E$2,COUNTIF(I334,"")=0),CONCATENATE("špatně uveden &lt;",$D$2,"&gt; nebo &lt;",$I$4,"&gt;"),IF(OR(AND(OR(COUNTIF(C334,"*a"),COUNTIF(C334,"*ie"),COUNTIF(C334,"*ine"),COUNTIF(D334,"*Á")),F334="muž"),AND(AND(COUNTIF(C334,"&lt;&gt;"&amp;"*a"),COUNTIF(C334,"&lt;&gt;"&amp;"*ie"),COUNTIF(C334,"&lt;&gt;"&amp;"*ine"),COUNTIF(D334,"&lt;&gt;"&amp;"*Á")),F334="žena")),CONCATENATE(C334," ",D334," je ",F334,"?"),""))))))),IF(COUNTIF(B334:O334,"")=14,"",CONCATENATE("Doplň: ",IF(B334="",CONCATENATE($B$4,IF(COUNTIF(C334:G334,"")=0,"",", ")),""),IF(C334="",CONCATENATE($C$4,IF(COUNTIF(D334:G334,"")=0,"",", ")),""),IF(D334="",CONCATENATE($D$4,IF(COUNTIF(E334:G334,"")=0,"",", ")),""),IF(E334="",CONCATENATE($E$4,IF(COUNTIF(F334:G334,"")=0,"",", ")),""),IF(F334="",CONCATENATE($F$4,IF(G334="",", ","")),""),IF(G334="",$G$4,""))))</f>
        <v/>
      </c>
      <c r="AA334" s="30"/>
    </row>
    <row r="335" spans="1:27" ht="16" x14ac:dyDescent="0.35">
      <c r="A335" s="14" t="str">
        <f t="shared" si="20"/>
        <v xml:space="preserve">  </v>
      </c>
      <c r="B335" s="15"/>
      <c r="C335" s="31"/>
      <c r="D335" s="31"/>
      <c r="E335" s="17"/>
      <c r="F335" s="18"/>
      <c r="G335" s="32"/>
      <c r="H335" s="33" t="str">
        <f>IF(G335="","",IF(F335="žena",ROMAN(MATCH(G335+1,'[1]Normy VP'!$Y$27:$Y$33,-1)),ROMAN(MATCH(G335+1,'[1]Normy VP'!$Y$19:$Y$25,-1))))</f>
        <v/>
      </c>
      <c r="I335" s="21"/>
      <c r="J335" s="22"/>
      <c r="K335" s="23"/>
      <c r="L335" s="23"/>
      <c r="M335" s="23"/>
      <c r="N335" s="22"/>
      <c r="O335" s="22"/>
      <c r="P335" s="24" t="str">
        <f>IF(OR($J335="",$J335="odešel"),IF(K335="","",IF($F335="žena",CHOOSE(_xlfn.ARABIC($H335),MATCH(K335+1,'[1]Normy VP'!$C$25:$F$25,-1),MATCH(K335+1,'[1]Normy VP'!$C$26:$F$26,-1),MATCH(K335+1,'[1]Normy VP'!$C$27:$F$27,-1),MATCH(K335+1,'[1]Normy VP'!$C$28:$F$28,-1),MATCH(K335+1,'[1]Normy VP'!$C$29:$F$29,-1),"muž"),CHOOSE(_xlfn.ARABIC($H335),MATCH(K335+1,'[1]Normy VP'!$C$10:$F$10,-1),MATCH(K335+1,'[1]Normy VP'!$C$11:$F$11,-1),MATCH(K335+1,'[1]Normy VP'!$C$12:$F$12,-1),MATCH(K335+1,'[1]Normy VP'!$C$13:$F$13,-1),MATCH(K335+1,'[1]Normy VP'!$C$14:$F$14,-1),""))),"O")</f>
        <v/>
      </c>
      <c r="Q335" s="24" t="str">
        <f>IF(OR($J335="",$J335="odešel"),IF($F335="žena","",IF(L335="","",(CHOOSE(_xlfn.ARABIC($H335),MATCH(L335+1,'[1]Normy VP'!$G$10:$J$10,-1),MATCH(L335+1,'[1]Normy VP'!$G$11:$J$11,-1),MATCH(L335+1,'[1]Normy VP'!$G$12:$J$12,-1),MATCH(L335+1,'[1]Normy VP'!$G$13:$J$13,-1),MATCH(L335+1,'[1]Normy VP'!$G$14:$J$14,-1),"")))),"O")</f>
        <v/>
      </c>
      <c r="R335" s="34" t="str">
        <f t="shared" si="21"/>
        <v>N</v>
      </c>
      <c r="S335" s="24" t="str">
        <f>IF(OR($J335="",$J335="odešel"),IF(M335="","N",IF($F335="žena",CHOOSE(_xlfn.ARABIC($H335),MATCH(M335+1,'[1]Normy VP'!$G$25:$J$25,-1),MATCH(M335+1,'[1]Normy VP'!$G$26:$J$26,-1),MATCH(M335+1,'[1]Normy VP'!$G$27:$J$27,-1),MATCH(M335+1,'[1]Normy VP'!$G$28:$J$28,-1),MATCH(M335+1,'[1]Normy VP'!$G$29:$J$29,-1),"muž"),(CHOOSE(_xlfn.ARABIC($H335),MATCH(M335+1,'[1]Normy VP'!$K$10:$N$10,-1),MATCH(M335+1,'[1]Normy VP'!$K$11:$N$11,-1),MATCH(M335+1,'[1]Normy VP'!$K$12:$N$12,-1),MATCH(M335+1,'[1]Normy VP'!$K$13:$N$13,-1),MATCH(M335+1,'[1]Normy VP'!$K$14:$N$14,-1),"")))),"O")</f>
        <v>N</v>
      </c>
      <c r="T335" s="34" t="str">
        <f t="shared" si="22"/>
        <v>N</v>
      </c>
      <c r="U335" s="24" t="str">
        <f>IF(OR($J335="",$J335="odešel"),IF(N335="","N",IF($F335="žena",CHOOSE(_xlfn.ARABIC($H335),MATCH(N335+1,'[1]Normy VP'!$K$25:$N$25,-1),MATCH(N335+1,'[1]Normy VP'!$K$26:$N$26,-1),MATCH(N335+1,'[1]Normy VP'!$K$27:$N$27,-1),MATCH(N335+1,'[1]Normy VP'!$K$28:$N$28,-1),MATCH(N335+1,'[1]Normy VP'!$K$29:$N$29,-1),MATCH(N335+1,'[1]Normy VP'!$K$30:$N$30,-1)),CHOOSE(_xlfn.ARABIC($H335),MATCH(N335+1,'[1]Normy VP'!$O$10:$R$10,-1),MATCH(N335+1,'[1]Normy VP'!$O$11:$R$11,-1),MATCH(N335+1,'[1]Normy VP'!$O$12:$R$12,-1),MATCH(N335+1,'[1]Normy VP'!$O$13:$R$13,-1),MATCH(N335+1,'[1]Normy VP'!$O$14:$R$14,-1),MATCH(N335+1,'[1]Normy VP'!$O$15:$R$15,-1)))),"O")</f>
        <v>N</v>
      </c>
      <c r="V335" s="26" t="str">
        <f>IF(OR($J335="",$J335="odešel"),IF(O335="","N",IF($F335="žena",CHOOSE(_xlfn.ARABIC($H335),MATCH(O335-1,'[1]Normy VP'!$O$25:$R$25),MATCH(O335-1,'[1]Normy VP'!$O$26:$R$26),MATCH(O335-1,'[1]Normy VP'!$O$27:$R$27),MATCH(O335-1,'[1]Normy VP'!$O$28:$R$28),MATCH(O335-1,'[1]Normy VP'!$O$29:$R$29),MATCH(O335-1,'[1]Normy VP'!$O$30:$R$30)),CHOOSE(_xlfn.ARABIC($H335),MATCH(O335-1,'[1]Normy VP'!$S$10:$V$10),MATCH(O335-1,'[1]Normy VP'!$S$11:$V$11),MATCH(O335-1,'[1]Normy VP'!$S$12:$V$12),MATCH(O335-1,'[1]Normy VP'!$S$13:$V$13),MATCH(O335-1,'[1]Normy VP'!$S$14:$V$14),MATCH(O335-1,'[1]Normy VP'!$S$15:$V$15)))),"O")</f>
        <v>N</v>
      </c>
      <c r="W335" s="34" t="str">
        <f t="shared" si="23"/>
        <v>N</v>
      </c>
      <c r="X335" s="27" t="str">
        <f>IF(COUNTIF(B335:G335,"")&gt;0,"",IF(COUNTIF([1]PP!$A:$A,A335)=0,"neni v PP",IF(OR(Y335="odešel",VLOOKUP(A335,[1]PP!$A:$W,22,FALSE)="odešel"),"odešel",IF(OR(Y335="N",VLOOKUP(A335,[1]PP!$A:$W,22,FALSE)="N"),"N",IF(OR(Y335="C",VLOOKUP(A335,[1]PP!$A:$W,22,FALSE)="C"),"C",IF(OR(Y335="DZO",VLOOKUP(A335,[1]PP!$A:$W,22,FALSE)="DZO"),"DZO",IF(OR(Y335="mise",Y335="disp.",Y335="končí",Y335="DSC",VLOOKUP(A335,[1]PP!$A:$W,22,FALSE)="mise",VLOOKUP(A335,[1]PP!$A:$W,22,FALSE)="disp.",VLOOKUP(A335,[1]PP!$A:$W,22,FALSE)="končí",VLOOKUP(A335,[1]PP!$A:$W,22,FALSE)="DSC"),"jiné",IF(OR(Y335=4,VLOOKUP(A335,[1]PP!$A:$W,22,FALSE)=4),4,IF(OR(Y335=3,VLOOKUP(A335,[1]PP!$A:$W,22,FALSE)=3),3,IF(OR(Y335=2,VLOOKUP(A335,[1]PP!$A:$W,22,FALSE)=2),2,IF(AND(Y335=1,VLOOKUP(A335,[1]PP!$A:$W,22,FALSE)=1),1)))))))))))</f>
        <v/>
      </c>
      <c r="Y335" s="28" t="str">
        <f>IF(COUNTIF(B335:G335,"")&gt;0,"",IF(COUNTIF([1]PP!$A:$A,A335)=0,"neni v PP",IF(VLOOKUP(A335,[1]PP!$A:$W,8,FALSE)="odešel","odešel",IF(F335="","",IF(J335="",IF(OR(T335=4,W335=4),4,IF(AND(T335="N",W335="N"),"N",IF(OR(T335="N",W335="N"),4,ROUND(AVERAGE(T335,W335),0)))),J335)))))</f>
        <v/>
      </c>
      <c r="Z335" s="29" t="str">
        <f>IF(COUNTIF(B335:G335,"")=0,IF(X335="neni v PP",CONCATENATE("ID: &lt;",A335,"&gt; se neshoduje s žádným IDem v kartě PP"),IF(COUNTIF($A:$A,A335)&gt;1,CONCATENATE("ID: &lt;",A335,"&gt; se v kartě VP opakuje. Je nutné tyto IDy od sebe odlišit, např. mezerou za příjmením."),IF(COUNTIF([1]PP!A:A,A335)&gt;1,CONCATENATE("ID: &lt;",A335,"&gt; se v kartě PP opakuje. Je nutné tyto IDy od sebe odlišit, např. mezerou za příjmením."),IF(VLOOKUP(A335,[1]PP!$A:$W,5,FALSE)&lt;&gt;E335,CONCATENATE($E$4," &lt;",E335,"&gt; se neshoduje s jednotkou v kartě PP"," &lt;",VLOOKUP(A335,[1]PP!$A:$W,5,FALSE),"&gt;"),IF(AND(COUNTIF(K335:O335,"")&lt;5,J335="",I335=""),CONCATENATE("Doplň: ",$I$4),IF(AND(YEAR(I335)&lt;&gt;$E$2,COUNTIF(I335,"")=0),CONCATENATE("špatně uveden &lt;",$D$2,"&gt; nebo &lt;",$I$4,"&gt;"),IF(OR(AND(OR(COUNTIF(C335,"*a"),COUNTIF(C335,"*ie"),COUNTIF(C335,"*ine"),COUNTIF(D335,"*Á")),F335="muž"),AND(AND(COUNTIF(C335,"&lt;&gt;"&amp;"*a"),COUNTIF(C335,"&lt;&gt;"&amp;"*ie"),COUNTIF(C335,"&lt;&gt;"&amp;"*ine"),COUNTIF(D335,"&lt;&gt;"&amp;"*Á")),F335="žena")),CONCATENATE(C335," ",D335," je ",F335,"?"),""))))))),IF(COUNTIF(B335:O335,"")=14,"",CONCATENATE("Doplň: ",IF(B335="",CONCATENATE($B$4,IF(COUNTIF(C335:G335,"")=0,"",", ")),""),IF(C335="",CONCATENATE($C$4,IF(COUNTIF(D335:G335,"")=0,"",", ")),""),IF(D335="",CONCATENATE($D$4,IF(COUNTIF(E335:G335,"")=0,"",", ")),""),IF(E335="",CONCATENATE($E$4,IF(COUNTIF(F335:G335,"")=0,"",", ")),""),IF(F335="",CONCATENATE($F$4,IF(G335="",", ","")),""),IF(G335="",$G$4,""))))</f>
        <v/>
      </c>
      <c r="AA335" s="30"/>
    </row>
    <row r="336" spans="1:27" ht="16" x14ac:dyDescent="0.35">
      <c r="A336" s="14" t="str">
        <f t="shared" si="20"/>
        <v xml:space="preserve">  </v>
      </c>
      <c r="B336" s="15"/>
      <c r="C336" s="31"/>
      <c r="D336" s="31"/>
      <c r="E336" s="41"/>
      <c r="F336" s="42"/>
      <c r="G336" s="32"/>
      <c r="H336" s="33" t="str">
        <f>IF(G336="","",IF(F336="žena",ROMAN(MATCH(G336+1,'[1]Normy VP'!$Y$27:$Y$33,-1)),ROMAN(MATCH(G336+1,'[1]Normy VP'!$Y$19:$Y$25,-1))))</f>
        <v/>
      </c>
      <c r="I336" s="21"/>
      <c r="J336" s="22"/>
      <c r="K336" s="23"/>
      <c r="L336" s="23"/>
      <c r="M336" s="23"/>
      <c r="N336" s="22"/>
      <c r="O336" s="22"/>
      <c r="P336" s="24" t="str">
        <f>IF(OR($J336="",$J336="odešel"),IF(K336="","",IF($F336="žena",CHOOSE(_xlfn.ARABIC($H336),MATCH(K336+1,'[1]Normy VP'!$C$25:$F$25,-1),MATCH(K336+1,'[1]Normy VP'!$C$26:$F$26,-1),MATCH(K336+1,'[1]Normy VP'!$C$27:$F$27,-1),MATCH(K336+1,'[1]Normy VP'!$C$28:$F$28,-1),MATCH(K336+1,'[1]Normy VP'!$C$29:$F$29,-1),"muž"),CHOOSE(_xlfn.ARABIC($H336),MATCH(K336+1,'[1]Normy VP'!$C$10:$F$10,-1),MATCH(K336+1,'[1]Normy VP'!$C$11:$F$11,-1),MATCH(K336+1,'[1]Normy VP'!$C$12:$F$12,-1),MATCH(K336+1,'[1]Normy VP'!$C$13:$F$13,-1),MATCH(K336+1,'[1]Normy VP'!$C$14:$F$14,-1),""))),"O")</f>
        <v/>
      </c>
      <c r="Q336" s="24" t="str">
        <f>IF(OR($J336="",$J336="odešel"),IF($F336="žena","",IF(L336="","",(CHOOSE(_xlfn.ARABIC($H336),MATCH(L336+1,'[1]Normy VP'!$G$10:$J$10,-1),MATCH(L336+1,'[1]Normy VP'!$G$11:$J$11,-1),MATCH(L336+1,'[1]Normy VP'!$G$12:$J$12,-1),MATCH(L336+1,'[1]Normy VP'!$G$13:$J$13,-1),MATCH(L336+1,'[1]Normy VP'!$G$14:$J$14,-1),"")))),"O")</f>
        <v/>
      </c>
      <c r="R336" s="34" t="str">
        <f t="shared" si="21"/>
        <v>N</v>
      </c>
      <c r="S336" s="24" t="str">
        <f>IF(OR($J336="",$J336="odešel"),IF(M336="","N",IF($F336="žena",CHOOSE(_xlfn.ARABIC($H336),MATCH(M336+1,'[1]Normy VP'!$G$25:$J$25,-1),MATCH(M336+1,'[1]Normy VP'!$G$26:$J$26,-1),MATCH(M336+1,'[1]Normy VP'!$G$27:$J$27,-1),MATCH(M336+1,'[1]Normy VP'!$G$28:$J$28,-1),MATCH(M336+1,'[1]Normy VP'!$G$29:$J$29,-1),"muž"),(CHOOSE(_xlfn.ARABIC($H336),MATCH(M336+1,'[1]Normy VP'!$K$10:$N$10,-1),MATCH(M336+1,'[1]Normy VP'!$K$11:$N$11,-1),MATCH(M336+1,'[1]Normy VP'!$K$12:$N$12,-1),MATCH(M336+1,'[1]Normy VP'!$K$13:$N$13,-1),MATCH(M336+1,'[1]Normy VP'!$K$14:$N$14,-1),"")))),"O")</f>
        <v>N</v>
      </c>
      <c r="T336" s="34" t="str">
        <f t="shared" si="22"/>
        <v>N</v>
      </c>
      <c r="U336" s="24" t="str">
        <f>IF(OR($J336="",$J336="odešel"),IF(N336="","N",IF($F336="žena",CHOOSE(_xlfn.ARABIC($H336),MATCH(N336+1,'[1]Normy VP'!$K$25:$N$25,-1),MATCH(N336+1,'[1]Normy VP'!$K$26:$N$26,-1),MATCH(N336+1,'[1]Normy VP'!$K$27:$N$27,-1),MATCH(N336+1,'[1]Normy VP'!$K$28:$N$28,-1),MATCH(N336+1,'[1]Normy VP'!$K$29:$N$29,-1),MATCH(N336+1,'[1]Normy VP'!$K$30:$N$30,-1)),CHOOSE(_xlfn.ARABIC($H336),MATCH(N336+1,'[1]Normy VP'!$O$10:$R$10,-1),MATCH(N336+1,'[1]Normy VP'!$O$11:$R$11,-1),MATCH(N336+1,'[1]Normy VP'!$O$12:$R$12,-1),MATCH(N336+1,'[1]Normy VP'!$O$13:$R$13,-1),MATCH(N336+1,'[1]Normy VP'!$O$14:$R$14,-1),MATCH(N336+1,'[1]Normy VP'!$O$15:$R$15,-1)))),"O")</f>
        <v>N</v>
      </c>
      <c r="V336" s="26" t="str">
        <f>IF(OR($J336="",$J336="odešel"),IF(O336="","N",IF($F336="žena",CHOOSE(_xlfn.ARABIC($H336),MATCH(O336-1,'[1]Normy VP'!$O$25:$R$25),MATCH(O336-1,'[1]Normy VP'!$O$26:$R$26),MATCH(O336-1,'[1]Normy VP'!$O$27:$R$27),MATCH(O336-1,'[1]Normy VP'!$O$28:$R$28),MATCH(O336-1,'[1]Normy VP'!$O$29:$R$29),MATCH(O336-1,'[1]Normy VP'!$O$30:$R$30)),CHOOSE(_xlfn.ARABIC($H336),MATCH(O336-1,'[1]Normy VP'!$S$10:$V$10),MATCH(O336-1,'[1]Normy VP'!$S$11:$V$11),MATCH(O336-1,'[1]Normy VP'!$S$12:$V$12),MATCH(O336-1,'[1]Normy VP'!$S$13:$V$13),MATCH(O336-1,'[1]Normy VP'!$S$14:$V$14),MATCH(O336-1,'[1]Normy VP'!$S$15:$V$15)))),"O")</f>
        <v>N</v>
      </c>
      <c r="W336" s="34" t="str">
        <f t="shared" si="23"/>
        <v>N</v>
      </c>
      <c r="X336" s="27" t="str">
        <f>IF(COUNTIF(B336:G336,"")&gt;0,"",IF(COUNTIF([1]PP!$A:$A,A336)=0,"neni v PP",IF(OR(Y336="odešel",VLOOKUP(A336,[1]PP!$A:$W,22,FALSE)="odešel"),"odešel",IF(OR(Y336="N",VLOOKUP(A336,[1]PP!$A:$W,22,FALSE)="N"),"N",IF(OR(Y336="C",VLOOKUP(A336,[1]PP!$A:$W,22,FALSE)="C"),"C",IF(OR(Y336="DZO",VLOOKUP(A336,[1]PP!$A:$W,22,FALSE)="DZO"),"DZO",IF(OR(Y336="mise",Y336="disp.",Y336="končí",Y336="DSC",VLOOKUP(A336,[1]PP!$A:$W,22,FALSE)="mise",VLOOKUP(A336,[1]PP!$A:$W,22,FALSE)="disp.",VLOOKUP(A336,[1]PP!$A:$W,22,FALSE)="končí",VLOOKUP(A336,[1]PP!$A:$W,22,FALSE)="DSC"),"jiné",IF(OR(Y336=4,VLOOKUP(A336,[1]PP!$A:$W,22,FALSE)=4),4,IF(OR(Y336=3,VLOOKUP(A336,[1]PP!$A:$W,22,FALSE)=3),3,IF(OR(Y336=2,VLOOKUP(A336,[1]PP!$A:$W,22,FALSE)=2),2,IF(AND(Y336=1,VLOOKUP(A336,[1]PP!$A:$W,22,FALSE)=1),1)))))))))))</f>
        <v/>
      </c>
      <c r="Y336" s="28" t="str">
        <f>IF(COUNTIF(B336:G336,"")&gt;0,"",IF(COUNTIF([1]PP!$A:$A,A336)=0,"neni v PP",IF(VLOOKUP(A336,[1]PP!$A:$W,8,FALSE)="odešel","odešel",IF(F336="","",IF(J336="",IF(OR(T336=4,W336=4),4,IF(AND(T336="N",W336="N"),"N",IF(OR(T336="N",W336="N"),4,ROUND(AVERAGE(T336,W336),0)))),J336)))))</f>
        <v/>
      </c>
      <c r="Z336" s="29" t="str">
        <f>IF(COUNTIF(B336:G336,"")=0,IF(X336="neni v PP",CONCATENATE("ID: &lt;",A336,"&gt; se neshoduje s žádným IDem v kartě PP"),IF(COUNTIF($A:$A,A336)&gt;1,CONCATENATE("ID: &lt;",A336,"&gt; se v kartě VP opakuje. Je nutné tyto IDy od sebe odlišit, např. mezerou za příjmením."),IF(COUNTIF([1]PP!A:A,A336)&gt;1,CONCATENATE("ID: &lt;",A336,"&gt; se v kartě PP opakuje. Je nutné tyto IDy od sebe odlišit, např. mezerou za příjmením."),IF(VLOOKUP(A336,[1]PP!$A:$W,5,FALSE)&lt;&gt;E336,CONCATENATE($E$4," &lt;",E336,"&gt; se neshoduje s jednotkou v kartě PP"," &lt;",VLOOKUP(A336,[1]PP!$A:$W,5,FALSE),"&gt;"),IF(AND(COUNTIF(K336:O336,"")&lt;5,J336="",I336=""),CONCATENATE("Doplň: ",$I$4),IF(AND(YEAR(I336)&lt;&gt;$E$2,COUNTIF(I336,"")=0),CONCATENATE("špatně uveden &lt;",$D$2,"&gt; nebo &lt;",$I$4,"&gt;"),IF(OR(AND(OR(COUNTIF(C336,"*a"),COUNTIF(C336,"*ie"),COUNTIF(C336,"*ine"),COUNTIF(D336,"*Á")),F336="muž"),AND(AND(COUNTIF(C336,"&lt;&gt;"&amp;"*a"),COUNTIF(C336,"&lt;&gt;"&amp;"*ie"),COUNTIF(C336,"&lt;&gt;"&amp;"*ine"),COUNTIF(D336,"&lt;&gt;"&amp;"*Á")),F336="žena")),CONCATENATE(C336," ",D336," je ",F336,"?"),""))))))),IF(COUNTIF(B336:O336,"")=14,"",CONCATENATE("Doplň: ",IF(B336="",CONCATENATE($B$4,IF(COUNTIF(C336:G336,"")=0,"",", ")),""),IF(C336="",CONCATENATE($C$4,IF(COUNTIF(D336:G336,"")=0,"",", ")),""),IF(D336="",CONCATENATE($D$4,IF(COUNTIF(E336:G336,"")=0,"",", ")),""),IF(E336="",CONCATENATE($E$4,IF(COUNTIF(F336:G336,"")=0,"",", ")),""),IF(F336="",CONCATENATE($F$4,IF(G336="",", ","")),""),IF(G336="",$G$4,""))))</f>
        <v/>
      </c>
      <c r="AA336" s="30"/>
    </row>
    <row r="337" spans="1:27" ht="16" x14ac:dyDescent="0.35">
      <c r="A337" s="14" t="str">
        <f t="shared" si="20"/>
        <v xml:space="preserve">  </v>
      </c>
      <c r="B337" s="15"/>
      <c r="C337" s="31"/>
      <c r="D337" s="31"/>
      <c r="E337" s="17"/>
      <c r="F337" s="18"/>
      <c r="G337" s="32"/>
      <c r="H337" s="33" t="str">
        <f>IF(G337="","",IF(F337="žena",ROMAN(MATCH(G337+1,'[1]Normy VP'!$Y$27:$Y$33,-1)),ROMAN(MATCH(G337+1,'[1]Normy VP'!$Y$19:$Y$25,-1))))</f>
        <v/>
      </c>
      <c r="I337" s="21"/>
      <c r="J337" s="22"/>
      <c r="K337" s="23"/>
      <c r="L337" s="23"/>
      <c r="M337" s="23"/>
      <c r="N337" s="22"/>
      <c r="O337" s="22"/>
      <c r="P337" s="24" t="str">
        <f>IF(OR($J337="",$J337="odešel"),IF(K337="","",IF($F337="žena",CHOOSE(_xlfn.ARABIC($H337),MATCH(K337+1,'[1]Normy VP'!$C$25:$F$25,-1),MATCH(K337+1,'[1]Normy VP'!$C$26:$F$26,-1),MATCH(K337+1,'[1]Normy VP'!$C$27:$F$27,-1),MATCH(K337+1,'[1]Normy VP'!$C$28:$F$28,-1),MATCH(K337+1,'[1]Normy VP'!$C$29:$F$29,-1),"muž"),CHOOSE(_xlfn.ARABIC($H337),MATCH(K337+1,'[1]Normy VP'!$C$10:$F$10,-1),MATCH(K337+1,'[1]Normy VP'!$C$11:$F$11,-1),MATCH(K337+1,'[1]Normy VP'!$C$12:$F$12,-1),MATCH(K337+1,'[1]Normy VP'!$C$13:$F$13,-1),MATCH(K337+1,'[1]Normy VP'!$C$14:$F$14,-1),""))),"O")</f>
        <v/>
      </c>
      <c r="Q337" s="24" t="str">
        <f>IF(OR($J337="",$J337="odešel"),IF($F337="žena","",IF(L337="","",(CHOOSE(_xlfn.ARABIC($H337),MATCH(L337+1,'[1]Normy VP'!$G$10:$J$10,-1),MATCH(L337+1,'[1]Normy VP'!$G$11:$J$11,-1),MATCH(L337+1,'[1]Normy VP'!$G$12:$J$12,-1),MATCH(L337+1,'[1]Normy VP'!$G$13:$J$13,-1),MATCH(L337+1,'[1]Normy VP'!$G$14:$J$14,-1),"")))),"O")</f>
        <v/>
      </c>
      <c r="R337" s="34" t="str">
        <f t="shared" si="21"/>
        <v>N</v>
      </c>
      <c r="S337" s="24" t="str">
        <f>IF(OR($J337="",$J337="odešel"),IF(M337="","N",IF($F337="žena",CHOOSE(_xlfn.ARABIC($H337),MATCH(M337+1,'[1]Normy VP'!$G$25:$J$25,-1),MATCH(M337+1,'[1]Normy VP'!$G$26:$J$26,-1),MATCH(M337+1,'[1]Normy VP'!$G$27:$J$27,-1),MATCH(M337+1,'[1]Normy VP'!$G$28:$J$28,-1),MATCH(M337+1,'[1]Normy VP'!$G$29:$J$29,-1),"muž"),(CHOOSE(_xlfn.ARABIC($H337),MATCH(M337+1,'[1]Normy VP'!$K$10:$N$10,-1),MATCH(M337+1,'[1]Normy VP'!$K$11:$N$11,-1),MATCH(M337+1,'[1]Normy VP'!$K$12:$N$12,-1),MATCH(M337+1,'[1]Normy VP'!$K$13:$N$13,-1),MATCH(M337+1,'[1]Normy VP'!$K$14:$N$14,-1),"")))),"O")</f>
        <v>N</v>
      </c>
      <c r="T337" s="34" t="str">
        <f t="shared" si="22"/>
        <v>N</v>
      </c>
      <c r="U337" s="24" t="str">
        <f>IF(OR($J337="",$J337="odešel"),IF(N337="","N",IF($F337="žena",CHOOSE(_xlfn.ARABIC($H337),MATCH(N337+1,'[1]Normy VP'!$K$25:$N$25,-1),MATCH(N337+1,'[1]Normy VP'!$K$26:$N$26,-1),MATCH(N337+1,'[1]Normy VP'!$K$27:$N$27,-1),MATCH(N337+1,'[1]Normy VP'!$K$28:$N$28,-1),MATCH(N337+1,'[1]Normy VP'!$K$29:$N$29,-1),MATCH(N337+1,'[1]Normy VP'!$K$30:$N$30,-1)),CHOOSE(_xlfn.ARABIC($H337),MATCH(N337+1,'[1]Normy VP'!$O$10:$R$10,-1),MATCH(N337+1,'[1]Normy VP'!$O$11:$R$11,-1),MATCH(N337+1,'[1]Normy VP'!$O$12:$R$12,-1),MATCH(N337+1,'[1]Normy VP'!$O$13:$R$13,-1),MATCH(N337+1,'[1]Normy VP'!$O$14:$R$14,-1),MATCH(N337+1,'[1]Normy VP'!$O$15:$R$15,-1)))),"O")</f>
        <v>N</v>
      </c>
      <c r="V337" s="26" t="str">
        <f>IF(OR($J337="",$J337="odešel"),IF(O337="","N",IF($F337="žena",CHOOSE(_xlfn.ARABIC($H337),MATCH(O337-1,'[1]Normy VP'!$O$25:$R$25),MATCH(O337-1,'[1]Normy VP'!$O$26:$R$26),MATCH(O337-1,'[1]Normy VP'!$O$27:$R$27),MATCH(O337-1,'[1]Normy VP'!$O$28:$R$28),MATCH(O337-1,'[1]Normy VP'!$O$29:$R$29),MATCH(O337-1,'[1]Normy VP'!$O$30:$R$30)),CHOOSE(_xlfn.ARABIC($H337),MATCH(O337-1,'[1]Normy VP'!$S$10:$V$10),MATCH(O337-1,'[1]Normy VP'!$S$11:$V$11),MATCH(O337-1,'[1]Normy VP'!$S$12:$V$12),MATCH(O337-1,'[1]Normy VP'!$S$13:$V$13),MATCH(O337-1,'[1]Normy VP'!$S$14:$V$14),MATCH(O337-1,'[1]Normy VP'!$S$15:$V$15)))),"O")</f>
        <v>N</v>
      </c>
      <c r="W337" s="34" t="str">
        <f t="shared" si="23"/>
        <v>N</v>
      </c>
      <c r="X337" s="27" t="str">
        <f>IF(COUNTIF(B337:G337,"")&gt;0,"",IF(COUNTIF([1]PP!$A:$A,A337)=0,"neni v PP",IF(OR(Y337="odešel",VLOOKUP(A337,[1]PP!$A:$W,22,FALSE)="odešel"),"odešel",IF(OR(Y337="N",VLOOKUP(A337,[1]PP!$A:$W,22,FALSE)="N"),"N",IF(OR(Y337="C",VLOOKUP(A337,[1]PP!$A:$W,22,FALSE)="C"),"C",IF(OR(Y337="DZO",VLOOKUP(A337,[1]PP!$A:$W,22,FALSE)="DZO"),"DZO",IF(OR(Y337="mise",Y337="disp.",Y337="končí",Y337="DSC",VLOOKUP(A337,[1]PP!$A:$W,22,FALSE)="mise",VLOOKUP(A337,[1]PP!$A:$W,22,FALSE)="disp.",VLOOKUP(A337,[1]PP!$A:$W,22,FALSE)="končí",VLOOKUP(A337,[1]PP!$A:$W,22,FALSE)="DSC"),"jiné",IF(OR(Y337=4,VLOOKUP(A337,[1]PP!$A:$W,22,FALSE)=4),4,IF(OR(Y337=3,VLOOKUP(A337,[1]PP!$A:$W,22,FALSE)=3),3,IF(OR(Y337=2,VLOOKUP(A337,[1]PP!$A:$W,22,FALSE)=2),2,IF(AND(Y337=1,VLOOKUP(A337,[1]PP!$A:$W,22,FALSE)=1),1)))))))))))</f>
        <v/>
      </c>
      <c r="Y337" s="28" t="str">
        <f>IF(COUNTIF(B337:G337,"")&gt;0,"",IF(COUNTIF([1]PP!$A:$A,A337)=0,"neni v PP",IF(VLOOKUP(A337,[1]PP!$A:$W,8,FALSE)="odešel","odešel",IF(F337="","",IF(J337="",IF(OR(T337=4,W337=4),4,IF(AND(T337="N",W337="N"),"N",IF(OR(T337="N",W337="N"),4,ROUND(AVERAGE(T337,W337),0)))),J337)))))</f>
        <v/>
      </c>
      <c r="Z337" s="29" t="str">
        <f>IF(COUNTIF(B337:G337,"")=0,IF(X337="neni v PP",CONCATENATE("ID: &lt;",A337,"&gt; se neshoduje s žádným IDem v kartě PP"),IF(COUNTIF($A:$A,A337)&gt;1,CONCATENATE("ID: &lt;",A337,"&gt; se v kartě VP opakuje. Je nutné tyto IDy od sebe odlišit, např. mezerou za příjmením."),IF(COUNTIF([1]PP!A:A,A337)&gt;1,CONCATENATE("ID: &lt;",A337,"&gt; se v kartě PP opakuje. Je nutné tyto IDy od sebe odlišit, např. mezerou za příjmením."),IF(VLOOKUP(A337,[1]PP!$A:$W,5,FALSE)&lt;&gt;E337,CONCATENATE($E$4," &lt;",E337,"&gt; se neshoduje s jednotkou v kartě PP"," &lt;",VLOOKUP(A337,[1]PP!$A:$W,5,FALSE),"&gt;"),IF(AND(COUNTIF(K337:O337,"")&lt;5,J337="",I337=""),CONCATENATE("Doplň: ",$I$4),IF(AND(YEAR(I337)&lt;&gt;$E$2,COUNTIF(I337,"")=0),CONCATENATE("špatně uveden &lt;",$D$2,"&gt; nebo &lt;",$I$4,"&gt;"),IF(OR(AND(OR(COUNTIF(C337,"*a"),COUNTIF(C337,"*ie"),COUNTIF(C337,"*ine"),COUNTIF(D337,"*Á")),F337="muž"),AND(AND(COUNTIF(C337,"&lt;&gt;"&amp;"*a"),COUNTIF(C337,"&lt;&gt;"&amp;"*ie"),COUNTIF(C337,"&lt;&gt;"&amp;"*ine"),COUNTIF(D337,"&lt;&gt;"&amp;"*Á")),F337="žena")),CONCATENATE(C337," ",D337," je ",F337,"?"),""))))))),IF(COUNTIF(B337:O337,"")=14,"",CONCATENATE("Doplň: ",IF(B337="",CONCATENATE($B$4,IF(COUNTIF(C337:G337,"")=0,"",", ")),""),IF(C337="",CONCATENATE($C$4,IF(COUNTIF(D337:G337,"")=0,"",", ")),""),IF(D337="",CONCATENATE($D$4,IF(COUNTIF(E337:G337,"")=0,"",", ")),""),IF(E337="",CONCATENATE($E$4,IF(COUNTIF(F337:G337,"")=0,"",", ")),""),IF(F337="",CONCATENATE($F$4,IF(G337="",", ","")),""),IF(G337="",$G$4,""))))</f>
        <v/>
      </c>
      <c r="AA337" s="30"/>
    </row>
    <row r="338" spans="1:27" ht="16" x14ac:dyDescent="0.35">
      <c r="A338" s="14" t="str">
        <f t="shared" si="20"/>
        <v xml:space="preserve">  </v>
      </c>
      <c r="B338" s="15"/>
      <c r="C338" s="31"/>
      <c r="D338" s="31"/>
      <c r="E338" s="17"/>
      <c r="F338" s="18"/>
      <c r="G338" s="32"/>
      <c r="H338" s="33" t="str">
        <f>IF(G338="","",IF(F338="žena",ROMAN(MATCH(G338+1,'[1]Normy VP'!$Y$27:$Y$33,-1)),ROMAN(MATCH(G338+1,'[1]Normy VP'!$Y$19:$Y$25,-1))))</f>
        <v/>
      </c>
      <c r="I338" s="21"/>
      <c r="J338" s="22"/>
      <c r="K338" s="23"/>
      <c r="L338" s="23"/>
      <c r="M338" s="23"/>
      <c r="N338" s="22"/>
      <c r="O338" s="22"/>
      <c r="P338" s="24" t="str">
        <f>IF(OR($J338="",$J338="odešel"),IF(K338="","",IF($F338="žena",CHOOSE(_xlfn.ARABIC($H338),MATCH(K338+1,'[1]Normy VP'!$C$25:$F$25,-1),MATCH(K338+1,'[1]Normy VP'!$C$26:$F$26,-1),MATCH(K338+1,'[1]Normy VP'!$C$27:$F$27,-1),MATCH(K338+1,'[1]Normy VP'!$C$28:$F$28,-1),MATCH(K338+1,'[1]Normy VP'!$C$29:$F$29,-1),"muž"),CHOOSE(_xlfn.ARABIC($H338),MATCH(K338+1,'[1]Normy VP'!$C$10:$F$10,-1),MATCH(K338+1,'[1]Normy VP'!$C$11:$F$11,-1),MATCH(K338+1,'[1]Normy VP'!$C$12:$F$12,-1),MATCH(K338+1,'[1]Normy VP'!$C$13:$F$13,-1),MATCH(K338+1,'[1]Normy VP'!$C$14:$F$14,-1),""))),"O")</f>
        <v/>
      </c>
      <c r="Q338" s="24" t="str">
        <f>IF(OR($J338="",$J338="odešel"),IF($F338="žena","",IF(L338="","",(CHOOSE(_xlfn.ARABIC($H338),MATCH(L338+1,'[1]Normy VP'!$G$10:$J$10,-1),MATCH(L338+1,'[1]Normy VP'!$G$11:$J$11,-1),MATCH(L338+1,'[1]Normy VP'!$G$12:$J$12,-1),MATCH(L338+1,'[1]Normy VP'!$G$13:$J$13,-1),MATCH(L338+1,'[1]Normy VP'!$G$14:$J$14,-1),"")))),"O")</f>
        <v/>
      </c>
      <c r="R338" s="34" t="str">
        <f t="shared" si="21"/>
        <v>N</v>
      </c>
      <c r="S338" s="24" t="str">
        <f>IF(OR($J338="",$J338="odešel"),IF(M338="","N",IF($F338="žena",CHOOSE(_xlfn.ARABIC($H338),MATCH(M338+1,'[1]Normy VP'!$G$25:$J$25,-1),MATCH(M338+1,'[1]Normy VP'!$G$26:$J$26,-1),MATCH(M338+1,'[1]Normy VP'!$G$27:$J$27,-1),MATCH(M338+1,'[1]Normy VP'!$G$28:$J$28,-1),MATCH(M338+1,'[1]Normy VP'!$G$29:$J$29,-1),"muž"),(CHOOSE(_xlfn.ARABIC($H338),MATCH(M338+1,'[1]Normy VP'!$K$10:$N$10,-1),MATCH(M338+1,'[1]Normy VP'!$K$11:$N$11,-1),MATCH(M338+1,'[1]Normy VP'!$K$12:$N$12,-1),MATCH(M338+1,'[1]Normy VP'!$K$13:$N$13,-1),MATCH(M338+1,'[1]Normy VP'!$K$14:$N$14,-1),"")))),"O")</f>
        <v>N</v>
      </c>
      <c r="T338" s="34" t="str">
        <f t="shared" si="22"/>
        <v>N</v>
      </c>
      <c r="U338" s="24" t="str">
        <f>IF(OR($J338="",$J338="odešel"),IF(N338="","N",IF($F338="žena",CHOOSE(_xlfn.ARABIC($H338),MATCH(N338+1,'[1]Normy VP'!$K$25:$N$25,-1),MATCH(N338+1,'[1]Normy VP'!$K$26:$N$26,-1),MATCH(N338+1,'[1]Normy VP'!$K$27:$N$27,-1),MATCH(N338+1,'[1]Normy VP'!$K$28:$N$28,-1),MATCH(N338+1,'[1]Normy VP'!$K$29:$N$29,-1),MATCH(N338+1,'[1]Normy VP'!$K$30:$N$30,-1)),CHOOSE(_xlfn.ARABIC($H338),MATCH(N338+1,'[1]Normy VP'!$O$10:$R$10,-1),MATCH(N338+1,'[1]Normy VP'!$O$11:$R$11,-1),MATCH(N338+1,'[1]Normy VP'!$O$12:$R$12,-1),MATCH(N338+1,'[1]Normy VP'!$O$13:$R$13,-1),MATCH(N338+1,'[1]Normy VP'!$O$14:$R$14,-1),MATCH(N338+1,'[1]Normy VP'!$O$15:$R$15,-1)))),"O")</f>
        <v>N</v>
      </c>
      <c r="V338" s="26" t="str">
        <f>IF(OR($J338="",$J338="odešel"),IF(O338="","N",IF($F338="žena",CHOOSE(_xlfn.ARABIC($H338),MATCH(O338-1,'[1]Normy VP'!$O$25:$R$25),MATCH(O338-1,'[1]Normy VP'!$O$26:$R$26),MATCH(O338-1,'[1]Normy VP'!$O$27:$R$27),MATCH(O338-1,'[1]Normy VP'!$O$28:$R$28),MATCH(O338-1,'[1]Normy VP'!$O$29:$R$29),MATCH(O338-1,'[1]Normy VP'!$O$30:$R$30)),CHOOSE(_xlfn.ARABIC($H338),MATCH(O338-1,'[1]Normy VP'!$S$10:$V$10),MATCH(O338-1,'[1]Normy VP'!$S$11:$V$11),MATCH(O338-1,'[1]Normy VP'!$S$12:$V$12),MATCH(O338-1,'[1]Normy VP'!$S$13:$V$13),MATCH(O338-1,'[1]Normy VP'!$S$14:$V$14),MATCH(O338-1,'[1]Normy VP'!$S$15:$V$15)))),"O")</f>
        <v>N</v>
      </c>
      <c r="W338" s="34" t="str">
        <f t="shared" si="23"/>
        <v>N</v>
      </c>
      <c r="X338" s="27" t="str">
        <f>IF(COUNTIF(B338:G338,"")&gt;0,"",IF(COUNTIF([1]PP!$A:$A,A338)=0,"neni v PP",IF(OR(Y338="odešel",VLOOKUP(A338,[1]PP!$A:$W,22,FALSE)="odešel"),"odešel",IF(OR(Y338="N",VLOOKUP(A338,[1]PP!$A:$W,22,FALSE)="N"),"N",IF(OR(Y338="C",VLOOKUP(A338,[1]PP!$A:$W,22,FALSE)="C"),"C",IF(OR(Y338="DZO",VLOOKUP(A338,[1]PP!$A:$W,22,FALSE)="DZO"),"DZO",IF(OR(Y338="mise",Y338="disp.",Y338="končí",Y338="DSC",VLOOKUP(A338,[1]PP!$A:$W,22,FALSE)="mise",VLOOKUP(A338,[1]PP!$A:$W,22,FALSE)="disp.",VLOOKUP(A338,[1]PP!$A:$W,22,FALSE)="končí",VLOOKUP(A338,[1]PP!$A:$W,22,FALSE)="DSC"),"jiné",IF(OR(Y338=4,VLOOKUP(A338,[1]PP!$A:$W,22,FALSE)=4),4,IF(OR(Y338=3,VLOOKUP(A338,[1]PP!$A:$W,22,FALSE)=3),3,IF(OR(Y338=2,VLOOKUP(A338,[1]PP!$A:$W,22,FALSE)=2),2,IF(AND(Y338=1,VLOOKUP(A338,[1]PP!$A:$W,22,FALSE)=1),1)))))))))))</f>
        <v/>
      </c>
      <c r="Y338" s="28" t="str">
        <f>IF(COUNTIF(B338:G338,"")&gt;0,"",IF(COUNTIF([1]PP!$A:$A,A338)=0,"neni v PP",IF(VLOOKUP(A338,[1]PP!$A:$W,8,FALSE)="odešel","odešel",IF(F338="","",IF(J338="",IF(OR(T338=4,W338=4),4,IF(AND(T338="N",W338="N"),"N",IF(OR(T338="N",W338="N"),4,ROUND(AVERAGE(T338,W338),0)))),J338)))))</f>
        <v/>
      </c>
      <c r="Z338" s="29" t="str">
        <f>IF(COUNTIF(B338:G338,"")=0,IF(X338="neni v PP",CONCATENATE("ID: &lt;",A338,"&gt; se neshoduje s žádným IDem v kartě PP"),IF(COUNTIF($A:$A,A338)&gt;1,CONCATENATE("ID: &lt;",A338,"&gt; se v kartě VP opakuje. Je nutné tyto IDy od sebe odlišit, např. mezerou za příjmením."),IF(COUNTIF([1]PP!A:A,A338)&gt;1,CONCATENATE("ID: &lt;",A338,"&gt; se v kartě PP opakuje. Je nutné tyto IDy od sebe odlišit, např. mezerou za příjmením."),IF(VLOOKUP(A338,[1]PP!$A:$W,5,FALSE)&lt;&gt;E338,CONCATENATE($E$4," &lt;",E338,"&gt; se neshoduje s jednotkou v kartě PP"," &lt;",VLOOKUP(A338,[1]PP!$A:$W,5,FALSE),"&gt;"),IF(AND(COUNTIF(K338:O338,"")&lt;5,J338="",I338=""),CONCATENATE("Doplň: ",$I$4),IF(AND(YEAR(I338)&lt;&gt;$E$2,COUNTIF(I338,"")=0),CONCATENATE("špatně uveden &lt;",$D$2,"&gt; nebo &lt;",$I$4,"&gt;"),IF(OR(AND(OR(COUNTIF(C338,"*a"),COUNTIF(C338,"*ie"),COUNTIF(C338,"*ine"),COUNTIF(D338,"*Á")),F338="muž"),AND(AND(COUNTIF(C338,"&lt;&gt;"&amp;"*a"),COUNTIF(C338,"&lt;&gt;"&amp;"*ie"),COUNTIF(C338,"&lt;&gt;"&amp;"*ine"),COUNTIF(D338,"&lt;&gt;"&amp;"*Á")),F338="žena")),CONCATENATE(C338," ",D338," je ",F338,"?"),""))))))),IF(COUNTIF(B338:O338,"")=14,"",CONCATENATE("Doplň: ",IF(B338="",CONCATENATE($B$4,IF(COUNTIF(C338:G338,"")=0,"",", ")),""),IF(C338="",CONCATENATE($C$4,IF(COUNTIF(D338:G338,"")=0,"",", ")),""),IF(D338="",CONCATENATE($D$4,IF(COUNTIF(E338:G338,"")=0,"",", ")),""),IF(E338="",CONCATENATE($E$4,IF(COUNTIF(F338:G338,"")=0,"",", ")),""),IF(F338="",CONCATENATE($F$4,IF(G338="",", ","")),""),IF(G338="",$G$4,""))))</f>
        <v/>
      </c>
      <c r="AA338" s="30"/>
    </row>
    <row r="339" spans="1:27" ht="16" x14ac:dyDescent="0.35">
      <c r="A339" s="14" t="str">
        <f t="shared" si="20"/>
        <v xml:space="preserve">  </v>
      </c>
      <c r="B339" s="15"/>
      <c r="C339" s="31"/>
      <c r="D339" s="31"/>
      <c r="E339" s="17"/>
      <c r="F339" s="18"/>
      <c r="G339" s="32"/>
      <c r="H339" s="33" t="str">
        <f>IF(G339="","",IF(F339="žena",ROMAN(MATCH(G339+1,'[1]Normy VP'!$Y$27:$Y$33,-1)),ROMAN(MATCH(G339+1,'[1]Normy VP'!$Y$19:$Y$25,-1))))</f>
        <v/>
      </c>
      <c r="I339" s="21"/>
      <c r="J339" s="22"/>
      <c r="K339" s="23"/>
      <c r="L339" s="23"/>
      <c r="M339" s="23"/>
      <c r="N339" s="22"/>
      <c r="O339" s="22"/>
      <c r="P339" s="24" t="str">
        <f>IF(OR($J339="",$J339="odešel"),IF(K339="","",IF($F339="žena",CHOOSE(_xlfn.ARABIC($H339),MATCH(K339+1,'[1]Normy VP'!$C$25:$F$25,-1),MATCH(K339+1,'[1]Normy VP'!$C$26:$F$26,-1),MATCH(K339+1,'[1]Normy VP'!$C$27:$F$27,-1),MATCH(K339+1,'[1]Normy VP'!$C$28:$F$28,-1),MATCH(K339+1,'[1]Normy VP'!$C$29:$F$29,-1),"muž"),CHOOSE(_xlfn.ARABIC($H339),MATCH(K339+1,'[1]Normy VP'!$C$10:$F$10,-1),MATCH(K339+1,'[1]Normy VP'!$C$11:$F$11,-1),MATCH(K339+1,'[1]Normy VP'!$C$12:$F$12,-1),MATCH(K339+1,'[1]Normy VP'!$C$13:$F$13,-1),MATCH(K339+1,'[1]Normy VP'!$C$14:$F$14,-1),""))),"O")</f>
        <v/>
      </c>
      <c r="Q339" s="24" t="str">
        <f>IF(OR($J339="",$J339="odešel"),IF($F339="žena","",IF(L339="","",(CHOOSE(_xlfn.ARABIC($H339),MATCH(L339+1,'[1]Normy VP'!$G$10:$J$10,-1),MATCH(L339+1,'[1]Normy VP'!$G$11:$J$11,-1),MATCH(L339+1,'[1]Normy VP'!$G$12:$J$12,-1),MATCH(L339+1,'[1]Normy VP'!$G$13:$J$13,-1),MATCH(L339+1,'[1]Normy VP'!$G$14:$J$14,-1),"")))),"O")</f>
        <v/>
      </c>
      <c r="R339" s="34" t="str">
        <f t="shared" si="21"/>
        <v>N</v>
      </c>
      <c r="S339" s="24" t="str">
        <f>IF(OR($J339="",$J339="odešel"),IF(M339="","N",IF($F339="žena",CHOOSE(_xlfn.ARABIC($H339),MATCH(M339+1,'[1]Normy VP'!$G$25:$J$25,-1),MATCH(M339+1,'[1]Normy VP'!$G$26:$J$26,-1),MATCH(M339+1,'[1]Normy VP'!$G$27:$J$27,-1),MATCH(M339+1,'[1]Normy VP'!$G$28:$J$28,-1),MATCH(M339+1,'[1]Normy VP'!$G$29:$J$29,-1),"muž"),(CHOOSE(_xlfn.ARABIC($H339),MATCH(M339+1,'[1]Normy VP'!$K$10:$N$10,-1),MATCH(M339+1,'[1]Normy VP'!$K$11:$N$11,-1),MATCH(M339+1,'[1]Normy VP'!$K$12:$N$12,-1),MATCH(M339+1,'[1]Normy VP'!$K$13:$N$13,-1),MATCH(M339+1,'[1]Normy VP'!$K$14:$N$14,-1),"")))),"O")</f>
        <v>N</v>
      </c>
      <c r="T339" s="34" t="str">
        <f t="shared" si="22"/>
        <v>N</v>
      </c>
      <c r="U339" s="24" t="str">
        <f>IF(OR($J339="",$J339="odešel"),IF(N339="","N",IF($F339="žena",CHOOSE(_xlfn.ARABIC($H339),MATCH(N339+1,'[1]Normy VP'!$K$25:$N$25,-1),MATCH(N339+1,'[1]Normy VP'!$K$26:$N$26,-1),MATCH(N339+1,'[1]Normy VP'!$K$27:$N$27,-1),MATCH(N339+1,'[1]Normy VP'!$K$28:$N$28,-1),MATCH(N339+1,'[1]Normy VP'!$K$29:$N$29,-1),MATCH(N339+1,'[1]Normy VP'!$K$30:$N$30,-1)),CHOOSE(_xlfn.ARABIC($H339),MATCH(N339+1,'[1]Normy VP'!$O$10:$R$10,-1),MATCH(N339+1,'[1]Normy VP'!$O$11:$R$11,-1),MATCH(N339+1,'[1]Normy VP'!$O$12:$R$12,-1),MATCH(N339+1,'[1]Normy VP'!$O$13:$R$13,-1),MATCH(N339+1,'[1]Normy VP'!$O$14:$R$14,-1),MATCH(N339+1,'[1]Normy VP'!$O$15:$R$15,-1)))),"O")</f>
        <v>N</v>
      </c>
      <c r="V339" s="26" t="str">
        <f>IF(OR($J339="",$J339="odešel"),IF(O339="","N",IF($F339="žena",CHOOSE(_xlfn.ARABIC($H339),MATCH(O339-1,'[1]Normy VP'!$O$25:$R$25),MATCH(O339-1,'[1]Normy VP'!$O$26:$R$26),MATCH(O339-1,'[1]Normy VP'!$O$27:$R$27),MATCH(O339-1,'[1]Normy VP'!$O$28:$R$28),MATCH(O339-1,'[1]Normy VP'!$O$29:$R$29),MATCH(O339-1,'[1]Normy VP'!$O$30:$R$30)),CHOOSE(_xlfn.ARABIC($H339),MATCH(O339-1,'[1]Normy VP'!$S$10:$V$10),MATCH(O339-1,'[1]Normy VP'!$S$11:$V$11),MATCH(O339-1,'[1]Normy VP'!$S$12:$V$12),MATCH(O339-1,'[1]Normy VP'!$S$13:$V$13),MATCH(O339-1,'[1]Normy VP'!$S$14:$V$14),MATCH(O339-1,'[1]Normy VP'!$S$15:$V$15)))),"O")</f>
        <v>N</v>
      </c>
      <c r="W339" s="34" t="str">
        <f t="shared" si="23"/>
        <v>N</v>
      </c>
      <c r="X339" s="27" t="str">
        <f>IF(COUNTIF(B339:G339,"")&gt;0,"",IF(COUNTIF([1]PP!$A:$A,A339)=0,"neni v PP",IF(OR(Y339="odešel",VLOOKUP(A339,[1]PP!$A:$W,22,FALSE)="odešel"),"odešel",IF(OR(Y339="N",VLOOKUP(A339,[1]PP!$A:$W,22,FALSE)="N"),"N",IF(OR(Y339="C",VLOOKUP(A339,[1]PP!$A:$W,22,FALSE)="C"),"C",IF(OR(Y339="DZO",VLOOKUP(A339,[1]PP!$A:$W,22,FALSE)="DZO"),"DZO",IF(OR(Y339="mise",Y339="disp.",Y339="končí",Y339="DSC",VLOOKUP(A339,[1]PP!$A:$W,22,FALSE)="mise",VLOOKUP(A339,[1]PP!$A:$W,22,FALSE)="disp.",VLOOKUP(A339,[1]PP!$A:$W,22,FALSE)="končí",VLOOKUP(A339,[1]PP!$A:$W,22,FALSE)="DSC"),"jiné",IF(OR(Y339=4,VLOOKUP(A339,[1]PP!$A:$W,22,FALSE)=4),4,IF(OR(Y339=3,VLOOKUP(A339,[1]PP!$A:$W,22,FALSE)=3),3,IF(OR(Y339=2,VLOOKUP(A339,[1]PP!$A:$W,22,FALSE)=2),2,IF(AND(Y339=1,VLOOKUP(A339,[1]PP!$A:$W,22,FALSE)=1),1)))))))))))</f>
        <v/>
      </c>
      <c r="Y339" s="28" t="str">
        <f>IF(COUNTIF(B339:G339,"")&gt;0,"",IF(COUNTIF([1]PP!$A:$A,A339)=0,"neni v PP",IF(VLOOKUP(A339,[1]PP!$A:$W,8,FALSE)="odešel","odešel",IF(F339="","",IF(J339="",IF(OR(T339=4,W339=4),4,IF(AND(T339="N",W339="N"),"N",IF(OR(T339="N",W339="N"),4,ROUND(AVERAGE(T339,W339),0)))),J339)))))</f>
        <v/>
      </c>
      <c r="Z339" s="29" t="str">
        <f>IF(COUNTIF(B339:G339,"")=0,IF(X339="neni v PP",CONCATENATE("ID: &lt;",A339,"&gt; se neshoduje s žádným IDem v kartě PP"),IF(COUNTIF($A:$A,A339)&gt;1,CONCATENATE("ID: &lt;",A339,"&gt; se v kartě VP opakuje. Je nutné tyto IDy od sebe odlišit, např. mezerou za příjmením."),IF(COUNTIF([1]PP!A:A,A339)&gt;1,CONCATENATE("ID: &lt;",A339,"&gt; se v kartě PP opakuje. Je nutné tyto IDy od sebe odlišit, např. mezerou za příjmením."),IF(VLOOKUP(A339,[1]PP!$A:$W,5,FALSE)&lt;&gt;E339,CONCATENATE($E$4," &lt;",E339,"&gt; se neshoduje s jednotkou v kartě PP"," &lt;",VLOOKUP(A339,[1]PP!$A:$W,5,FALSE),"&gt;"),IF(AND(COUNTIF(K339:O339,"")&lt;5,J339="",I339=""),CONCATENATE("Doplň: ",$I$4),IF(AND(YEAR(I339)&lt;&gt;$E$2,COUNTIF(I339,"")=0),CONCATENATE("špatně uveden &lt;",$D$2,"&gt; nebo &lt;",$I$4,"&gt;"),IF(OR(AND(OR(COUNTIF(C339,"*a"),COUNTIF(C339,"*ie"),COUNTIF(C339,"*ine"),COUNTIF(D339,"*Á")),F339="muž"),AND(AND(COUNTIF(C339,"&lt;&gt;"&amp;"*a"),COUNTIF(C339,"&lt;&gt;"&amp;"*ie"),COUNTIF(C339,"&lt;&gt;"&amp;"*ine"),COUNTIF(D339,"&lt;&gt;"&amp;"*Á")),F339="žena")),CONCATENATE(C339," ",D339," je ",F339,"?"),""))))))),IF(COUNTIF(B339:O339,"")=14,"",CONCATENATE("Doplň: ",IF(B339="",CONCATENATE($B$4,IF(COUNTIF(C339:G339,"")=0,"",", ")),""),IF(C339="",CONCATENATE($C$4,IF(COUNTIF(D339:G339,"")=0,"",", ")),""),IF(D339="",CONCATENATE($D$4,IF(COUNTIF(E339:G339,"")=0,"",", ")),""),IF(E339="",CONCATENATE($E$4,IF(COUNTIF(F339:G339,"")=0,"",", ")),""),IF(F339="",CONCATENATE($F$4,IF(G339="",", ","")),""),IF(G339="",$G$4,""))))</f>
        <v/>
      </c>
      <c r="AA339" s="30"/>
    </row>
    <row r="340" spans="1:27" ht="16" x14ac:dyDescent="0.35">
      <c r="A340" s="14" t="str">
        <f t="shared" si="20"/>
        <v xml:space="preserve">  </v>
      </c>
      <c r="B340" s="15"/>
      <c r="C340" s="35"/>
      <c r="D340" s="35"/>
      <c r="E340" s="17"/>
      <c r="F340" s="18"/>
      <c r="G340" s="32"/>
      <c r="H340" s="33" t="str">
        <f>IF(G340="","",IF(F340="žena",ROMAN(MATCH(G340+1,'[1]Normy VP'!$Y$27:$Y$33,-1)),ROMAN(MATCH(G340+1,'[1]Normy VP'!$Y$19:$Y$25,-1))))</f>
        <v/>
      </c>
      <c r="I340" s="21"/>
      <c r="J340" s="22"/>
      <c r="K340" s="23"/>
      <c r="L340" s="23"/>
      <c r="M340" s="23"/>
      <c r="N340" s="22"/>
      <c r="O340" s="22"/>
      <c r="P340" s="24" t="str">
        <f>IF(OR($J340="",$J340="odešel"),IF(K340="","",IF($F340="žena",CHOOSE(_xlfn.ARABIC($H340),MATCH(K340+1,'[1]Normy VP'!$C$25:$F$25,-1),MATCH(K340+1,'[1]Normy VP'!$C$26:$F$26,-1),MATCH(K340+1,'[1]Normy VP'!$C$27:$F$27,-1),MATCH(K340+1,'[1]Normy VP'!$C$28:$F$28,-1),MATCH(K340+1,'[1]Normy VP'!$C$29:$F$29,-1),"muž"),CHOOSE(_xlfn.ARABIC($H340),MATCH(K340+1,'[1]Normy VP'!$C$10:$F$10,-1),MATCH(K340+1,'[1]Normy VP'!$C$11:$F$11,-1),MATCH(K340+1,'[1]Normy VP'!$C$12:$F$12,-1),MATCH(K340+1,'[1]Normy VP'!$C$13:$F$13,-1),MATCH(K340+1,'[1]Normy VP'!$C$14:$F$14,-1),""))),"O")</f>
        <v/>
      </c>
      <c r="Q340" s="24" t="str">
        <f>IF(OR($J340="",$J340="odešel"),IF($F340="žena","",IF(L340="","",(CHOOSE(_xlfn.ARABIC($H340),MATCH(L340+1,'[1]Normy VP'!$G$10:$J$10,-1),MATCH(L340+1,'[1]Normy VP'!$G$11:$J$11,-1),MATCH(L340+1,'[1]Normy VP'!$G$12:$J$12,-1),MATCH(L340+1,'[1]Normy VP'!$G$13:$J$13,-1),MATCH(L340+1,'[1]Normy VP'!$G$14:$J$14,-1),"")))),"O")</f>
        <v/>
      </c>
      <c r="R340" s="34" t="str">
        <f t="shared" si="21"/>
        <v>N</v>
      </c>
      <c r="S340" s="24" t="str">
        <f>IF(OR($J340="",$J340="odešel"),IF(M340="","N",IF($F340="žena",CHOOSE(_xlfn.ARABIC($H340),MATCH(M340+1,'[1]Normy VP'!$G$25:$J$25,-1),MATCH(M340+1,'[1]Normy VP'!$G$26:$J$26,-1),MATCH(M340+1,'[1]Normy VP'!$G$27:$J$27,-1),MATCH(M340+1,'[1]Normy VP'!$G$28:$J$28,-1),MATCH(M340+1,'[1]Normy VP'!$G$29:$J$29,-1),"muž"),(CHOOSE(_xlfn.ARABIC($H340),MATCH(M340+1,'[1]Normy VP'!$K$10:$N$10,-1),MATCH(M340+1,'[1]Normy VP'!$K$11:$N$11,-1),MATCH(M340+1,'[1]Normy VP'!$K$12:$N$12,-1),MATCH(M340+1,'[1]Normy VP'!$K$13:$N$13,-1),MATCH(M340+1,'[1]Normy VP'!$K$14:$N$14,-1),"")))),"O")</f>
        <v>N</v>
      </c>
      <c r="T340" s="34" t="str">
        <f t="shared" si="22"/>
        <v>N</v>
      </c>
      <c r="U340" s="24" t="str">
        <f>IF(OR($J340="",$J340="odešel"),IF(N340="","N",IF($F340="žena",CHOOSE(_xlfn.ARABIC($H340),MATCH(N340+1,'[1]Normy VP'!$K$25:$N$25,-1),MATCH(N340+1,'[1]Normy VP'!$K$26:$N$26,-1),MATCH(N340+1,'[1]Normy VP'!$K$27:$N$27,-1),MATCH(N340+1,'[1]Normy VP'!$K$28:$N$28,-1),MATCH(N340+1,'[1]Normy VP'!$K$29:$N$29,-1),MATCH(N340+1,'[1]Normy VP'!$K$30:$N$30,-1)),CHOOSE(_xlfn.ARABIC($H340),MATCH(N340+1,'[1]Normy VP'!$O$10:$R$10,-1),MATCH(N340+1,'[1]Normy VP'!$O$11:$R$11,-1),MATCH(N340+1,'[1]Normy VP'!$O$12:$R$12,-1),MATCH(N340+1,'[1]Normy VP'!$O$13:$R$13,-1),MATCH(N340+1,'[1]Normy VP'!$O$14:$R$14,-1),MATCH(N340+1,'[1]Normy VP'!$O$15:$R$15,-1)))),"O")</f>
        <v>N</v>
      </c>
      <c r="V340" s="26" t="str">
        <f>IF(OR($J340="",$J340="odešel"),IF(O340="","N",IF($F340="žena",CHOOSE(_xlfn.ARABIC($H340),MATCH(O340-1,'[1]Normy VP'!$O$25:$R$25),MATCH(O340-1,'[1]Normy VP'!$O$26:$R$26),MATCH(O340-1,'[1]Normy VP'!$O$27:$R$27),MATCH(O340-1,'[1]Normy VP'!$O$28:$R$28),MATCH(O340-1,'[1]Normy VP'!$O$29:$R$29),MATCH(O340-1,'[1]Normy VP'!$O$30:$R$30)),CHOOSE(_xlfn.ARABIC($H340),MATCH(O340-1,'[1]Normy VP'!$S$10:$V$10),MATCH(O340-1,'[1]Normy VP'!$S$11:$V$11),MATCH(O340-1,'[1]Normy VP'!$S$12:$V$12),MATCH(O340-1,'[1]Normy VP'!$S$13:$V$13),MATCH(O340-1,'[1]Normy VP'!$S$14:$V$14),MATCH(O340-1,'[1]Normy VP'!$S$15:$V$15)))),"O")</f>
        <v>N</v>
      </c>
      <c r="W340" s="34" t="str">
        <f t="shared" si="23"/>
        <v>N</v>
      </c>
      <c r="X340" s="27" t="str">
        <f>IF(COUNTIF(B340:G340,"")&gt;0,"",IF(COUNTIF([1]PP!$A:$A,A340)=0,"neni v PP",IF(OR(Y340="odešel",VLOOKUP(A340,[1]PP!$A:$W,22,FALSE)="odešel"),"odešel",IF(OR(Y340="N",VLOOKUP(A340,[1]PP!$A:$W,22,FALSE)="N"),"N",IF(OR(Y340="C",VLOOKUP(A340,[1]PP!$A:$W,22,FALSE)="C"),"C",IF(OR(Y340="DZO",VLOOKUP(A340,[1]PP!$A:$W,22,FALSE)="DZO"),"DZO",IF(OR(Y340="mise",Y340="disp.",Y340="končí",Y340="DSC",VLOOKUP(A340,[1]PP!$A:$W,22,FALSE)="mise",VLOOKUP(A340,[1]PP!$A:$W,22,FALSE)="disp.",VLOOKUP(A340,[1]PP!$A:$W,22,FALSE)="končí",VLOOKUP(A340,[1]PP!$A:$W,22,FALSE)="DSC"),"jiné",IF(OR(Y340=4,VLOOKUP(A340,[1]PP!$A:$W,22,FALSE)=4),4,IF(OR(Y340=3,VLOOKUP(A340,[1]PP!$A:$W,22,FALSE)=3),3,IF(OR(Y340=2,VLOOKUP(A340,[1]PP!$A:$W,22,FALSE)=2),2,IF(AND(Y340=1,VLOOKUP(A340,[1]PP!$A:$W,22,FALSE)=1),1)))))))))))</f>
        <v/>
      </c>
      <c r="Y340" s="28" t="str">
        <f>IF(COUNTIF(B340:G340,"")&gt;0,"",IF(COUNTIF([1]PP!$A:$A,A340)=0,"neni v PP",IF(VLOOKUP(A340,[1]PP!$A:$W,8,FALSE)="odešel","odešel",IF(F340="","",IF(J340="",IF(OR(T340=4,W340=4),4,IF(AND(T340="N",W340="N"),"N",IF(OR(T340="N",W340="N"),4,ROUND(AVERAGE(T340,W340),0)))),J340)))))</f>
        <v/>
      </c>
      <c r="Z340" s="29" t="str">
        <f>IF(COUNTIF(B340:G340,"")=0,IF(X340="neni v PP",CONCATENATE("ID: &lt;",A340,"&gt; se neshoduje s žádným IDem v kartě PP"),IF(COUNTIF($A:$A,A340)&gt;1,CONCATENATE("ID: &lt;",A340,"&gt; se v kartě VP opakuje. Je nutné tyto IDy od sebe odlišit, např. mezerou za příjmením."),IF(COUNTIF([1]PP!A:A,A340)&gt;1,CONCATENATE("ID: &lt;",A340,"&gt; se v kartě PP opakuje. Je nutné tyto IDy od sebe odlišit, např. mezerou za příjmením."),IF(VLOOKUP(A340,[1]PP!$A:$W,5,FALSE)&lt;&gt;E340,CONCATENATE($E$4," &lt;",E340,"&gt; se neshoduje s jednotkou v kartě PP"," &lt;",VLOOKUP(A340,[1]PP!$A:$W,5,FALSE),"&gt;"),IF(AND(COUNTIF(K340:O340,"")&lt;5,J340="",I340=""),CONCATENATE("Doplň: ",$I$4),IF(AND(YEAR(I340)&lt;&gt;$E$2,COUNTIF(I340,"")=0),CONCATENATE("špatně uveden &lt;",$D$2,"&gt; nebo &lt;",$I$4,"&gt;"),IF(OR(AND(OR(COUNTIF(C340,"*a"),COUNTIF(C340,"*ie"),COUNTIF(C340,"*ine"),COUNTIF(D340,"*Á")),F340="muž"),AND(AND(COUNTIF(C340,"&lt;&gt;"&amp;"*a"),COUNTIF(C340,"&lt;&gt;"&amp;"*ie"),COUNTIF(C340,"&lt;&gt;"&amp;"*ine"),COUNTIF(D340,"&lt;&gt;"&amp;"*Á")),F340="žena")),CONCATENATE(C340," ",D340," je ",F340,"?"),""))))))),IF(COUNTIF(B340:O340,"")=14,"",CONCATENATE("Doplň: ",IF(B340="",CONCATENATE($B$4,IF(COUNTIF(C340:G340,"")=0,"",", ")),""),IF(C340="",CONCATENATE($C$4,IF(COUNTIF(D340:G340,"")=0,"",", ")),""),IF(D340="",CONCATENATE($D$4,IF(COUNTIF(E340:G340,"")=0,"",", ")),""),IF(E340="",CONCATENATE($E$4,IF(COUNTIF(F340:G340,"")=0,"",", ")),""),IF(F340="",CONCATENATE($F$4,IF(G340="",", ","")),""),IF(G340="",$G$4,""))))</f>
        <v/>
      </c>
      <c r="AA340" s="30"/>
    </row>
    <row r="341" spans="1:27" ht="16" x14ac:dyDescent="0.35">
      <c r="A341" s="14" t="str">
        <f t="shared" si="20"/>
        <v xml:space="preserve">  </v>
      </c>
      <c r="B341" s="15"/>
      <c r="C341" s="35"/>
      <c r="D341" s="35"/>
      <c r="E341" s="17"/>
      <c r="F341" s="18"/>
      <c r="G341" s="32"/>
      <c r="H341" s="33" t="str">
        <f>IF(G341="","",IF(F341="žena",ROMAN(MATCH(G341+1,'[1]Normy VP'!$Y$27:$Y$33,-1)),ROMAN(MATCH(G341+1,'[1]Normy VP'!$Y$19:$Y$25,-1))))</f>
        <v/>
      </c>
      <c r="I341" s="21"/>
      <c r="J341" s="22"/>
      <c r="K341" s="23"/>
      <c r="L341" s="23"/>
      <c r="M341" s="23"/>
      <c r="N341" s="22"/>
      <c r="O341" s="22"/>
      <c r="P341" s="24" t="str">
        <f>IF(OR($J341="",$J341="odešel"),IF(K341="","",IF($F341="žena",CHOOSE(_xlfn.ARABIC($H341),MATCH(K341+1,'[1]Normy VP'!$C$25:$F$25,-1),MATCH(K341+1,'[1]Normy VP'!$C$26:$F$26,-1),MATCH(K341+1,'[1]Normy VP'!$C$27:$F$27,-1),MATCH(K341+1,'[1]Normy VP'!$C$28:$F$28,-1),MATCH(K341+1,'[1]Normy VP'!$C$29:$F$29,-1),"muž"),CHOOSE(_xlfn.ARABIC($H341),MATCH(K341+1,'[1]Normy VP'!$C$10:$F$10,-1),MATCH(K341+1,'[1]Normy VP'!$C$11:$F$11,-1),MATCH(K341+1,'[1]Normy VP'!$C$12:$F$12,-1),MATCH(K341+1,'[1]Normy VP'!$C$13:$F$13,-1),MATCH(K341+1,'[1]Normy VP'!$C$14:$F$14,-1),""))),"O")</f>
        <v/>
      </c>
      <c r="Q341" s="24" t="str">
        <f>IF(OR($J341="",$J341="odešel"),IF($F341="žena","",IF(L341="","",(CHOOSE(_xlfn.ARABIC($H341),MATCH(L341+1,'[1]Normy VP'!$G$10:$J$10,-1),MATCH(L341+1,'[1]Normy VP'!$G$11:$J$11,-1),MATCH(L341+1,'[1]Normy VP'!$G$12:$J$12,-1),MATCH(L341+1,'[1]Normy VP'!$G$13:$J$13,-1),MATCH(L341+1,'[1]Normy VP'!$G$14:$J$14,-1),"")))),"O")</f>
        <v/>
      </c>
      <c r="R341" s="34" t="str">
        <f t="shared" si="21"/>
        <v>N</v>
      </c>
      <c r="S341" s="24" t="str">
        <f>IF(OR($J341="",$J341="odešel"),IF(M341="","N",IF($F341="žena",CHOOSE(_xlfn.ARABIC($H341),MATCH(M341+1,'[1]Normy VP'!$G$25:$J$25,-1),MATCH(M341+1,'[1]Normy VP'!$G$26:$J$26,-1),MATCH(M341+1,'[1]Normy VP'!$G$27:$J$27,-1),MATCH(M341+1,'[1]Normy VP'!$G$28:$J$28,-1),MATCH(M341+1,'[1]Normy VP'!$G$29:$J$29,-1),"muž"),(CHOOSE(_xlfn.ARABIC($H341),MATCH(M341+1,'[1]Normy VP'!$K$10:$N$10,-1),MATCH(M341+1,'[1]Normy VP'!$K$11:$N$11,-1),MATCH(M341+1,'[1]Normy VP'!$K$12:$N$12,-1),MATCH(M341+1,'[1]Normy VP'!$K$13:$N$13,-1),MATCH(M341+1,'[1]Normy VP'!$K$14:$N$14,-1),"")))),"O")</f>
        <v>N</v>
      </c>
      <c r="T341" s="34" t="str">
        <f t="shared" si="22"/>
        <v>N</v>
      </c>
      <c r="U341" s="24" t="str">
        <f>IF(OR($J341="",$J341="odešel"),IF(N341="","N",IF($F341="žena",CHOOSE(_xlfn.ARABIC($H341),MATCH(N341+1,'[1]Normy VP'!$K$25:$N$25,-1),MATCH(N341+1,'[1]Normy VP'!$K$26:$N$26,-1),MATCH(N341+1,'[1]Normy VP'!$K$27:$N$27,-1),MATCH(N341+1,'[1]Normy VP'!$K$28:$N$28,-1),MATCH(N341+1,'[1]Normy VP'!$K$29:$N$29,-1),MATCH(N341+1,'[1]Normy VP'!$K$30:$N$30,-1)),CHOOSE(_xlfn.ARABIC($H341),MATCH(N341+1,'[1]Normy VP'!$O$10:$R$10,-1),MATCH(N341+1,'[1]Normy VP'!$O$11:$R$11,-1),MATCH(N341+1,'[1]Normy VP'!$O$12:$R$12,-1),MATCH(N341+1,'[1]Normy VP'!$O$13:$R$13,-1),MATCH(N341+1,'[1]Normy VP'!$O$14:$R$14,-1),MATCH(N341+1,'[1]Normy VP'!$O$15:$R$15,-1)))),"O")</f>
        <v>N</v>
      </c>
      <c r="V341" s="26" t="str">
        <f>IF(OR($J341="",$J341="odešel"),IF(O341="","N",IF($F341="žena",CHOOSE(_xlfn.ARABIC($H341),MATCH(O341-1,'[1]Normy VP'!$O$25:$R$25),MATCH(O341-1,'[1]Normy VP'!$O$26:$R$26),MATCH(O341-1,'[1]Normy VP'!$O$27:$R$27),MATCH(O341-1,'[1]Normy VP'!$O$28:$R$28),MATCH(O341-1,'[1]Normy VP'!$O$29:$R$29),MATCH(O341-1,'[1]Normy VP'!$O$30:$R$30)),CHOOSE(_xlfn.ARABIC($H341),MATCH(O341-1,'[1]Normy VP'!$S$10:$V$10),MATCH(O341-1,'[1]Normy VP'!$S$11:$V$11),MATCH(O341-1,'[1]Normy VP'!$S$12:$V$12),MATCH(O341-1,'[1]Normy VP'!$S$13:$V$13),MATCH(O341-1,'[1]Normy VP'!$S$14:$V$14),MATCH(O341-1,'[1]Normy VP'!$S$15:$V$15)))),"O")</f>
        <v>N</v>
      </c>
      <c r="W341" s="34" t="str">
        <f t="shared" si="23"/>
        <v>N</v>
      </c>
      <c r="X341" s="27" t="str">
        <f>IF(COUNTIF(B341:G341,"")&gt;0,"",IF(COUNTIF([1]PP!$A:$A,A341)=0,"neni v PP",IF(OR(Y341="odešel",VLOOKUP(A341,[1]PP!$A:$W,22,FALSE)="odešel"),"odešel",IF(OR(Y341="N",VLOOKUP(A341,[1]PP!$A:$W,22,FALSE)="N"),"N",IF(OR(Y341="C",VLOOKUP(A341,[1]PP!$A:$W,22,FALSE)="C"),"C",IF(OR(Y341="DZO",VLOOKUP(A341,[1]PP!$A:$W,22,FALSE)="DZO"),"DZO",IF(OR(Y341="mise",Y341="disp.",Y341="končí",Y341="DSC",VLOOKUP(A341,[1]PP!$A:$W,22,FALSE)="mise",VLOOKUP(A341,[1]PP!$A:$W,22,FALSE)="disp.",VLOOKUP(A341,[1]PP!$A:$W,22,FALSE)="končí",VLOOKUP(A341,[1]PP!$A:$W,22,FALSE)="DSC"),"jiné",IF(OR(Y341=4,VLOOKUP(A341,[1]PP!$A:$W,22,FALSE)=4),4,IF(OR(Y341=3,VLOOKUP(A341,[1]PP!$A:$W,22,FALSE)=3),3,IF(OR(Y341=2,VLOOKUP(A341,[1]PP!$A:$W,22,FALSE)=2),2,IF(AND(Y341=1,VLOOKUP(A341,[1]PP!$A:$W,22,FALSE)=1),1)))))))))))</f>
        <v/>
      </c>
      <c r="Y341" s="28" t="str">
        <f>IF(COUNTIF(B341:G341,"")&gt;0,"",IF(COUNTIF([1]PP!$A:$A,A341)=0,"neni v PP",IF(VLOOKUP(A341,[1]PP!$A:$W,8,FALSE)="odešel","odešel",IF(F341="","",IF(J341="",IF(OR(T341=4,W341=4),4,IF(AND(T341="N",W341="N"),"N",IF(OR(T341="N",W341="N"),4,ROUND(AVERAGE(T341,W341),0)))),J341)))))</f>
        <v/>
      </c>
      <c r="Z341" s="29" t="str">
        <f>IF(COUNTIF(B341:G341,"")=0,IF(X341="neni v PP",CONCATENATE("ID: &lt;",A341,"&gt; se neshoduje s žádným IDem v kartě PP"),IF(COUNTIF($A:$A,A341)&gt;1,CONCATENATE("ID: &lt;",A341,"&gt; se v kartě VP opakuje. Je nutné tyto IDy od sebe odlišit, např. mezerou za příjmením."),IF(COUNTIF([1]PP!A:A,A341)&gt;1,CONCATENATE("ID: &lt;",A341,"&gt; se v kartě PP opakuje. Je nutné tyto IDy od sebe odlišit, např. mezerou za příjmením."),IF(VLOOKUP(A341,[1]PP!$A:$W,5,FALSE)&lt;&gt;E341,CONCATENATE($E$4," &lt;",E341,"&gt; se neshoduje s jednotkou v kartě PP"," &lt;",VLOOKUP(A341,[1]PP!$A:$W,5,FALSE),"&gt;"),IF(AND(COUNTIF(K341:O341,"")&lt;5,J341="",I341=""),CONCATENATE("Doplň: ",$I$4),IF(AND(YEAR(I341)&lt;&gt;$E$2,COUNTIF(I341,"")=0),CONCATENATE("špatně uveden &lt;",$D$2,"&gt; nebo &lt;",$I$4,"&gt;"),IF(OR(AND(OR(COUNTIF(C341,"*a"),COUNTIF(C341,"*ie"),COUNTIF(C341,"*ine"),COUNTIF(D341,"*Á")),F341="muž"),AND(AND(COUNTIF(C341,"&lt;&gt;"&amp;"*a"),COUNTIF(C341,"&lt;&gt;"&amp;"*ie"),COUNTIF(C341,"&lt;&gt;"&amp;"*ine"),COUNTIF(D341,"&lt;&gt;"&amp;"*Á")),F341="žena")),CONCATENATE(C341," ",D341," je ",F341,"?"),""))))))),IF(COUNTIF(B341:O341,"")=14,"",CONCATENATE("Doplň: ",IF(B341="",CONCATENATE($B$4,IF(COUNTIF(C341:G341,"")=0,"",", ")),""),IF(C341="",CONCATENATE($C$4,IF(COUNTIF(D341:G341,"")=0,"",", ")),""),IF(D341="",CONCATENATE($D$4,IF(COUNTIF(E341:G341,"")=0,"",", ")),""),IF(E341="",CONCATENATE($E$4,IF(COUNTIF(F341:G341,"")=0,"",", ")),""),IF(F341="",CONCATENATE($F$4,IF(G341="",", ","")),""),IF(G341="",$G$4,""))))</f>
        <v/>
      </c>
      <c r="AA341" s="30"/>
    </row>
    <row r="342" spans="1:27" ht="16" x14ac:dyDescent="0.35">
      <c r="A342" s="14" t="str">
        <f t="shared" si="20"/>
        <v xml:space="preserve">  </v>
      </c>
      <c r="B342" s="15"/>
      <c r="C342" s="31"/>
      <c r="D342" s="31"/>
      <c r="E342" s="17"/>
      <c r="F342" s="18"/>
      <c r="G342" s="32"/>
      <c r="H342" s="33" t="str">
        <f>IF(G342="","",IF(F342="žena",ROMAN(MATCH(G342+1,'[1]Normy VP'!$Y$27:$Y$33,-1)),ROMAN(MATCH(G342+1,'[1]Normy VP'!$Y$19:$Y$25,-1))))</f>
        <v/>
      </c>
      <c r="I342" s="21"/>
      <c r="J342" s="22"/>
      <c r="K342" s="23"/>
      <c r="L342" s="23"/>
      <c r="M342" s="23"/>
      <c r="N342" s="22"/>
      <c r="O342" s="22"/>
      <c r="P342" s="24" t="str">
        <f>IF(OR($J342="",$J342="odešel"),IF(K342="","",IF($F342="žena",CHOOSE(_xlfn.ARABIC($H342),MATCH(K342+1,'[1]Normy VP'!$C$25:$F$25,-1),MATCH(K342+1,'[1]Normy VP'!$C$26:$F$26,-1),MATCH(K342+1,'[1]Normy VP'!$C$27:$F$27,-1),MATCH(K342+1,'[1]Normy VP'!$C$28:$F$28,-1),MATCH(K342+1,'[1]Normy VP'!$C$29:$F$29,-1),"muž"),CHOOSE(_xlfn.ARABIC($H342),MATCH(K342+1,'[1]Normy VP'!$C$10:$F$10,-1),MATCH(K342+1,'[1]Normy VP'!$C$11:$F$11,-1),MATCH(K342+1,'[1]Normy VP'!$C$12:$F$12,-1),MATCH(K342+1,'[1]Normy VP'!$C$13:$F$13,-1),MATCH(K342+1,'[1]Normy VP'!$C$14:$F$14,-1),""))),"O")</f>
        <v/>
      </c>
      <c r="Q342" s="24" t="str">
        <f>IF(OR($J342="",$J342="odešel"),IF($F342="žena","",IF(L342="","",(CHOOSE(_xlfn.ARABIC($H342),MATCH(L342+1,'[1]Normy VP'!$G$10:$J$10,-1),MATCH(L342+1,'[1]Normy VP'!$G$11:$J$11,-1),MATCH(L342+1,'[1]Normy VP'!$G$12:$J$12,-1),MATCH(L342+1,'[1]Normy VP'!$G$13:$J$13,-1),MATCH(L342+1,'[1]Normy VP'!$G$14:$J$14,-1),"")))),"O")</f>
        <v/>
      </c>
      <c r="R342" s="34" t="str">
        <f t="shared" si="21"/>
        <v>N</v>
      </c>
      <c r="S342" s="24" t="str">
        <f>IF(OR($J342="",$J342="odešel"),IF(M342="","N",IF($F342="žena",CHOOSE(_xlfn.ARABIC($H342),MATCH(M342+1,'[1]Normy VP'!$G$25:$J$25,-1),MATCH(M342+1,'[1]Normy VP'!$G$26:$J$26,-1),MATCH(M342+1,'[1]Normy VP'!$G$27:$J$27,-1),MATCH(M342+1,'[1]Normy VP'!$G$28:$J$28,-1),MATCH(M342+1,'[1]Normy VP'!$G$29:$J$29,-1),"muž"),(CHOOSE(_xlfn.ARABIC($H342),MATCH(M342+1,'[1]Normy VP'!$K$10:$N$10,-1),MATCH(M342+1,'[1]Normy VP'!$K$11:$N$11,-1),MATCH(M342+1,'[1]Normy VP'!$K$12:$N$12,-1),MATCH(M342+1,'[1]Normy VP'!$K$13:$N$13,-1),MATCH(M342+1,'[1]Normy VP'!$K$14:$N$14,-1),"")))),"O")</f>
        <v>N</v>
      </c>
      <c r="T342" s="34" t="str">
        <f t="shared" si="22"/>
        <v>N</v>
      </c>
      <c r="U342" s="24" t="str">
        <f>IF(OR($J342="",$J342="odešel"),IF(N342="","N",IF($F342="žena",CHOOSE(_xlfn.ARABIC($H342),MATCH(N342+1,'[1]Normy VP'!$K$25:$N$25,-1),MATCH(N342+1,'[1]Normy VP'!$K$26:$N$26,-1),MATCH(N342+1,'[1]Normy VP'!$K$27:$N$27,-1),MATCH(N342+1,'[1]Normy VP'!$K$28:$N$28,-1),MATCH(N342+1,'[1]Normy VP'!$K$29:$N$29,-1),MATCH(N342+1,'[1]Normy VP'!$K$30:$N$30,-1)),CHOOSE(_xlfn.ARABIC($H342),MATCH(N342+1,'[1]Normy VP'!$O$10:$R$10,-1),MATCH(N342+1,'[1]Normy VP'!$O$11:$R$11,-1),MATCH(N342+1,'[1]Normy VP'!$O$12:$R$12,-1),MATCH(N342+1,'[1]Normy VP'!$O$13:$R$13,-1),MATCH(N342+1,'[1]Normy VP'!$O$14:$R$14,-1),MATCH(N342+1,'[1]Normy VP'!$O$15:$R$15,-1)))),"O")</f>
        <v>N</v>
      </c>
      <c r="V342" s="26" t="str">
        <f>IF(OR($J342="",$J342="odešel"),IF(O342="","N",IF($F342="žena",CHOOSE(_xlfn.ARABIC($H342),MATCH(O342-1,'[1]Normy VP'!$O$25:$R$25),MATCH(O342-1,'[1]Normy VP'!$O$26:$R$26),MATCH(O342-1,'[1]Normy VP'!$O$27:$R$27),MATCH(O342-1,'[1]Normy VP'!$O$28:$R$28),MATCH(O342-1,'[1]Normy VP'!$O$29:$R$29),MATCH(O342-1,'[1]Normy VP'!$O$30:$R$30)),CHOOSE(_xlfn.ARABIC($H342),MATCH(O342-1,'[1]Normy VP'!$S$10:$V$10),MATCH(O342-1,'[1]Normy VP'!$S$11:$V$11),MATCH(O342-1,'[1]Normy VP'!$S$12:$V$12),MATCH(O342-1,'[1]Normy VP'!$S$13:$V$13),MATCH(O342-1,'[1]Normy VP'!$S$14:$V$14),MATCH(O342-1,'[1]Normy VP'!$S$15:$V$15)))),"O")</f>
        <v>N</v>
      </c>
      <c r="W342" s="34" t="str">
        <f t="shared" si="23"/>
        <v>N</v>
      </c>
      <c r="X342" s="27" t="str">
        <f>IF(COUNTIF(B342:G342,"")&gt;0,"",IF(COUNTIF([1]PP!$A:$A,A342)=0,"neni v PP",IF(OR(Y342="odešel",VLOOKUP(A342,[1]PP!$A:$W,22,FALSE)="odešel"),"odešel",IF(OR(Y342="N",VLOOKUP(A342,[1]PP!$A:$W,22,FALSE)="N"),"N",IF(OR(Y342="C",VLOOKUP(A342,[1]PP!$A:$W,22,FALSE)="C"),"C",IF(OR(Y342="DZO",VLOOKUP(A342,[1]PP!$A:$W,22,FALSE)="DZO"),"DZO",IF(OR(Y342="mise",Y342="disp.",Y342="končí",Y342="DSC",VLOOKUP(A342,[1]PP!$A:$W,22,FALSE)="mise",VLOOKUP(A342,[1]PP!$A:$W,22,FALSE)="disp.",VLOOKUP(A342,[1]PP!$A:$W,22,FALSE)="končí",VLOOKUP(A342,[1]PP!$A:$W,22,FALSE)="DSC"),"jiné",IF(OR(Y342=4,VLOOKUP(A342,[1]PP!$A:$W,22,FALSE)=4),4,IF(OR(Y342=3,VLOOKUP(A342,[1]PP!$A:$W,22,FALSE)=3),3,IF(OR(Y342=2,VLOOKUP(A342,[1]PP!$A:$W,22,FALSE)=2),2,IF(AND(Y342=1,VLOOKUP(A342,[1]PP!$A:$W,22,FALSE)=1),1)))))))))))</f>
        <v/>
      </c>
      <c r="Y342" s="28" t="str">
        <f>IF(COUNTIF(B342:G342,"")&gt;0,"",IF(COUNTIF([1]PP!$A:$A,A342)=0,"neni v PP",IF(VLOOKUP(A342,[1]PP!$A:$W,8,FALSE)="odešel","odešel",IF(F342="","",IF(J342="",IF(OR(T342=4,W342=4),4,IF(AND(T342="N",W342="N"),"N",IF(OR(T342="N",W342="N"),4,ROUND(AVERAGE(T342,W342),0)))),J342)))))</f>
        <v/>
      </c>
      <c r="Z342" s="29" t="str">
        <f>IF(COUNTIF(B342:G342,"")=0,IF(X342="neni v PP",CONCATENATE("ID: &lt;",A342,"&gt; se neshoduje s žádným IDem v kartě PP"),IF(COUNTIF($A:$A,A342)&gt;1,CONCATENATE("ID: &lt;",A342,"&gt; se v kartě VP opakuje. Je nutné tyto IDy od sebe odlišit, např. mezerou za příjmením."),IF(COUNTIF([1]PP!A:A,A342)&gt;1,CONCATENATE("ID: &lt;",A342,"&gt; se v kartě PP opakuje. Je nutné tyto IDy od sebe odlišit, např. mezerou za příjmením."),IF(VLOOKUP(A342,[1]PP!$A:$W,5,FALSE)&lt;&gt;E342,CONCATENATE($E$4," &lt;",E342,"&gt; se neshoduje s jednotkou v kartě PP"," &lt;",VLOOKUP(A342,[1]PP!$A:$W,5,FALSE),"&gt;"),IF(AND(COUNTIF(K342:O342,"")&lt;5,J342="",I342=""),CONCATENATE("Doplň: ",$I$4),IF(AND(YEAR(I342)&lt;&gt;$E$2,COUNTIF(I342,"")=0),CONCATENATE("špatně uveden &lt;",$D$2,"&gt; nebo &lt;",$I$4,"&gt;"),IF(OR(AND(OR(COUNTIF(C342,"*a"),COUNTIF(C342,"*ie"),COUNTIF(C342,"*ine"),COUNTIF(D342,"*Á")),F342="muž"),AND(AND(COUNTIF(C342,"&lt;&gt;"&amp;"*a"),COUNTIF(C342,"&lt;&gt;"&amp;"*ie"),COUNTIF(C342,"&lt;&gt;"&amp;"*ine"),COUNTIF(D342,"&lt;&gt;"&amp;"*Á")),F342="žena")),CONCATENATE(C342," ",D342," je ",F342,"?"),""))))))),IF(COUNTIF(B342:O342,"")=14,"",CONCATENATE("Doplň: ",IF(B342="",CONCATENATE($B$4,IF(COUNTIF(C342:G342,"")=0,"",", ")),""),IF(C342="",CONCATENATE($C$4,IF(COUNTIF(D342:G342,"")=0,"",", ")),""),IF(D342="",CONCATENATE($D$4,IF(COUNTIF(E342:G342,"")=0,"",", ")),""),IF(E342="",CONCATENATE($E$4,IF(COUNTIF(F342:G342,"")=0,"",", ")),""),IF(F342="",CONCATENATE($F$4,IF(G342="",", ","")),""),IF(G342="",$G$4,""))))</f>
        <v/>
      </c>
      <c r="AA342" s="30"/>
    </row>
    <row r="343" spans="1:27" ht="16" x14ac:dyDescent="0.35">
      <c r="A343" s="14" t="str">
        <f t="shared" si="20"/>
        <v xml:space="preserve">  </v>
      </c>
      <c r="B343" s="15"/>
      <c r="C343" s="31"/>
      <c r="D343" s="31"/>
      <c r="E343" s="17"/>
      <c r="F343" s="18"/>
      <c r="G343" s="32"/>
      <c r="H343" s="33" t="str">
        <f>IF(G343="","",IF(F343="žena",ROMAN(MATCH(G343+1,'[1]Normy VP'!$Y$27:$Y$33,-1)),ROMAN(MATCH(G343+1,'[1]Normy VP'!$Y$19:$Y$25,-1))))</f>
        <v/>
      </c>
      <c r="I343" s="21"/>
      <c r="J343" s="22"/>
      <c r="K343" s="23"/>
      <c r="L343" s="23"/>
      <c r="M343" s="23"/>
      <c r="N343" s="22"/>
      <c r="O343" s="22"/>
      <c r="P343" s="24" t="str">
        <f>IF(OR($J343="",$J343="odešel"),IF(K343="","",IF($F343="žena",CHOOSE(_xlfn.ARABIC($H343),MATCH(K343+1,'[1]Normy VP'!$C$25:$F$25,-1),MATCH(K343+1,'[1]Normy VP'!$C$26:$F$26,-1),MATCH(K343+1,'[1]Normy VP'!$C$27:$F$27,-1),MATCH(K343+1,'[1]Normy VP'!$C$28:$F$28,-1),MATCH(K343+1,'[1]Normy VP'!$C$29:$F$29,-1),"muž"),CHOOSE(_xlfn.ARABIC($H343),MATCH(K343+1,'[1]Normy VP'!$C$10:$F$10,-1),MATCH(K343+1,'[1]Normy VP'!$C$11:$F$11,-1),MATCH(K343+1,'[1]Normy VP'!$C$12:$F$12,-1),MATCH(K343+1,'[1]Normy VP'!$C$13:$F$13,-1),MATCH(K343+1,'[1]Normy VP'!$C$14:$F$14,-1),""))),"O")</f>
        <v/>
      </c>
      <c r="Q343" s="24" t="str">
        <f>IF(OR($J343="",$J343="odešel"),IF($F343="žena","",IF(L343="","",(CHOOSE(_xlfn.ARABIC($H343),MATCH(L343+1,'[1]Normy VP'!$G$10:$J$10,-1),MATCH(L343+1,'[1]Normy VP'!$G$11:$J$11,-1),MATCH(L343+1,'[1]Normy VP'!$G$12:$J$12,-1),MATCH(L343+1,'[1]Normy VP'!$G$13:$J$13,-1),MATCH(L343+1,'[1]Normy VP'!$G$14:$J$14,-1),"")))),"O")</f>
        <v/>
      </c>
      <c r="R343" s="34" t="str">
        <f t="shared" si="21"/>
        <v>N</v>
      </c>
      <c r="S343" s="24" t="str">
        <f>IF(OR($J343="",$J343="odešel"),IF(M343="","N",IF($F343="žena",CHOOSE(_xlfn.ARABIC($H343),MATCH(M343+1,'[1]Normy VP'!$G$25:$J$25,-1),MATCH(M343+1,'[1]Normy VP'!$G$26:$J$26,-1),MATCH(M343+1,'[1]Normy VP'!$G$27:$J$27,-1),MATCH(M343+1,'[1]Normy VP'!$G$28:$J$28,-1),MATCH(M343+1,'[1]Normy VP'!$G$29:$J$29,-1),"muž"),(CHOOSE(_xlfn.ARABIC($H343),MATCH(M343+1,'[1]Normy VP'!$K$10:$N$10,-1),MATCH(M343+1,'[1]Normy VP'!$K$11:$N$11,-1),MATCH(M343+1,'[1]Normy VP'!$K$12:$N$12,-1),MATCH(M343+1,'[1]Normy VP'!$K$13:$N$13,-1),MATCH(M343+1,'[1]Normy VP'!$K$14:$N$14,-1),"")))),"O")</f>
        <v>N</v>
      </c>
      <c r="T343" s="34" t="str">
        <f t="shared" si="22"/>
        <v>N</v>
      </c>
      <c r="U343" s="24"/>
      <c r="V343" s="26" t="str">
        <f>IF(OR($J343="",$J343="odešel"),IF(O343="","N",IF($F343="žena",CHOOSE(_xlfn.ARABIC($H343),MATCH(O343-1,'[1]Normy VP'!$O$25:$R$25),MATCH(O343-1,'[1]Normy VP'!$O$26:$R$26),MATCH(O343-1,'[1]Normy VP'!$O$27:$R$27),MATCH(O343-1,'[1]Normy VP'!$O$28:$R$28),MATCH(O343-1,'[1]Normy VP'!$O$29:$R$29),MATCH(O343-1,'[1]Normy VP'!$O$30:$R$30)),CHOOSE(_xlfn.ARABIC($H343),MATCH(O343-1,'[1]Normy VP'!$S$10:$V$10),MATCH(O343-1,'[1]Normy VP'!$S$11:$V$11),MATCH(O343-1,'[1]Normy VP'!$S$12:$V$12),MATCH(O343-1,'[1]Normy VP'!$S$13:$V$13),MATCH(O343-1,'[1]Normy VP'!$S$14:$V$14),MATCH(O343-1,'[1]Normy VP'!$S$15:$V$15)))),"O")</f>
        <v>N</v>
      </c>
      <c r="W343" s="34">
        <f t="shared" si="23"/>
        <v>0</v>
      </c>
      <c r="X343" s="27" t="str">
        <f>IF(COUNTIF(B343:G343,"")&gt;0,"",IF(COUNTIF([1]PP!$A:$A,A343)=0,"neni v PP",IF(OR(Y343="odešel",VLOOKUP(A343,[1]PP!$A:$W,22,FALSE)="odešel"),"odešel",IF(OR(Y343="N",VLOOKUP(A343,[1]PP!$A:$W,22,FALSE)="N"),"N",IF(OR(Y343="C",VLOOKUP(A343,[1]PP!$A:$W,22,FALSE)="C"),"C",IF(OR(Y343="DZO",VLOOKUP(A343,[1]PP!$A:$W,22,FALSE)="DZO"),"DZO",IF(OR(Y343="mise",Y343="disp.",Y343="končí",Y343="DSC",VLOOKUP(A343,[1]PP!$A:$W,22,FALSE)="mise",VLOOKUP(A343,[1]PP!$A:$W,22,FALSE)="disp.",VLOOKUP(A343,[1]PP!$A:$W,22,FALSE)="končí",VLOOKUP(A343,[1]PP!$A:$W,22,FALSE)="DSC"),"jiné",IF(OR(Y343=4,VLOOKUP(A343,[1]PP!$A:$W,22,FALSE)=4),4,IF(OR(Y343=3,VLOOKUP(A343,[1]PP!$A:$W,22,FALSE)=3),3,IF(OR(Y343=2,VLOOKUP(A343,[1]PP!$A:$W,22,FALSE)=2),2,IF(AND(Y343=1,VLOOKUP(A343,[1]PP!$A:$W,22,FALSE)=1),1)))))))))))</f>
        <v/>
      </c>
      <c r="Y343" s="28" t="str">
        <f>IF(COUNTIF(B343:G343,"")&gt;0,"",IF(COUNTIF([1]PP!$A:$A,A343)=0,"neni v PP",IF(VLOOKUP(A343,[1]PP!$A:$W,8,FALSE)="odešel","odešel",IF(F343="","",IF(J343="",IF(OR(T343=4,W343=4),4,IF(AND(T343="N",W343="N"),"N",IF(OR(T343="N",W343="N"),4,ROUND(AVERAGE(T343,W343),0)))),J343)))))</f>
        <v/>
      </c>
      <c r="Z343" s="29" t="str">
        <f>IF(COUNTIF(B343:G343,"")=0,IF(X343="neni v PP",CONCATENATE("ID: &lt;",A343,"&gt; se neshoduje s žádným IDem v kartě PP"),IF(COUNTIF($A:$A,A343)&gt;1,CONCATENATE("ID: &lt;",A343,"&gt; se v kartě VP opakuje. Je nutné tyto IDy od sebe odlišit, např. mezerou za příjmením."),IF(COUNTIF([1]PP!A:A,A343)&gt;1,CONCATENATE("ID: &lt;",A343,"&gt; se v kartě PP opakuje. Je nutné tyto IDy od sebe odlišit, např. mezerou za příjmením."),IF(VLOOKUP(A343,[1]PP!$A:$W,5,FALSE)&lt;&gt;E343,CONCATENATE($E$4," &lt;",E343,"&gt; se neshoduje s jednotkou v kartě PP"," &lt;",VLOOKUP(A343,[1]PP!$A:$W,5,FALSE),"&gt;"),IF(AND(COUNTIF(K343:O343,"")&lt;5,J343="",I343=""),CONCATENATE("Doplň: ",$I$4),IF(AND(YEAR(I343)&lt;&gt;$E$2,COUNTIF(I343,"")=0),CONCATENATE("špatně uveden &lt;",$D$2,"&gt; nebo &lt;",$I$4,"&gt;"),IF(OR(AND(OR(COUNTIF(C343,"*a"),COUNTIF(C343,"*ie"),COUNTIF(C343,"*ine"),COUNTIF(D343,"*Á")),F343="muž"),AND(AND(COUNTIF(C343,"&lt;&gt;"&amp;"*a"),COUNTIF(C343,"&lt;&gt;"&amp;"*ie"),COUNTIF(C343,"&lt;&gt;"&amp;"*ine"),COUNTIF(D343,"&lt;&gt;"&amp;"*Á")),F343="žena")),CONCATENATE(C343," ",D343," je ",F343,"?"),""))))))),IF(COUNTIF(B343:O343,"")=14,"",CONCATENATE("Doplň: ",IF(B343="",CONCATENATE($B$4,IF(COUNTIF(C343:G343,"")=0,"",", ")),""),IF(C343="",CONCATENATE($C$4,IF(COUNTIF(D343:G343,"")=0,"",", ")),""),IF(D343="",CONCATENATE($D$4,IF(COUNTIF(E343:G343,"")=0,"",", ")),""),IF(E343="",CONCATENATE($E$4,IF(COUNTIF(F343:G343,"")=0,"",", ")),""),IF(F343="",CONCATENATE($F$4,IF(G343="",", ","")),""),IF(G343="",$G$4,""))))</f>
        <v/>
      </c>
      <c r="AA343" s="30"/>
    </row>
    <row r="344" spans="1:27" ht="16" x14ac:dyDescent="0.35">
      <c r="A344" s="14" t="str">
        <f t="shared" si="20"/>
        <v xml:space="preserve">  </v>
      </c>
      <c r="B344" s="15"/>
      <c r="C344" s="31"/>
      <c r="D344" s="31"/>
      <c r="E344" s="17"/>
      <c r="F344" s="18"/>
      <c r="G344" s="32"/>
      <c r="H344" s="33" t="str">
        <f>IF(G344="","",IF(F344="žena",ROMAN(MATCH(G344+1,'[1]Normy VP'!$Y$27:$Y$33,-1)),ROMAN(MATCH(G344+1,'[1]Normy VP'!$Y$19:$Y$25,-1))))</f>
        <v/>
      </c>
      <c r="I344" s="21"/>
      <c r="J344" s="22"/>
      <c r="K344" s="23"/>
      <c r="L344" s="23"/>
      <c r="M344" s="23"/>
      <c r="N344" s="22"/>
      <c r="O344" s="22"/>
      <c r="P344" s="24" t="str">
        <f>IF(OR($J344="",$J344="odešel"),IF(K344="","",IF($F344="žena",CHOOSE(_xlfn.ARABIC($H344),MATCH(K344+1,'[1]Normy VP'!$C$25:$F$25,-1),MATCH(K344+1,'[1]Normy VP'!$C$26:$F$26,-1),MATCH(K344+1,'[1]Normy VP'!$C$27:$F$27,-1),MATCH(K344+1,'[1]Normy VP'!$C$28:$F$28,-1),MATCH(K344+1,'[1]Normy VP'!$C$29:$F$29,-1),"muž"),CHOOSE(_xlfn.ARABIC($H344),MATCH(K344+1,'[1]Normy VP'!$C$10:$F$10,-1),MATCH(K344+1,'[1]Normy VP'!$C$11:$F$11,-1),MATCH(K344+1,'[1]Normy VP'!$C$12:$F$12,-1),MATCH(K344+1,'[1]Normy VP'!$C$13:$F$13,-1),MATCH(K344+1,'[1]Normy VP'!$C$14:$F$14,-1),""))),"O")</f>
        <v/>
      </c>
      <c r="Q344" s="24" t="str">
        <f>IF(OR($J344="",$J344="odešel"),IF($F344="žena","",IF(L344="","",(CHOOSE(_xlfn.ARABIC($H344),MATCH(L344+1,'[1]Normy VP'!$G$10:$J$10,-1),MATCH(L344+1,'[1]Normy VP'!$G$11:$J$11,-1),MATCH(L344+1,'[1]Normy VP'!$G$12:$J$12,-1),MATCH(L344+1,'[1]Normy VP'!$G$13:$J$13,-1),MATCH(L344+1,'[1]Normy VP'!$G$14:$J$14,-1),"")))),"O")</f>
        <v/>
      </c>
      <c r="R344" s="34" t="str">
        <f t="shared" si="21"/>
        <v>N</v>
      </c>
      <c r="S344" s="24" t="str">
        <f>IF(OR($J344="",$J344="odešel"),IF(M344="","N",IF($F344="žena",CHOOSE(_xlfn.ARABIC($H344),MATCH(M344+1,'[1]Normy VP'!$G$25:$J$25,-1),MATCH(M344+1,'[1]Normy VP'!$G$26:$J$26,-1),MATCH(M344+1,'[1]Normy VP'!$G$27:$J$27,-1),MATCH(M344+1,'[1]Normy VP'!$G$28:$J$28,-1),MATCH(M344+1,'[1]Normy VP'!$G$29:$J$29,-1),"muž"),(CHOOSE(_xlfn.ARABIC($H344),MATCH(M344+1,'[1]Normy VP'!$K$10:$N$10,-1),MATCH(M344+1,'[1]Normy VP'!$K$11:$N$11,-1),MATCH(M344+1,'[1]Normy VP'!$K$12:$N$12,-1),MATCH(M344+1,'[1]Normy VP'!$K$13:$N$13,-1),MATCH(M344+1,'[1]Normy VP'!$K$14:$N$14,-1),"")))),"O")</f>
        <v>N</v>
      </c>
      <c r="T344" s="34" t="str">
        <f t="shared" si="22"/>
        <v>N</v>
      </c>
      <c r="U344" s="24" t="str">
        <f>IF(OR($J344="",$J344="odešel"),IF(N344="","N",IF($F344="žena",CHOOSE(_xlfn.ARABIC($H344),MATCH(N344+1,'[1]Normy VP'!$K$25:$N$25,-1),MATCH(N344+1,'[1]Normy VP'!$K$26:$N$26,-1),MATCH(N344+1,'[1]Normy VP'!$K$27:$N$27,-1),MATCH(N344+1,'[1]Normy VP'!$K$28:$N$28,-1),MATCH(N344+1,'[1]Normy VP'!$K$29:$N$29,-1),MATCH(N344+1,'[1]Normy VP'!$K$30:$N$30,-1)),CHOOSE(_xlfn.ARABIC($H344),MATCH(N344+1,'[1]Normy VP'!$O$10:$R$10,-1),MATCH(N344+1,'[1]Normy VP'!$O$11:$R$11,-1),MATCH(N344+1,'[1]Normy VP'!$O$12:$R$12,-1),MATCH(N344+1,'[1]Normy VP'!$O$13:$R$13,-1),MATCH(N344+1,'[1]Normy VP'!$O$14:$R$14,-1),MATCH(N344+1,'[1]Normy VP'!$O$15:$R$15,-1)))),"O")</f>
        <v>N</v>
      </c>
      <c r="V344" s="26" t="str">
        <f>IF(OR($J344="",$J344="odešel"),IF(O344="","N",IF($F344="žena",CHOOSE(_xlfn.ARABIC($H344),MATCH(O344-1,'[1]Normy VP'!$O$25:$R$25),MATCH(O344-1,'[1]Normy VP'!$O$26:$R$26),MATCH(O344-1,'[1]Normy VP'!$O$27:$R$27),MATCH(O344-1,'[1]Normy VP'!$O$28:$R$28),MATCH(O344-1,'[1]Normy VP'!$O$29:$R$29),MATCH(O344-1,'[1]Normy VP'!$O$30:$R$30)),CHOOSE(_xlfn.ARABIC($H344),MATCH(O344-1,'[1]Normy VP'!$S$10:$V$10),MATCH(O344-1,'[1]Normy VP'!$S$11:$V$11),MATCH(O344-1,'[1]Normy VP'!$S$12:$V$12),MATCH(O344-1,'[1]Normy VP'!$S$13:$V$13),MATCH(O344-1,'[1]Normy VP'!$S$14:$V$14),MATCH(O344-1,'[1]Normy VP'!$S$15:$V$15)))),"O")</f>
        <v>N</v>
      </c>
      <c r="W344" s="34" t="str">
        <f t="shared" si="23"/>
        <v>N</v>
      </c>
      <c r="X344" s="27" t="str">
        <f>IF(COUNTIF(B344:G344,"")&gt;0,"",IF(COUNTIF([1]PP!$A:$A,A344)=0,"neni v PP",IF(OR(Y344="odešel",VLOOKUP(A344,[1]PP!$A:$W,22,FALSE)="odešel"),"odešel",IF(OR(Y344="N",VLOOKUP(A344,[1]PP!$A:$W,22,FALSE)="N"),"N",IF(OR(Y344="C",VLOOKUP(A344,[1]PP!$A:$W,22,FALSE)="C"),"C",IF(OR(Y344="DZO",VLOOKUP(A344,[1]PP!$A:$W,22,FALSE)="DZO"),"DZO",IF(OR(Y344="mise",Y344="disp.",Y344="končí",Y344="DSC",VLOOKUP(A344,[1]PP!$A:$W,22,FALSE)="mise",VLOOKUP(A344,[1]PP!$A:$W,22,FALSE)="disp.",VLOOKUP(A344,[1]PP!$A:$W,22,FALSE)="končí",VLOOKUP(A344,[1]PP!$A:$W,22,FALSE)="DSC"),"jiné",IF(OR(Y344=4,VLOOKUP(A344,[1]PP!$A:$W,22,FALSE)=4),4,IF(OR(Y344=3,VLOOKUP(A344,[1]PP!$A:$W,22,FALSE)=3),3,IF(OR(Y344=2,VLOOKUP(A344,[1]PP!$A:$W,22,FALSE)=2),2,IF(AND(Y344=1,VLOOKUP(A344,[1]PP!$A:$W,22,FALSE)=1),1)))))))))))</f>
        <v/>
      </c>
      <c r="Y344" s="28" t="str">
        <f>IF(COUNTIF(B344:G344,"")&gt;0,"",IF(COUNTIF([1]PP!$A:$A,A344)=0,"neni v PP",IF(VLOOKUP(A344,[1]PP!$A:$W,8,FALSE)="odešel","odešel",IF(F344="","",IF(J344="",IF(OR(T344=4,W344=4),4,IF(AND(T344="N",W344="N"),"N",IF(OR(T344="N",W344="N"),4,ROUND(AVERAGE(T344,W344),0)))),J344)))))</f>
        <v/>
      </c>
      <c r="Z344" s="29" t="str">
        <f>IF(COUNTIF(B344:G344,"")=0,IF(X344="neni v PP",CONCATENATE("ID: &lt;",A344,"&gt; se neshoduje s žádným IDem v kartě PP"),IF(COUNTIF($A:$A,A344)&gt;1,CONCATENATE("ID: &lt;",A344,"&gt; se v kartě VP opakuje. Je nutné tyto IDy od sebe odlišit, např. mezerou za příjmením."),IF(COUNTIF([1]PP!A:A,A344)&gt;1,CONCATENATE("ID: &lt;",A344,"&gt; se v kartě PP opakuje. Je nutné tyto IDy od sebe odlišit, např. mezerou za příjmením."),IF(VLOOKUP(A344,[1]PP!$A:$W,5,FALSE)&lt;&gt;E344,CONCATENATE($E$4," &lt;",E344,"&gt; se neshoduje s jednotkou v kartě PP"," &lt;",VLOOKUP(A344,[1]PP!$A:$W,5,FALSE),"&gt;"),IF(AND(COUNTIF(K344:O344,"")&lt;5,J344="",I344=""),CONCATENATE("Doplň: ",$I$4),IF(AND(YEAR(I344)&lt;&gt;$E$2,COUNTIF(I344,"")=0),CONCATENATE("špatně uveden &lt;",$D$2,"&gt; nebo &lt;",$I$4,"&gt;"),IF(OR(AND(OR(COUNTIF(C344,"*a"),COUNTIF(C344,"*ie"),COUNTIF(C344,"*ine"),COUNTIF(D344,"*Á")),F344="muž"),AND(AND(COUNTIF(C344,"&lt;&gt;"&amp;"*a"),COUNTIF(C344,"&lt;&gt;"&amp;"*ie"),COUNTIF(C344,"&lt;&gt;"&amp;"*ine"),COUNTIF(D344,"&lt;&gt;"&amp;"*Á")),F344="žena")),CONCATENATE(C344," ",D344," je ",F344,"?"),""))))))),IF(COUNTIF(B344:O344,"")=14,"",CONCATENATE("Doplň: ",IF(B344="",CONCATENATE($B$4,IF(COUNTIF(C344:G344,"")=0,"",", ")),""),IF(C344="",CONCATENATE($C$4,IF(COUNTIF(D344:G344,"")=0,"",", ")),""),IF(D344="",CONCATENATE($D$4,IF(COUNTIF(E344:G344,"")=0,"",", ")),""),IF(E344="",CONCATENATE($E$4,IF(COUNTIF(F344:G344,"")=0,"",", ")),""),IF(F344="",CONCATENATE($F$4,IF(G344="",", ","")),""),IF(G344="",$G$4,""))))</f>
        <v/>
      </c>
      <c r="AA344" s="30"/>
    </row>
    <row r="345" spans="1:27" ht="16" x14ac:dyDescent="0.35">
      <c r="A345" s="14" t="str">
        <f t="shared" si="20"/>
        <v xml:space="preserve">  </v>
      </c>
      <c r="B345" s="15"/>
      <c r="C345" s="31"/>
      <c r="D345" s="31"/>
      <c r="E345" s="17"/>
      <c r="F345" s="18"/>
      <c r="G345" s="32"/>
      <c r="H345" s="33" t="str">
        <f>IF(G345="","",IF(F345="žena",ROMAN(MATCH(G345+1,'[1]Normy VP'!$Y$27:$Y$33,-1)),ROMAN(MATCH(G345+1,'[1]Normy VP'!$Y$19:$Y$25,-1))))</f>
        <v/>
      </c>
      <c r="I345" s="21"/>
      <c r="J345" s="22"/>
      <c r="K345" s="23"/>
      <c r="L345" s="23"/>
      <c r="M345" s="23"/>
      <c r="N345" s="22"/>
      <c r="O345" s="22"/>
      <c r="P345" s="24" t="str">
        <f>IF(OR($J345="",$J345="odešel"),IF(K345="","",IF($F345="žena",CHOOSE(_xlfn.ARABIC($H345),MATCH(K345+1,'[1]Normy VP'!$C$25:$F$25,-1),MATCH(K345+1,'[1]Normy VP'!$C$26:$F$26,-1),MATCH(K345+1,'[1]Normy VP'!$C$27:$F$27,-1),MATCH(K345+1,'[1]Normy VP'!$C$28:$F$28,-1),MATCH(K345+1,'[1]Normy VP'!$C$29:$F$29,-1),"muž"),CHOOSE(_xlfn.ARABIC($H345),MATCH(K345+1,'[1]Normy VP'!$C$10:$F$10,-1),MATCH(K345+1,'[1]Normy VP'!$C$11:$F$11,-1),MATCH(K345+1,'[1]Normy VP'!$C$12:$F$12,-1),MATCH(K345+1,'[1]Normy VP'!$C$13:$F$13,-1),MATCH(K345+1,'[1]Normy VP'!$C$14:$F$14,-1),""))),"O")</f>
        <v/>
      </c>
      <c r="Q345" s="24" t="str">
        <f>IF(OR($J345="",$J345="odešel"),IF($F345="žena","",IF(L345="","",(CHOOSE(_xlfn.ARABIC($H345),MATCH(L345+1,'[1]Normy VP'!$G$10:$J$10,-1),MATCH(L345+1,'[1]Normy VP'!$G$11:$J$11,-1),MATCH(L345+1,'[1]Normy VP'!$G$12:$J$12,-1),MATCH(L345+1,'[1]Normy VP'!$G$13:$J$13,-1),MATCH(L345+1,'[1]Normy VP'!$G$14:$J$14,-1),"")))),"O")</f>
        <v/>
      </c>
      <c r="R345" s="34" t="str">
        <f t="shared" si="21"/>
        <v>N</v>
      </c>
      <c r="S345" s="24" t="str">
        <f>IF(OR($J345="",$J345="odešel"),IF(M345="","N",IF($F345="žena",CHOOSE(_xlfn.ARABIC($H345),MATCH(M345+1,'[1]Normy VP'!$G$25:$J$25,-1),MATCH(M345+1,'[1]Normy VP'!$G$26:$J$26,-1),MATCH(M345+1,'[1]Normy VP'!$G$27:$J$27,-1),MATCH(M345+1,'[1]Normy VP'!$G$28:$J$28,-1),MATCH(M345+1,'[1]Normy VP'!$G$29:$J$29,-1),"muž"),(CHOOSE(_xlfn.ARABIC($H345),MATCH(M345+1,'[1]Normy VP'!$K$10:$N$10,-1),MATCH(M345+1,'[1]Normy VP'!$K$11:$N$11,-1),MATCH(M345+1,'[1]Normy VP'!$K$12:$N$12,-1),MATCH(M345+1,'[1]Normy VP'!$K$13:$N$13,-1),MATCH(M345+1,'[1]Normy VP'!$K$14:$N$14,-1),"")))),"O")</f>
        <v>N</v>
      </c>
      <c r="T345" s="34" t="str">
        <f t="shared" si="22"/>
        <v>N</v>
      </c>
      <c r="U345" s="24" t="str">
        <f>IF(OR($J345="",$J345="odešel"),IF(N345="","N",IF($F345="žena",CHOOSE(_xlfn.ARABIC($H345),MATCH(N345+1,'[1]Normy VP'!$K$25:$N$25,-1),MATCH(N345+1,'[1]Normy VP'!$K$26:$N$26,-1),MATCH(N345+1,'[1]Normy VP'!$K$27:$N$27,-1),MATCH(N345+1,'[1]Normy VP'!$K$28:$N$28,-1),MATCH(N345+1,'[1]Normy VP'!$K$29:$N$29,-1),MATCH(N345+1,'[1]Normy VP'!$K$30:$N$30,-1)),CHOOSE(_xlfn.ARABIC($H345),MATCH(N345+1,'[1]Normy VP'!$O$10:$R$10,-1),MATCH(N345+1,'[1]Normy VP'!$O$11:$R$11,-1),MATCH(N345+1,'[1]Normy VP'!$O$12:$R$12,-1),MATCH(N345+1,'[1]Normy VP'!$O$13:$R$13,-1),MATCH(N345+1,'[1]Normy VP'!$O$14:$R$14,-1),MATCH(N345+1,'[1]Normy VP'!$O$15:$R$15,-1)))),"O")</f>
        <v>N</v>
      </c>
      <c r="V345" s="26" t="str">
        <f>IF(OR($J345="",$J345="odešel"),IF(O345="","N",IF($F345="žena",CHOOSE(_xlfn.ARABIC($H345),MATCH(O345-1,'[1]Normy VP'!$O$25:$R$25),MATCH(O345-1,'[1]Normy VP'!$O$26:$R$26),MATCH(O345-1,'[1]Normy VP'!$O$27:$R$27),MATCH(O345-1,'[1]Normy VP'!$O$28:$R$28),MATCH(O345-1,'[1]Normy VP'!$O$29:$R$29),MATCH(O345-1,'[1]Normy VP'!$O$30:$R$30)),CHOOSE(_xlfn.ARABIC($H345),MATCH(O345-1,'[1]Normy VP'!$S$10:$V$10),MATCH(O345-1,'[1]Normy VP'!$S$11:$V$11),MATCH(O345-1,'[1]Normy VP'!$S$12:$V$12),MATCH(O345-1,'[1]Normy VP'!$S$13:$V$13),MATCH(O345-1,'[1]Normy VP'!$S$14:$V$14),MATCH(O345-1,'[1]Normy VP'!$S$15:$V$15)))),"O")</f>
        <v>N</v>
      </c>
      <c r="W345" s="34" t="str">
        <f t="shared" si="23"/>
        <v>N</v>
      </c>
      <c r="X345" s="27" t="str">
        <f>IF(COUNTIF(B345:G345,"")&gt;0,"",IF(COUNTIF([1]PP!$A:$A,A345)=0,"neni v PP",IF(OR(Y345="odešel",VLOOKUP(A345,[1]PP!$A:$W,22,FALSE)="odešel"),"odešel",IF(OR(Y345="N",VLOOKUP(A345,[1]PP!$A:$W,22,FALSE)="N"),"N",IF(OR(Y345="C",VLOOKUP(A345,[1]PP!$A:$W,22,FALSE)="C"),"C",IF(OR(Y345="DZO",VLOOKUP(A345,[1]PP!$A:$W,22,FALSE)="DZO"),"DZO",IF(OR(Y345="mise",Y345="disp.",Y345="končí",Y345="DSC",VLOOKUP(A345,[1]PP!$A:$W,22,FALSE)="mise",VLOOKUP(A345,[1]PP!$A:$W,22,FALSE)="disp.",VLOOKUP(A345,[1]PP!$A:$W,22,FALSE)="končí",VLOOKUP(A345,[1]PP!$A:$W,22,FALSE)="DSC"),"jiné",IF(OR(Y345=4,VLOOKUP(A345,[1]PP!$A:$W,22,FALSE)=4),4,IF(OR(Y345=3,VLOOKUP(A345,[1]PP!$A:$W,22,FALSE)=3),3,IF(OR(Y345=2,VLOOKUP(A345,[1]PP!$A:$W,22,FALSE)=2),2,IF(AND(Y345=1,VLOOKUP(A345,[1]PP!$A:$W,22,FALSE)=1),1)))))))))))</f>
        <v/>
      </c>
      <c r="Y345" s="28" t="str">
        <f>IF(COUNTIF(B345:G345,"")&gt;0,"",IF(COUNTIF([1]PP!$A:$A,A345)=0,"neni v PP",IF(VLOOKUP(A345,[1]PP!$A:$W,8,FALSE)="odešel","odešel",IF(F345="","",IF(J345="",IF(OR(T345=4,W345=4),4,IF(AND(T345="N",W345="N"),"N",IF(OR(T345="N",W345="N"),4,ROUND(AVERAGE(T345,W345),0)))),J345)))))</f>
        <v/>
      </c>
      <c r="Z345" s="29"/>
      <c r="AA345" s="30"/>
    </row>
    <row r="346" spans="1:27" ht="16" x14ac:dyDescent="0.35">
      <c r="A346" s="14" t="str">
        <f t="shared" si="20"/>
        <v xml:space="preserve">  </v>
      </c>
      <c r="B346" s="15"/>
      <c r="C346" s="31"/>
      <c r="D346" s="31"/>
      <c r="E346" s="17"/>
      <c r="F346" s="18"/>
      <c r="G346" s="32"/>
      <c r="H346" s="33" t="str">
        <f>IF(G346="","",IF(F346="žena",ROMAN(MATCH(G346+1,'[1]Normy VP'!$Y$27:$Y$33,-1)),ROMAN(MATCH(G346+1,'[1]Normy VP'!$Y$19:$Y$25,-1))))</f>
        <v/>
      </c>
      <c r="I346" s="21"/>
      <c r="J346" s="22"/>
      <c r="K346" s="23"/>
      <c r="L346" s="23"/>
      <c r="M346" s="23"/>
      <c r="N346" s="22"/>
      <c r="O346" s="22"/>
      <c r="P346" s="24" t="str">
        <f>IF(OR($J346="",$J346="odešel"),IF(K346="","",IF($F346="žena",CHOOSE(_xlfn.ARABIC($H346),MATCH(K346+1,'[1]Normy VP'!$C$25:$F$25,-1),MATCH(K346+1,'[1]Normy VP'!$C$26:$F$26,-1),MATCH(K346+1,'[1]Normy VP'!$C$27:$F$27,-1),MATCH(K346+1,'[1]Normy VP'!$C$28:$F$28,-1),MATCH(K346+1,'[1]Normy VP'!$C$29:$F$29,-1),"muž"),CHOOSE(_xlfn.ARABIC($H346),MATCH(K346+1,'[1]Normy VP'!$C$10:$F$10,-1),MATCH(K346+1,'[1]Normy VP'!$C$11:$F$11,-1),MATCH(K346+1,'[1]Normy VP'!$C$12:$F$12,-1),MATCH(K346+1,'[1]Normy VP'!$C$13:$F$13,-1),MATCH(K346+1,'[1]Normy VP'!$C$14:$F$14,-1),""))),"O")</f>
        <v/>
      </c>
      <c r="Q346" s="24" t="str">
        <f>IF(OR($J346="",$J346="odešel"),IF($F346="žena","",IF(L346="","",(CHOOSE(_xlfn.ARABIC($H346),MATCH(L346+1,'[1]Normy VP'!$G$10:$J$10,-1),MATCH(L346+1,'[1]Normy VP'!$G$11:$J$11,-1),MATCH(L346+1,'[1]Normy VP'!$G$12:$J$12,-1),MATCH(L346+1,'[1]Normy VP'!$G$13:$J$13,-1),MATCH(L346+1,'[1]Normy VP'!$G$14:$J$14,-1),"")))),"O")</f>
        <v/>
      </c>
      <c r="R346" s="34" t="str">
        <f t="shared" si="21"/>
        <v>N</v>
      </c>
      <c r="S346" s="24" t="str">
        <f>IF(OR($J346="",$J346="odešel"),IF(M346="","N",IF($F346="žena",CHOOSE(_xlfn.ARABIC($H346),MATCH(M346+1,'[1]Normy VP'!$G$25:$J$25,-1),MATCH(M346+1,'[1]Normy VP'!$G$26:$J$26,-1),MATCH(M346+1,'[1]Normy VP'!$G$27:$J$27,-1),MATCH(M346+1,'[1]Normy VP'!$G$28:$J$28,-1),MATCH(M346+1,'[1]Normy VP'!$G$29:$J$29,-1),"muž"),(CHOOSE(_xlfn.ARABIC($H346),MATCH(M346+1,'[1]Normy VP'!$K$10:$N$10,-1),MATCH(M346+1,'[1]Normy VP'!$K$11:$N$11,-1),MATCH(M346+1,'[1]Normy VP'!$K$12:$N$12,-1),MATCH(M346+1,'[1]Normy VP'!$K$13:$N$13,-1),MATCH(M346+1,'[1]Normy VP'!$K$14:$N$14,-1),"")))),"O")</f>
        <v>N</v>
      </c>
      <c r="T346" s="34" t="str">
        <f t="shared" si="22"/>
        <v>N</v>
      </c>
      <c r="U346" s="24" t="str">
        <f>IF(OR($J346="",$J346="odešel"),IF(N346="","N",IF($F346="žena",CHOOSE(_xlfn.ARABIC($H346),MATCH(N346+1,'[1]Normy VP'!$K$25:$N$25,-1),MATCH(N346+1,'[1]Normy VP'!$K$26:$N$26,-1),MATCH(N346+1,'[1]Normy VP'!$K$27:$N$27,-1),MATCH(N346+1,'[1]Normy VP'!$K$28:$N$28,-1),MATCH(N346+1,'[1]Normy VP'!$K$29:$N$29,-1),MATCH(N346+1,'[1]Normy VP'!$K$30:$N$30,-1)),CHOOSE(_xlfn.ARABIC($H346),MATCH(N346+1,'[1]Normy VP'!$O$10:$R$10,-1),MATCH(N346+1,'[1]Normy VP'!$O$11:$R$11,-1),MATCH(N346+1,'[1]Normy VP'!$O$12:$R$12,-1),MATCH(N346+1,'[1]Normy VP'!$O$13:$R$13,-1),MATCH(N346+1,'[1]Normy VP'!$O$14:$R$14,-1),MATCH(N346+1,'[1]Normy VP'!$O$15:$R$15,-1)))),"O")</f>
        <v>N</v>
      </c>
      <c r="V346" s="26" t="str">
        <f>IF(OR($J346="",$J346="odešel"),IF(O346="","N",IF($F346="žena",CHOOSE(_xlfn.ARABIC($H346),MATCH(O346-1,'[1]Normy VP'!$O$25:$R$25),MATCH(O346-1,'[1]Normy VP'!$O$26:$R$26),MATCH(O346-1,'[1]Normy VP'!$O$27:$R$27),MATCH(O346-1,'[1]Normy VP'!$O$28:$R$28),MATCH(O346-1,'[1]Normy VP'!$O$29:$R$29),MATCH(O346-1,'[1]Normy VP'!$O$30:$R$30)),CHOOSE(_xlfn.ARABIC($H346),MATCH(O346-1,'[1]Normy VP'!$S$10:$V$10),MATCH(O346-1,'[1]Normy VP'!$S$11:$V$11),MATCH(O346-1,'[1]Normy VP'!$S$12:$V$12),MATCH(O346-1,'[1]Normy VP'!$S$13:$V$13),MATCH(O346-1,'[1]Normy VP'!$S$14:$V$14),MATCH(O346-1,'[1]Normy VP'!$S$15:$V$15)))),"O")</f>
        <v>N</v>
      </c>
      <c r="W346" s="34" t="str">
        <f t="shared" si="23"/>
        <v>N</v>
      </c>
      <c r="X346" s="27" t="str">
        <f>IF(COUNTIF(B346:G346,"")&gt;0,"",IF(COUNTIF([1]PP!$A:$A,A346)=0,"neni v PP",IF(OR(Y346="odešel",VLOOKUP(A346,[1]PP!$A:$W,22,FALSE)="odešel"),"odešel",IF(OR(Y346="N",VLOOKUP(A346,[1]PP!$A:$W,22,FALSE)="N"),"N",IF(OR(Y346="C",VLOOKUP(A346,[1]PP!$A:$W,22,FALSE)="C"),"C",IF(OR(Y346="DZO",VLOOKUP(A346,[1]PP!$A:$W,22,FALSE)="DZO"),"DZO",IF(OR(Y346="mise",Y346="disp.",Y346="končí",Y346="DSC",VLOOKUP(A346,[1]PP!$A:$W,22,FALSE)="mise",VLOOKUP(A346,[1]PP!$A:$W,22,FALSE)="disp.",VLOOKUP(A346,[1]PP!$A:$W,22,FALSE)="končí",VLOOKUP(A346,[1]PP!$A:$W,22,FALSE)="DSC"),"jiné",IF(OR(Y346=4,VLOOKUP(A346,[1]PP!$A:$W,22,FALSE)=4),4,IF(OR(Y346=3,VLOOKUP(A346,[1]PP!$A:$W,22,FALSE)=3),3,IF(OR(Y346=2,VLOOKUP(A346,[1]PP!$A:$W,22,FALSE)=2),2,IF(AND(Y346=1,VLOOKUP(A346,[1]PP!$A:$W,22,FALSE)=1),1)))))))))))</f>
        <v/>
      </c>
      <c r="Y346" s="28" t="str">
        <f>IF(COUNTIF(B346:G346,"")&gt;0,"",IF(COUNTIF([1]PP!$A:$A,A346)=0,"neni v PP",IF(VLOOKUP(A346,[1]PP!$A:$W,8,FALSE)="odešel","odešel",IF(F346="","",IF(J346="",IF(OR(T346=4,W346=4),4,IF(AND(T346="N",W346="N"),"N",IF(OR(T346="N",W346="N"),4,ROUND(AVERAGE(T346,W346),0)))),J346)))))</f>
        <v/>
      </c>
      <c r="Z346" s="29"/>
      <c r="AA346" s="30"/>
    </row>
    <row r="347" spans="1:27" ht="16" x14ac:dyDescent="0.35">
      <c r="A347" s="14" t="str">
        <f t="shared" si="20"/>
        <v xml:space="preserve">  </v>
      </c>
      <c r="B347" s="15"/>
      <c r="C347" s="31"/>
      <c r="D347" s="31"/>
      <c r="E347" s="17"/>
      <c r="F347" s="18"/>
      <c r="G347" s="32"/>
      <c r="H347" s="33" t="str">
        <f>IF(G347="","",IF(F347="žena",ROMAN(MATCH(G347+1,'[1]Normy VP'!$Y$27:$Y$33,-1)),ROMAN(MATCH(G347+1,'[1]Normy VP'!$Y$19:$Y$25,-1))))</f>
        <v/>
      </c>
      <c r="I347" s="21"/>
      <c r="J347" s="22"/>
      <c r="K347" s="23"/>
      <c r="L347" s="23"/>
      <c r="M347" s="23"/>
      <c r="N347" s="22"/>
      <c r="O347" s="22"/>
      <c r="P347" s="24" t="str">
        <f>IF(OR($J347="",$J347="odešel"),IF(K347="","",IF($F347="žena",CHOOSE(_xlfn.ARABIC($H347),MATCH(K347+1,'[1]Normy VP'!$C$25:$F$25,-1),MATCH(K347+1,'[1]Normy VP'!$C$26:$F$26,-1),MATCH(K347+1,'[1]Normy VP'!$C$27:$F$27,-1),MATCH(K347+1,'[1]Normy VP'!$C$28:$F$28,-1),MATCH(K347+1,'[1]Normy VP'!$C$29:$F$29,-1),"muž"),CHOOSE(_xlfn.ARABIC($H347),MATCH(K347+1,'[1]Normy VP'!$C$10:$F$10,-1),MATCH(K347+1,'[1]Normy VP'!$C$11:$F$11,-1),MATCH(K347+1,'[1]Normy VP'!$C$12:$F$12,-1),MATCH(K347+1,'[1]Normy VP'!$C$13:$F$13,-1),MATCH(K347+1,'[1]Normy VP'!$C$14:$F$14,-1),""))),"O")</f>
        <v/>
      </c>
      <c r="Q347" s="24" t="str">
        <f>IF(OR($J347="",$J347="odešel"),IF($F347="žena","",IF(L347="","",(CHOOSE(_xlfn.ARABIC($H347),MATCH(L347+1,'[1]Normy VP'!$G$10:$J$10,-1),MATCH(L347+1,'[1]Normy VP'!$G$11:$J$11,-1),MATCH(L347+1,'[1]Normy VP'!$G$12:$J$12,-1),MATCH(L347+1,'[1]Normy VP'!$G$13:$J$13,-1),MATCH(L347+1,'[1]Normy VP'!$G$14:$J$14,-1),"")))),"O")</f>
        <v/>
      </c>
      <c r="R347" s="34" t="str">
        <f t="shared" si="21"/>
        <v>N</v>
      </c>
      <c r="S347" s="24" t="str">
        <f>IF(OR($J347="",$J347="odešel"),IF(M347="","N",IF($F347="žena",CHOOSE(_xlfn.ARABIC($H347),MATCH(M347+1,'[1]Normy VP'!$G$25:$J$25,-1),MATCH(M347+1,'[1]Normy VP'!$G$26:$J$26,-1),MATCH(M347+1,'[1]Normy VP'!$G$27:$J$27,-1),MATCH(M347+1,'[1]Normy VP'!$G$28:$J$28,-1),MATCH(M347+1,'[1]Normy VP'!$G$29:$J$29,-1),"muž"),(CHOOSE(_xlfn.ARABIC($H347),MATCH(M347+1,'[1]Normy VP'!$K$10:$N$10,-1),MATCH(M347+1,'[1]Normy VP'!$K$11:$N$11,-1),MATCH(M347+1,'[1]Normy VP'!$K$12:$N$12,-1),MATCH(M347+1,'[1]Normy VP'!$K$13:$N$13,-1),MATCH(M347+1,'[1]Normy VP'!$K$14:$N$14,-1),"")))),"O")</f>
        <v>N</v>
      </c>
      <c r="T347" s="34" t="str">
        <f t="shared" si="22"/>
        <v>N</v>
      </c>
      <c r="U347" s="24" t="str">
        <f>IF(OR($J347="",$J347="odešel"),IF(N347="","N",IF($F347="žena",CHOOSE(_xlfn.ARABIC($H347),MATCH(N347+1,'[1]Normy VP'!$K$25:$N$25,-1),MATCH(N347+1,'[1]Normy VP'!$K$26:$N$26,-1),MATCH(N347+1,'[1]Normy VP'!$K$27:$N$27,-1),MATCH(N347+1,'[1]Normy VP'!$K$28:$N$28,-1),MATCH(N347+1,'[1]Normy VP'!$K$29:$N$29,-1),MATCH(N347+1,'[1]Normy VP'!$K$30:$N$30,-1)),CHOOSE(_xlfn.ARABIC($H347),MATCH(N347+1,'[1]Normy VP'!$O$10:$R$10,-1),MATCH(N347+1,'[1]Normy VP'!$O$11:$R$11,-1),MATCH(N347+1,'[1]Normy VP'!$O$12:$R$12,-1),MATCH(N347+1,'[1]Normy VP'!$O$13:$R$13,-1),MATCH(N347+1,'[1]Normy VP'!$O$14:$R$14,-1),MATCH(N347+1,'[1]Normy VP'!$O$15:$R$15,-1)))),"O")</f>
        <v>N</v>
      </c>
      <c r="V347" s="26" t="str">
        <f>IF(OR($J347="",$J347="odešel"),IF(O347="","N",IF($F347="žena",CHOOSE(_xlfn.ARABIC($H347),MATCH(O347-1,'[1]Normy VP'!$O$25:$R$25),MATCH(O347-1,'[1]Normy VP'!$O$26:$R$26),MATCH(O347-1,'[1]Normy VP'!$O$27:$R$27),MATCH(O347-1,'[1]Normy VP'!$O$28:$R$28),MATCH(O347-1,'[1]Normy VP'!$O$29:$R$29),MATCH(O347-1,'[1]Normy VP'!$O$30:$R$30)),CHOOSE(_xlfn.ARABIC($H347),MATCH(O347-1,'[1]Normy VP'!$S$10:$V$10),MATCH(O347-1,'[1]Normy VP'!$S$11:$V$11),MATCH(O347-1,'[1]Normy VP'!$S$12:$V$12),MATCH(O347-1,'[1]Normy VP'!$S$13:$V$13),MATCH(O347-1,'[1]Normy VP'!$S$14:$V$14),MATCH(O347-1,'[1]Normy VP'!$S$15:$V$15)))),"O")</f>
        <v>N</v>
      </c>
      <c r="W347" s="34" t="str">
        <f t="shared" si="23"/>
        <v>N</v>
      </c>
      <c r="X347" s="27" t="str">
        <f>IF(COUNTIF(B347:G347,"")&gt;0,"",IF(COUNTIF([1]PP!$A:$A,A347)=0,"neni v PP",IF(OR(Y347="odešel",VLOOKUP(A347,[1]PP!$A:$W,22,FALSE)="odešel"),"odešel",IF(OR(Y347="N",VLOOKUP(A347,[1]PP!$A:$W,22,FALSE)="N"),"N",IF(OR(Y347="C",VLOOKUP(A347,[1]PP!$A:$W,22,FALSE)="C"),"C",IF(OR(Y347="DZO",VLOOKUP(A347,[1]PP!$A:$W,22,FALSE)="DZO"),"DZO",IF(OR(Y347="mise",Y347="disp.",Y347="končí",Y347="DSC",VLOOKUP(A347,[1]PP!$A:$W,22,FALSE)="mise",VLOOKUP(A347,[1]PP!$A:$W,22,FALSE)="disp.",VLOOKUP(A347,[1]PP!$A:$W,22,FALSE)="končí",VLOOKUP(A347,[1]PP!$A:$W,22,FALSE)="DSC"),"jiné",IF(OR(Y347=4,VLOOKUP(A347,[1]PP!$A:$W,22,FALSE)=4),4,IF(OR(Y347=3,VLOOKUP(A347,[1]PP!$A:$W,22,FALSE)=3),3,IF(OR(Y347=2,VLOOKUP(A347,[1]PP!$A:$W,22,FALSE)=2),2,IF(AND(Y347=1,VLOOKUP(A347,[1]PP!$A:$W,22,FALSE)=1),1)))))))))))</f>
        <v/>
      </c>
      <c r="Y347" s="28" t="str">
        <f>IF(COUNTIF(B347:G347,"")&gt;0,"",IF(COUNTIF([1]PP!$A:$A,A347)=0,"neni v PP",IF(VLOOKUP(A347,[1]PP!$A:$W,8,FALSE)="odešel","odešel",IF(F347="","",IF(J347="",IF(OR(T347=4,W347=4),4,IF(AND(T347="N",W347="N"),"N",IF(OR(T347="N",W347="N"),4,ROUND(AVERAGE(T347,W347),0)))),J347)))))</f>
        <v/>
      </c>
      <c r="Z347" s="29"/>
      <c r="AA347" s="30"/>
    </row>
    <row r="348" spans="1:27" ht="16" x14ac:dyDescent="0.35">
      <c r="A348" s="14" t="str">
        <f t="shared" si="20"/>
        <v xml:space="preserve">  </v>
      </c>
      <c r="B348" s="15"/>
      <c r="C348" s="31"/>
      <c r="D348" s="31"/>
      <c r="E348" s="17"/>
      <c r="F348" s="18"/>
      <c r="G348" s="32"/>
      <c r="H348" s="33" t="str">
        <f>IF(G348="","",IF(F348="žena",ROMAN(MATCH(G348+1,'[1]Normy VP'!$Y$27:$Y$33,-1)),ROMAN(MATCH(G348+1,'[1]Normy VP'!$Y$19:$Y$25,-1))))</f>
        <v/>
      </c>
      <c r="I348" s="21"/>
      <c r="J348" s="22"/>
      <c r="K348" s="23"/>
      <c r="L348" s="23"/>
      <c r="M348" s="23"/>
      <c r="N348" s="22"/>
      <c r="O348" s="22"/>
      <c r="P348" s="24" t="str">
        <f>IF(OR($J348="",$J348="odešel"),IF(K348="","",IF($F348="žena",CHOOSE(_xlfn.ARABIC($H348),MATCH(K348+1,'[1]Normy VP'!$C$25:$F$25,-1),MATCH(K348+1,'[1]Normy VP'!$C$26:$F$26,-1),MATCH(K348+1,'[1]Normy VP'!$C$27:$F$27,-1),MATCH(K348+1,'[1]Normy VP'!$C$28:$F$28,-1),MATCH(K348+1,'[1]Normy VP'!$C$29:$F$29,-1),"muž"),CHOOSE(_xlfn.ARABIC($H348),MATCH(K348+1,'[1]Normy VP'!$C$10:$F$10,-1),MATCH(K348+1,'[1]Normy VP'!$C$11:$F$11,-1),MATCH(K348+1,'[1]Normy VP'!$C$12:$F$12,-1),MATCH(K348+1,'[1]Normy VP'!$C$13:$F$13,-1),MATCH(K348+1,'[1]Normy VP'!$C$14:$F$14,-1),""))),"O")</f>
        <v/>
      </c>
      <c r="Q348" s="24" t="str">
        <f>IF(OR($J348="",$J348="odešel"),IF($F348="žena","",IF(L348="","",(CHOOSE(_xlfn.ARABIC($H348),MATCH(L348+1,'[1]Normy VP'!$G$10:$J$10,-1),MATCH(L348+1,'[1]Normy VP'!$G$11:$J$11,-1),MATCH(L348+1,'[1]Normy VP'!$G$12:$J$12,-1),MATCH(L348+1,'[1]Normy VP'!$G$13:$J$13,-1),MATCH(L348+1,'[1]Normy VP'!$G$14:$J$14,-1),"")))),"O")</f>
        <v/>
      </c>
      <c r="R348" s="34" t="str">
        <f t="shared" si="21"/>
        <v>N</v>
      </c>
      <c r="S348" s="24" t="str">
        <f>IF(OR($J348="",$J348="odešel"),IF(M348="","N",IF($F348="žena",CHOOSE(_xlfn.ARABIC($H348),MATCH(M348+1,'[1]Normy VP'!$G$25:$J$25,-1),MATCH(M348+1,'[1]Normy VP'!$G$26:$J$26,-1),MATCH(M348+1,'[1]Normy VP'!$G$27:$J$27,-1),MATCH(M348+1,'[1]Normy VP'!$G$28:$J$28,-1),MATCH(M348+1,'[1]Normy VP'!$G$29:$J$29,-1),"muž"),(CHOOSE(_xlfn.ARABIC($H348),MATCH(M348+1,'[1]Normy VP'!$K$10:$N$10,-1),MATCH(M348+1,'[1]Normy VP'!$K$11:$N$11,-1),MATCH(M348+1,'[1]Normy VP'!$K$12:$N$12,-1),MATCH(M348+1,'[1]Normy VP'!$K$13:$N$13,-1),MATCH(M348+1,'[1]Normy VP'!$K$14:$N$14,-1),"")))),"O")</f>
        <v>N</v>
      </c>
      <c r="T348" s="34" t="str">
        <f t="shared" si="22"/>
        <v>N</v>
      </c>
      <c r="U348" s="24" t="str">
        <f>IF(OR($J348="",$J348="odešel"),IF(N348="","N",IF($F348="žena",CHOOSE(_xlfn.ARABIC($H348),MATCH(N348+1,'[1]Normy VP'!$K$25:$N$25,-1),MATCH(N348+1,'[1]Normy VP'!$K$26:$N$26,-1),MATCH(N348+1,'[1]Normy VP'!$K$27:$N$27,-1),MATCH(N348+1,'[1]Normy VP'!$K$28:$N$28,-1),MATCH(N348+1,'[1]Normy VP'!$K$29:$N$29,-1),MATCH(N348+1,'[1]Normy VP'!$K$30:$N$30,-1)),CHOOSE(_xlfn.ARABIC($H348),MATCH(N348+1,'[1]Normy VP'!$O$10:$R$10,-1),MATCH(N348+1,'[1]Normy VP'!$O$11:$R$11,-1),MATCH(N348+1,'[1]Normy VP'!$O$12:$R$12,-1),MATCH(N348+1,'[1]Normy VP'!$O$13:$R$13,-1),MATCH(N348+1,'[1]Normy VP'!$O$14:$R$14,-1),MATCH(N348+1,'[1]Normy VP'!$O$15:$R$15,-1)))),"O")</f>
        <v>N</v>
      </c>
      <c r="V348" s="26" t="str">
        <f>IF(OR($J348="",$J348="odešel"),IF(O348="","N",IF($F348="žena",CHOOSE(_xlfn.ARABIC($H348),MATCH(O348-1,'[1]Normy VP'!$O$25:$R$25),MATCH(O348-1,'[1]Normy VP'!$O$26:$R$26),MATCH(O348-1,'[1]Normy VP'!$O$27:$R$27),MATCH(O348-1,'[1]Normy VP'!$O$28:$R$28),MATCH(O348-1,'[1]Normy VP'!$O$29:$R$29),MATCH(O348-1,'[1]Normy VP'!$O$30:$R$30)),CHOOSE(_xlfn.ARABIC($H348),MATCH(O348-1,'[1]Normy VP'!$S$10:$V$10),MATCH(O348-1,'[1]Normy VP'!$S$11:$V$11),MATCH(O348-1,'[1]Normy VP'!$S$12:$V$12),MATCH(O348-1,'[1]Normy VP'!$S$13:$V$13),MATCH(O348-1,'[1]Normy VP'!$S$14:$V$14),MATCH(O348-1,'[1]Normy VP'!$S$15:$V$15)))),"O")</f>
        <v>N</v>
      </c>
      <c r="W348" s="34" t="str">
        <f t="shared" si="23"/>
        <v>N</v>
      </c>
      <c r="X348" s="27" t="str">
        <f>IF(COUNTIF(B348:G348,"")&gt;0,"",IF(COUNTIF([1]PP!$A:$A,A348)=0,"neni v PP",IF(OR(Y348="odešel",VLOOKUP(A348,[1]PP!$A:$W,22,FALSE)="odešel"),"odešel",IF(OR(Y348="N",VLOOKUP(A348,[1]PP!$A:$W,22,FALSE)="N"),"N",IF(OR(Y348="C",VLOOKUP(A348,[1]PP!$A:$W,22,FALSE)="C"),"C",IF(OR(Y348="DZO",VLOOKUP(A348,[1]PP!$A:$W,22,FALSE)="DZO"),"DZO",IF(OR(Y348="mise",Y348="disp.",Y348="končí",Y348="DSC",VLOOKUP(A348,[1]PP!$A:$W,22,FALSE)="mise",VLOOKUP(A348,[1]PP!$A:$W,22,FALSE)="disp.",VLOOKUP(A348,[1]PP!$A:$W,22,FALSE)="končí",VLOOKUP(A348,[1]PP!$A:$W,22,FALSE)="DSC"),"jiné",IF(OR(Y348=4,VLOOKUP(A348,[1]PP!$A:$W,22,FALSE)=4),4,IF(OR(Y348=3,VLOOKUP(A348,[1]PP!$A:$W,22,FALSE)=3),3,IF(OR(Y348=2,VLOOKUP(A348,[1]PP!$A:$W,22,FALSE)=2),2,IF(AND(Y348=1,VLOOKUP(A348,[1]PP!$A:$W,22,FALSE)=1),1)))))))))))</f>
        <v/>
      </c>
      <c r="Y348" s="28" t="str">
        <f>IF(COUNTIF(B348:G348,"")&gt;0,"",IF(COUNTIF([1]PP!$A:$A,A348)=0,"neni v PP",IF(VLOOKUP(A348,[1]PP!$A:$W,8,FALSE)="odešel","odešel",IF(F348="","",IF(J348="",IF(OR(T348=4,W348=4),4,IF(AND(T348="N",W348="N"),"N",IF(OR(T348="N",W348="N"),4,ROUND(AVERAGE(T348,W348),0)))),J348)))))</f>
        <v/>
      </c>
      <c r="Z348" s="29"/>
      <c r="AA348" s="30"/>
    </row>
    <row r="349" spans="1:27" ht="16" x14ac:dyDescent="0.35">
      <c r="A349" s="14" t="str">
        <f t="shared" si="20"/>
        <v xml:space="preserve">  </v>
      </c>
      <c r="B349" s="15"/>
      <c r="C349" s="31"/>
      <c r="D349" s="31"/>
      <c r="E349" s="17"/>
      <c r="F349" s="18"/>
      <c r="G349" s="32"/>
      <c r="H349" s="33" t="str">
        <f>IF(G349="","",IF(F349="žena",ROMAN(MATCH(G349+1,'[1]Normy VP'!$Y$27:$Y$33,-1)),ROMAN(MATCH(G349+1,'[1]Normy VP'!$Y$19:$Y$25,-1))))</f>
        <v/>
      </c>
      <c r="I349" s="21"/>
      <c r="J349" s="22"/>
      <c r="K349" s="23"/>
      <c r="L349" s="23"/>
      <c r="M349" s="23"/>
      <c r="N349" s="22"/>
      <c r="O349" s="22"/>
      <c r="P349" s="24" t="str">
        <f>IF(OR($J349="",$J349="odešel"),IF(K349="","",IF($F349="žena",CHOOSE(_xlfn.ARABIC($H349),MATCH(K349+1,'[1]Normy VP'!$C$25:$F$25,-1),MATCH(K349+1,'[1]Normy VP'!$C$26:$F$26,-1),MATCH(K349+1,'[1]Normy VP'!$C$27:$F$27,-1),MATCH(K349+1,'[1]Normy VP'!$C$28:$F$28,-1),MATCH(K349+1,'[1]Normy VP'!$C$29:$F$29,-1),"muž"),CHOOSE(_xlfn.ARABIC($H349),MATCH(K349+1,'[1]Normy VP'!$C$10:$F$10,-1),MATCH(K349+1,'[1]Normy VP'!$C$11:$F$11,-1),MATCH(K349+1,'[1]Normy VP'!$C$12:$F$12,-1),MATCH(K349+1,'[1]Normy VP'!$C$13:$F$13,-1),MATCH(K349+1,'[1]Normy VP'!$C$14:$F$14,-1),""))),"O")</f>
        <v/>
      </c>
      <c r="Q349" s="24" t="str">
        <f>IF(OR($J349="",$J349="odešel"),IF($F349="žena","",IF(L349="","",(CHOOSE(_xlfn.ARABIC($H349),MATCH(L349+1,'[1]Normy VP'!$G$10:$J$10,-1),MATCH(L349+1,'[1]Normy VP'!$G$11:$J$11,-1),MATCH(L349+1,'[1]Normy VP'!$G$12:$J$12,-1),MATCH(L349+1,'[1]Normy VP'!$G$13:$J$13,-1),MATCH(L349+1,'[1]Normy VP'!$G$14:$J$14,-1),"")))),"O")</f>
        <v/>
      </c>
      <c r="R349" s="34" t="str">
        <f t="shared" si="21"/>
        <v>N</v>
      </c>
      <c r="S349" s="24" t="str">
        <f>IF(OR($J349="",$J349="odešel"),IF(M349="","N",IF($F349="žena",CHOOSE(_xlfn.ARABIC($H349),MATCH(M349+1,'[1]Normy VP'!$G$25:$J$25,-1),MATCH(M349+1,'[1]Normy VP'!$G$26:$J$26,-1),MATCH(M349+1,'[1]Normy VP'!$G$27:$J$27,-1),MATCH(M349+1,'[1]Normy VP'!$G$28:$J$28,-1),MATCH(M349+1,'[1]Normy VP'!$G$29:$J$29,-1),"muž"),(CHOOSE(_xlfn.ARABIC($H349),MATCH(M349+1,'[1]Normy VP'!$K$10:$N$10,-1),MATCH(M349+1,'[1]Normy VP'!$K$11:$N$11,-1),MATCH(M349+1,'[1]Normy VP'!$K$12:$N$12,-1),MATCH(M349+1,'[1]Normy VP'!$K$13:$N$13,-1),MATCH(M349+1,'[1]Normy VP'!$K$14:$N$14,-1),"")))),"O")</f>
        <v>N</v>
      </c>
      <c r="T349" s="34" t="str">
        <f t="shared" si="22"/>
        <v>N</v>
      </c>
      <c r="U349" s="24" t="str">
        <f>IF(OR($J349="",$J349="odešel"),IF(N349="","N",IF($F349="žena",CHOOSE(_xlfn.ARABIC($H349),MATCH(N349+1,'[1]Normy VP'!$K$25:$N$25,-1),MATCH(N349+1,'[1]Normy VP'!$K$26:$N$26,-1),MATCH(N349+1,'[1]Normy VP'!$K$27:$N$27,-1),MATCH(N349+1,'[1]Normy VP'!$K$28:$N$28,-1),MATCH(N349+1,'[1]Normy VP'!$K$29:$N$29,-1),MATCH(N349+1,'[1]Normy VP'!$K$30:$N$30,-1)),CHOOSE(_xlfn.ARABIC($H349),MATCH(N349+1,'[1]Normy VP'!$O$10:$R$10,-1),MATCH(N349+1,'[1]Normy VP'!$O$11:$R$11,-1),MATCH(N349+1,'[1]Normy VP'!$O$12:$R$12,-1),MATCH(N349+1,'[1]Normy VP'!$O$13:$R$13,-1),MATCH(N349+1,'[1]Normy VP'!$O$14:$R$14,-1),MATCH(N349+1,'[1]Normy VP'!$O$15:$R$15,-1)))),"O")</f>
        <v>N</v>
      </c>
      <c r="V349" s="26" t="str">
        <f>IF(OR($J349="",$J349="odešel"),IF(O349="","N",IF($F349="žena",CHOOSE(_xlfn.ARABIC($H349),MATCH(O349-1,'[1]Normy VP'!$O$25:$R$25),MATCH(O349-1,'[1]Normy VP'!$O$26:$R$26),MATCH(O349-1,'[1]Normy VP'!$O$27:$R$27),MATCH(O349-1,'[1]Normy VP'!$O$28:$R$28),MATCH(O349-1,'[1]Normy VP'!$O$29:$R$29),MATCH(O349-1,'[1]Normy VP'!$O$30:$R$30)),CHOOSE(_xlfn.ARABIC($H349),MATCH(O349-1,'[1]Normy VP'!$S$10:$V$10),MATCH(O349-1,'[1]Normy VP'!$S$11:$V$11),MATCH(O349-1,'[1]Normy VP'!$S$12:$V$12),MATCH(O349-1,'[1]Normy VP'!$S$13:$V$13),MATCH(O349-1,'[1]Normy VP'!$S$14:$V$14),MATCH(O349-1,'[1]Normy VP'!$S$15:$V$15)))),"O")</f>
        <v>N</v>
      </c>
      <c r="W349" s="34" t="str">
        <f t="shared" si="23"/>
        <v>N</v>
      </c>
      <c r="X349" s="27" t="str">
        <f>IF(COUNTIF(B349:G349,"")&gt;0,"",IF(COUNTIF([1]PP!$A:$A,A349)=0,"neni v PP",IF(OR(Y349="odešel",VLOOKUP(A349,[1]PP!$A:$W,22,FALSE)="odešel"),"odešel",IF(OR(Y349="N",VLOOKUP(A349,[1]PP!$A:$W,22,FALSE)="N"),"N",IF(OR(Y349="C",VLOOKUP(A349,[1]PP!$A:$W,22,FALSE)="C"),"C",IF(OR(Y349="DZO",VLOOKUP(A349,[1]PP!$A:$W,22,FALSE)="DZO"),"DZO",IF(OR(Y349="mise",Y349="disp.",Y349="končí",Y349="DSC",VLOOKUP(A349,[1]PP!$A:$W,22,FALSE)="mise",VLOOKUP(A349,[1]PP!$A:$W,22,FALSE)="disp.",VLOOKUP(A349,[1]PP!$A:$W,22,FALSE)="končí",VLOOKUP(A349,[1]PP!$A:$W,22,FALSE)="DSC"),"jiné",IF(OR(Y349=4,VLOOKUP(A349,[1]PP!$A:$W,22,FALSE)=4),4,IF(OR(Y349=3,VLOOKUP(A349,[1]PP!$A:$W,22,FALSE)=3),3,IF(OR(Y349=2,VLOOKUP(A349,[1]PP!$A:$W,22,FALSE)=2),2,IF(AND(Y349=1,VLOOKUP(A349,[1]PP!$A:$W,22,FALSE)=1),1)))))))))))</f>
        <v/>
      </c>
      <c r="Y349" s="28" t="str">
        <f>IF(COUNTIF(B349:G349,"")&gt;0,"",IF(COUNTIF([1]PP!$A:$A,A349)=0,"neni v PP",IF(VLOOKUP(A349,[1]PP!$A:$W,8,FALSE)="odešel","odešel",IF(F349="","",IF(J349="",IF(OR(T349=4,W349=4),4,IF(AND(T349="N",W349="N"),"N",IF(OR(T349="N",W349="N"),4,ROUND(AVERAGE(T349,W349),0)))),J349)))))</f>
        <v/>
      </c>
      <c r="Z349" s="29"/>
      <c r="AA349" s="30"/>
    </row>
    <row r="350" spans="1:27" ht="16" x14ac:dyDescent="0.35">
      <c r="A350" s="14" t="str">
        <f t="shared" si="20"/>
        <v xml:space="preserve">  </v>
      </c>
      <c r="B350" s="15"/>
      <c r="C350" s="31"/>
      <c r="D350" s="31"/>
      <c r="E350" s="17"/>
      <c r="F350" s="18"/>
      <c r="G350" s="32"/>
      <c r="H350" s="33" t="str">
        <f>IF(G350="","",IF(F350="žena",ROMAN(MATCH(G350+1,'[1]Normy VP'!$Y$27:$Y$33,-1)),ROMAN(MATCH(G350+1,'[1]Normy VP'!$Y$19:$Y$25,-1))))</f>
        <v/>
      </c>
      <c r="I350" s="21"/>
      <c r="J350" s="22"/>
      <c r="K350" s="23"/>
      <c r="L350" s="23"/>
      <c r="M350" s="23"/>
      <c r="N350" s="22"/>
      <c r="O350" s="22"/>
      <c r="P350" s="24" t="str">
        <f>IF(OR($J350="",$J350="odešel"),IF(K350="","",IF($F350="žena",CHOOSE(_xlfn.ARABIC($H350),MATCH(K350+1,'[1]Normy VP'!$C$25:$F$25,-1),MATCH(K350+1,'[1]Normy VP'!$C$26:$F$26,-1),MATCH(K350+1,'[1]Normy VP'!$C$27:$F$27,-1),MATCH(K350+1,'[1]Normy VP'!$C$28:$F$28,-1),MATCH(K350+1,'[1]Normy VP'!$C$29:$F$29,-1),"muž"),CHOOSE(_xlfn.ARABIC($H350),MATCH(K350+1,'[1]Normy VP'!$C$10:$F$10,-1),MATCH(K350+1,'[1]Normy VP'!$C$11:$F$11,-1),MATCH(K350+1,'[1]Normy VP'!$C$12:$F$12,-1),MATCH(K350+1,'[1]Normy VP'!$C$13:$F$13,-1),MATCH(K350+1,'[1]Normy VP'!$C$14:$F$14,-1),""))),"O")</f>
        <v/>
      </c>
      <c r="Q350" s="24" t="str">
        <f>IF(OR($J350="",$J350="odešel"),IF($F350="žena","",IF(L350="","",(CHOOSE(_xlfn.ARABIC($H350),MATCH(L350+1,'[1]Normy VP'!$G$10:$J$10,-1),MATCH(L350+1,'[1]Normy VP'!$G$11:$J$11,-1),MATCH(L350+1,'[1]Normy VP'!$G$12:$J$12,-1),MATCH(L350+1,'[1]Normy VP'!$G$13:$J$13,-1),MATCH(L350+1,'[1]Normy VP'!$G$14:$J$14,-1),"")))),"O")</f>
        <v/>
      </c>
      <c r="R350" s="34" t="str">
        <f t="shared" si="21"/>
        <v>N</v>
      </c>
      <c r="S350" s="24" t="str">
        <f>IF(OR($J350="",$J350="odešel"),IF(M350="","N",IF($F350="žena",CHOOSE(_xlfn.ARABIC($H350),MATCH(M350+1,'[1]Normy VP'!$G$25:$J$25,-1),MATCH(M350+1,'[1]Normy VP'!$G$26:$J$26,-1),MATCH(M350+1,'[1]Normy VP'!$G$27:$J$27,-1),MATCH(M350+1,'[1]Normy VP'!$G$28:$J$28,-1),MATCH(M350+1,'[1]Normy VP'!$G$29:$J$29,-1),"muž"),(CHOOSE(_xlfn.ARABIC($H350),MATCH(M350+1,'[1]Normy VP'!$K$10:$N$10,-1),MATCH(M350+1,'[1]Normy VP'!$K$11:$N$11,-1),MATCH(M350+1,'[1]Normy VP'!$K$12:$N$12,-1),MATCH(M350+1,'[1]Normy VP'!$K$13:$N$13,-1),MATCH(M350+1,'[1]Normy VP'!$K$14:$N$14,-1),"")))),"O")</f>
        <v>N</v>
      </c>
      <c r="T350" s="34" t="str">
        <f t="shared" si="22"/>
        <v>N</v>
      </c>
      <c r="U350" s="24" t="str">
        <f>IF(OR($J350="",$J350="odešel"),IF(N350="","N",IF($F350="žena",CHOOSE(_xlfn.ARABIC($H350),MATCH(N350+1,'[1]Normy VP'!$K$25:$N$25,-1),MATCH(N350+1,'[1]Normy VP'!$K$26:$N$26,-1),MATCH(N350+1,'[1]Normy VP'!$K$27:$N$27,-1),MATCH(N350+1,'[1]Normy VP'!$K$28:$N$28,-1),MATCH(N350+1,'[1]Normy VP'!$K$29:$N$29,-1),MATCH(N350+1,'[1]Normy VP'!$K$30:$N$30,-1)),CHOOSE(_xlfn.ARABIC($H350),MATCH(N350+1,'[1]Normy VP'!$O$10:$R$10,-1),MATCH(N350+1,'[1]Normy VP'!$O$11:$R$11,-1),MATCH(N350+1,'[1]Normy VP'!$O$12:$R$12,-1),MATCH(N350+1,'[1]Normy VP'!$O$13:$R$13,-1),MATCH(N350+1,'[1]Normy VP'!$O$14:$R$14,-1),MATCH(N350+1,'[1]Normy VP'!$O$15:$R$15,-1)))),"O")</f>
        <v>N</v>
      </c>
      <c r="V350" s="26" t="str">
        <f>IF(OR($J350="",$J350="odešel"),IF(O350="","N",IF($F350="žena",CHOOSE(_xlfn.ARABIC($H350),MATCH(O350-1,'[1]Normy VP'!$O$25:$R$25),MATCH(O350-1,'[1]Normy VP'!$O$26:$R$26),MATCH(O350-1,'[1]Normy VP'!$O$27:$R$27),MATCH(O350-1,'[1]Normy VP'!$O$28:$R$28),MATCH(O350-1,'[1]Normy VP'!$O$29:$R$29),MATCH(O350-1,'[1]Normy VP'!$O$30:$R$30)),CHOOSE(_xlfn.ARABIC($H350),MATCH(O350-1,'[1]Normy VP'!$S$10:$V$10),MATCH(O350-1,'[1]Normy VP'!$S$11:$V$11),MATCH(O350-1,'[1]Normy VP'!$S$12:$V$12),MATCH(O350-1,'[1]Normy VP'!$S$13:$V$13),MATCH(O350-1,'[1]Normy VP'!$S$14:$V$14),MATCH(O350-1,'[1]Normy VP'!$S$15:$V$15)))),"O")</f>
        <v>N</v>
      </c>
      <c r="W350" s="34" t="str">
        <f t="shared" si="23"/>
        <v>N</v>
      </c>
      <c r="X350" s="27" t="str">
        <f>IF(COUNTIF(B350:G350,"")&gt;0,"",IF(COUNTIF([1]PP!$A:$A,A350)=0,"neni v PP",IF(OR(Y350="odešel",VLOOKUP(A350,[1]PP!$A:$W,22,FALSE)="odešel"),"odešel",IF(OR(Y350="N",VLOOKUP(A350,[1]PP!$A:$W,22,FALSE)="N"),"N",IF(OR(Y350="C",VLOOKUP(A350,[1]PP!$A:$W,22,FALSE)="C"),"C",IF(OR(Y350="DZO",VLOOKUP(A350,[1]PP!$A:$W,22,FALSE)="DZO"),"DZO",IF(OR(Y350="mise",Y350="disp.",Y350="končí",Y350="DSC",VLOOKUP(A350,[1]PP!$A:$W,22,FALSE)="mise",VLOOKUP(A350,[1]PP!$A:$W,22,FALSE)="disp.",VLOOKUP(A350,[1]PP!$A:$W,22,FALSE)="končí",VLOOKUP(A350,[1]PP!$A:$W,22,FALSE)="DSC"),"jiné",IF(OR(Y350=4,VLOOKUP(A350,[1]PP!$A:$W,22,FALSE)=4),4,IF(OR(Y350=3,VLOOKUP(A350,[1]PP!$A:$W,22,FALSE)=3),3,IF(OR(Y350=2,VLOOKUP(A350,[1]PP!$A:$W,22,FALSE)=2),2,IF(AND(Y350=1,VLOOKUP(A350,[1]PP!$A:$W,22,FALSE)=1),1)))))))))))</f>
        <v/>
      </c>
      <c r="Y350" s="28" t="str">
        <f>IF(COUNTIF(B350:G350,"")&gt;0,"",IF(COUNTIF([1]PP!$A:$A,A350)=0,"neni v PP",IF(VLOOKUP(A350,[1]PP!$A:$W,8,FALSE)="odešel","odešel",IF(F350="","",IF(J350="",IF(OR(T350=4,W350=4),4,IF(AND(T350="N",W350="N"),"N",IF(OR(T350="N",W350="N"),4,ROUND(AVERAGE(T350,W350),0)))),J350)))))</f>
        <v/>
      </c>
      <c r="Z350" s="29"/>
      <c r="AA350" s="30"/>
    </row>
    <row r="351" spans="1:27" ht="16" x14ac:dyDescent="0.35">
      <c r="A351" s="14" t="str">
        <f t="shared" si="20"/>
        <v xml:space="preserve">  </v>
      </c>
      <c r="B351" s="15"/>
      <c r="C351" s="31"/>
      <c r="D351" s="31"/>
      <c r="E351" s="17"/>
      <c r="F351" s="18"/>
      <c r="G351" s="32"/>
      <c r="H351" s="33" t="str">
        <f>IF(G351="","",IF(F351="žena",ROMAN(MATCH(G351+1,'[1]Normy VP'!$Y$27:$Y$33,-1)),ROMAN(MATCH(G351+1,'[1]Normy VP'!$Y$19:$Y$25,-1))))</f>
        <v/>
      </c>
      <c r="I351" s="21"/>
      <c r="J351" s="22"/>
      <c r="K351" s="23"/>
      <c r="L351" s="23"/>
      <c r="M351" s="23"/>
      <c r="N351" s="22"/>
      <c r="O351" s="22"/>
      <c r="P351" s="24" t="str">
        <f>IF(OR($J351="",$J351="odešel"),IF(K351="","",IF($F351="žena",CHOOSE(_xlfn.ARABIC($H351),MATCH(K351+1,'[1]Normy VP'!$C$25:$F$25,-1),MATCH(K351+1,'[1]Normy VP'!$C$26:$F$26,-1),MATCH(K351+1,'[1]Normy VP'!$C$27:$F$27,-1),MATCH(K351+1,'[1]Normy VP'!$C$28:$F$28,-1),MATCH(K351+1,'[1]Normy VP'!$C$29:$F$29,-1),"muž"),CHOOSE(_xlfn.ARABIC($H351),MATCH(K351+1,'[1]Normy VP'!$C$10:$F$10,-1),MATCH(K351+1,'[1]Normy VP'!$C$11:$F$11,-1),MATCH(K351+1,'[1]Normy VP'!$C$12:$F$12,-1),MATCH(K351+1,'[1]Normy VP'!$C$13:$F$13,-1),MATCH(K351+1,'[1]Normy VP'!$C$14:$F$14,-1),""))),"O")</f>
        <v/>
      </c>
      <c r="Q351" s="24" t="str">
        <f>IF(OR($J351="",$J351="odešel"),IF($F351="žena","",IF(L351="","",(CHOOSE(_xlfn.ARABIC($H351),MATCH(L351+1,'[1]Normy VP'!$G$10:$J$10,-1),MATCH(L351+1,'[1]Normy VP'!$G$11:$J$11,-1),MATCH(L351+1,'[1]Normy VP'!$G$12:$J$12,-1),MATCH(L351+1,'[1]Normy VP'!$G$13:$J$13,-1),MATCH(L351+1,'[1]Normy VP'!$G$14:$J$14,-1),"")))),"O")</f>
        <v/>
      </c>
      <c r="R351" s="34" t="str">
        <f t="shared" si="21"/>
        <v>N</v>
      </c>
      <c r="S351" s="24" t="str">
        <f>IF(OR($J351="",$J351="odešel"),IF(M351="","N",IF($F351="žena",CHOOSE(_xlfn.ARABIC($H351),MATCH(M351+1,'[1]Normy VP'!$G$25:$J$25,-1),MATCH(M351+1,'[1]Normy VP'!$G$26:$J$26,-1),MATCH(M351+1,'[1]Normy VP'!$G$27:$J$27,-1),MATCH(M351+1,'[1]Normy VP'!$G$28:$J$28,-1),MATCH(M351+1,'[1]Normy VP'!$G$29:$J$29,-1),"muž"),(CHOOSE(_xlfn.ARABIC($H351),MATCH(M351+1,'[1]Normy VP'!$K$10:$N$10,-1),MATCH(M351+1,'[1]Normy VP'!$K$11:$N$11,-1),MATCH(M351+1,'[1]Normy VP'!$K$12:$N$12,-1),MATCH(M351+1,'[1]Normy VP'!$K$13:$N$13,-1),MATCH(M351+1,'[1]Normy VP'!$K$14:$N$14,-1),"")))),"O")</f>
        <v>N</v>
      </c>
      <c r="T351" s="34" t="str">
        <f t="shared" si="22"/>
        <v>N</v>
      </c>
      <c r="U351" s="24" t="str">
        <f>IF(OR($J351="",$J351="odešel"),IF(N351="","N",IF($F351="žena",CHOOSE(_xlfn.ARABIC($H351),MATCH(N351+1,'[1]Normy VP'!$K$25:$N$25,-1),MATCH(N351+1,'[1]Normy VP'!$K$26:$N$26,-1),MATCH(N351+1,'[1]Normy VP'!$K$27:$N$27,-1),MATCH(N351+1,'[1]Normy VP'!$K$28:$N$28,-1),MATCH(N351+1,'[1]Normy VP'!$K$29:$N$29,-1),MATCH(N351+1,'[1]Normy VP'!$K$30:$N$30,-1)),CHOOSE(_xlfn.ARABIC($H351),MATCH(N351+1,'[1]Normy VP'!$O$10:$R$10,-1),MATCH(N351+1,'[1]Normy VP'!$O$11:$R$11,-1),MATCH(N351+1,'[1]Normy VP'!$O$12:$R$12,-1),MATCH(N351+1,'[1]Normy VP'!$O$13:$R$13,-1),MATCH(N351+1,'[1]Normy VP'!$O$14:$R$14,-1),MATCH(N351+1,'[1]Normy VP'!$O$15:$R$15,-1)))),"O")</f>
        <v>N</v>
      </c>
      <c r="V351" s="26" t="str">
        <f>IF(OR($J351="",$J351="odešel"),IF(O351="","N",IF($F351="žena",CHOOSE(_xlfn.ARABIC($H351),MATCH(O351-1,'[1]Normy VP'!$O$25:$R$25),MATCH(O351-1,'[1]Normy VP'!$O$26:$R$26),MATCH(O351-1,'[1]Normy VP'!$O$27:$R$27),MATCH(O351-1,'[1]Normy VP'!$O$28:$R$28),MATCH(O351-1,'[1]Normy VP'!$O$29:$R$29),MATCH(O351-1,'[1]Normy VP'!$O$30:$R$30)),CHOOSE(_xlfn.ARABIC($H351),MATCH(O351-1,'[1]Normy VP'!$S$10:$V$10),MATCH(O351-1,'[1]Normy VP'!$S$11:$V$11),MATCH(O351-1,'[1]Normy VP'!$S$12:$V$12),MATCH(O351-1,'[1]Normy VP'!$S$13:$V$13),MATCH(O351-1,'[1]Normy VP'!$S$14:$V$14),MATCH(O351-1,'[1]Normy VP'!$S$15:$V$15)))),"O")</f>
        <v>N</v>
      </c>
      <c r="W351" s="34" t="str">
        <f t="shared" si="23"/>
        <v>N</v>
      </c>
      <c r="X351" s="27" t="str">
        <f>IF(COUNTIF(B351:G351,"")&gt;0,"",IF(COUNTIF([1]PP!$A:$A,A351)=0,"neni v PP",IF(OR(Y351="odešel",VLOOKUP(A351,[1]PP!$A:$W,22,FALSE)="odešel"),"odešel",IF(OR(Y351="N",VLOOKUP(A351,[1]PP!$A:$W,22,FALSE)="N"),"N",IF(OR(Y351="C",VLOOKUP(A351,[1]PP!$A:$W,22,FALSE)="C"),"C",IF(OR(Y351="DZO",VLOOKUP(A351,[1]PP!$A:$W,22,FALSE)="DZO"),"DZO",IF(OR(Y351="mise",Y351="disp.",Y351="končí",Y351="DSC",VLOOKUP(A351,[1]PP!$A:$W,22,FALSE)="mise",VLOOKUP(A351,[1]PP!$A:$W,22,FALSE)="disp.",VLOOKUP(A351,[1]PP!$A:$W,22,FALSE)="končí",VLOOKUP(A351,[1]PP!$A:$W,22,FALSE)="DSC"),"jiné",IF(OR(Y351=4,VLOOKUP(A351,[1]PP!$A:$W,22,FALSE)=4),4,IF(OR(Y351=3,VLOOKUP(A351,[1]PP!$A:$W,22,FALSE)=3),3,IF(OR(Y351=2,VLOOKUP(A351,[1]PP!$A:$W,22,FALSE)=2),2,IF(AND(Y351=1,VLOOKUP(A351,[1]PP!$A:$W,22,FALSE)=1),1)))))))))))</f>
        <v/>
      </c>
      <c r="Y351" s="28" t="str">
        <f>IF(COUNTIF(B351:G351,"")&gt;0,"",IF(COUNTIF([1]PP!$A:$A,A351)=0,"neni v PP",IF(VLOOKUP(A351,[1]PP!$A:$W,8,FALSE)="odešel","odešel",IF(F351="","",IF(J351="",IF(OR(T351=4,W351=4),4,IF(AND(T351="N",W351="N"),"N",IF(OR(T351="N",W351="N"),4,ROUND(AVERAGE(T351,W351),0)))),J351)))))</f>
        <v/>
      </c>
      <c r="Z351" s="29"/>
      <c r="AA351" s="30"/>
    </row>
    <row r="352" spans="1:27" ht="16" x14ac:dyDescent="0.35">
      <c r="A352" s="14" t="str">
        <f t="shared" si="20"/>
        <v xml:space="preserve">  </v>
      </c>
      <c r="B352" s="15"/>
      <c r="C352" s="31"/>
      <c r="D352" s="31"/>
      <c r="E352" s="17"/>
      <c r="F352" s="18"/>
      <c r="G352" s="32"/>
      <c r="H352" s="33" t="str">
        <f>IF(G352="","",IF(F352="žena",ROMAN(MATCH(G352+1,'[1]Normy VP'!$Y$27:$Y$33,-1)),ROMAN(MATCH(G352+1,'[1]Normy VP'!$Y$19:$Y$25,-1))))</f>
        <v/>
      </c>
      <c r="I352" s="21"/>
      <c r="J352" s="22"/>
      <c r="K352" s="23"/>
      <c r="L352" s="23"/>
      <c r="M352" s="23"/>
      <c r="N352" s="22"/>
      <c r="O352" s="22"/>
      <c r="P352" s="24" t="str">
        <f>IF(OR($J352="",$J352="odešel"),IF(K352="","",IF($F352="žena",CHOOSE(_xlfn.ARABIC($H352),MATCH(K352+1,'[1]Normy VP'!$C$25:$F$25,-1),MATCH(K352+1,'[1]Normy VP'!$C$26:$F$26,-1),MATCH(K352+1,'[1]Normy VP'!$C$27:$F$27,-1),MATCH(K352+1,'[1]Normy VP'!$C$28:$F$28,-1),MATCH(K352+1,'[1]Normy VP'!$C$29:$F$29,-1),"muž"),CHOOSE(_xlfn.ARABIC($H352),MATCH(K352+1,'[1]Normy VP'!$C$10:$F$10,-1),MATCH(K352+1,'[1]Normy VP'!$C$11:$F$11,-1),MATCH(K352+1,'[1]Normy VP'!$C$12:$F$12,-1),MATCH(K352+1,'[1]Normy VP'!$C$13:$F$13,-1),MATCH(K352+1,'[1]Normy VP'!$C$14:$F$14,-1),""))),"O")</f>
        <v/>
      </c>
      <c r="Q352" s="24" t="str">
        <f>IF(OR($J352="",$J352="odešel"),IF($F352="žena","",IF(L352="","",(CHOOSE(_xlfn.ARABIC($H352),MATCH(L352+1,'[1]Normy VP'!$G$10:$J$10,-1),MATCH(L352+1,'[1]Normy VP'!$G$11:$J$11,-1),MATCH(L352+1,'[1]Normy VP'!$G$12:$J$12,-1),MATCH(L352+1,'[1]Normy VP'!$G$13:$J$13,-1),MATCH(L352+1,'[1]Normy VP'!$G$14:$J$14,-1),"")))),"O")</f>
        <v/>
      </c>
      <c r="R352" s="34" t="str">
        <f t="shared" si="21"/>
        <v>N</v>
      </c>
      <c r="S352" s="24" t="str">
        <f>IF(OR($J352="",$J352="odešel"),IF(M352="","N",IF($F352="žena",CHOOSE(_xlfn.ARABIC($H352),MATCH(M352+1,'[1]Normy VP'!$G$25:$J$25,-1),MATCH(M352+1,'[1]Normy VP'!$G$26:$J$26,-1),MATCH(M352+1,'[1]Normy VP'!$G$27:$J$27,-1),MATCH(M352+1,'[1]Normy VP'!$G$28:$J$28,-1),MATCH(M352+1,'[1]Normy VP'!$G$29:$J$29,-1),"muž"),(CHOOSE(_xlfn.ARABIC($H352),MATCH(M352+1,'[1]Normy VP'!$K$10:$N$10,-1),MATCH(M352+1,'[1]Normy VP'!$K$11:$N$11,-1),MATCH(M352+1,'[1]Normy VP'!$K$12:$N$12,-1),MATCH(M352+1,'[1]Normy VP'!$K$13:$N$13,-1),MATCH(M352+1,'[1]Normy VP'!$K$14:$N$14,-1),"")))),"O")</f>
        <v>N</v>
      </c>
      <c r="T352" s="34" t="str">
        <f t="shared" si="22"/>
        <v>N</v>
      </c>
      <c r="U352" s="24" t="str">
        <f>IF(OR($J352="",$J352="odešel"),IF(N352="","N",IF($F352="žena",CHOOSE(_xlfn.ARABIC($H352),MATCH(N352+1,'[1]Normy VP'!$K$25:$N$25,-1),MATCH(N352+1,'[1]Normy VP'!$K$26:$N$26,-1),MATCH(N352+1,'[1]Normy VP'!$K$27:$N$27,-1),MATCH(N352+1,'[1]Normy VP'!$K$28:$N$28,-1),MATCH(N352+1,'[1]Normy VP'!$K$29:$N$29,-1),MATCH(N352+1,'[1]Normy VP'!$K$30:$N$30,-1)),CHOOSE(_xlfn.ARABIC($H352),MATCH(N352+1,'[1]Normy VP'!$O$10:$R$10,-1),MATCH(N352+1,'[1]Normy VP'!$O$11:$R$11,-1),MATCH(N352+1,'[1]Normy VP'!$O$12:$R$12,-1),MATCH(N352+1,'[1]Normy VP'!$O$13:$R$13,-1),MATCH(N352+1,'[1]Normy VP'!$O$14:$R$14,-1),MATCH(N352+1,'[1]Normy VP'!$O$15:$R$15,-1)))),"O")</f>
        <v>N</v>
      </c>
      <c r="V352" s="26" t="str">
        <f>IF(OR($J352="",$J352="odešel"),IF(O352="","N",IF($F352="žena",CHOOSE(_xlfn.ARABIC($H352),MATCH(O352-1,'[1]Normy VP'!$O$25:$R$25),MATCH(O352-1,'[1]Normy VP'!$O$26:$R$26),MATCH(O352-1,'[1]Normy VP'!$O$27:$R$27),MATCH(O352-1,'[1]Normy VP'!$O$28:$R$28),MATCH(O352-1,'[1]Normy VP'!$O$29:$R$29),MATCH(O352-1,'[1]Normy VP'!$O$30:$R$30)),CHOOSE(_xlfn.ARABIC($H352),MATCH(O352-1,'[1]Normy VP'!$S$10:$V$10),MATCH(O352-1,'[1]Normy VP'!$S$11:$V$11),MATCH(O352-1,'[1]Normy VP'!$S$12:$V$12),MATCH(O352-1,'[1]Normy VP'!$S$13:$V$13),MATCH(O352-1,'[1]Normy VP'!$S$14:$V$14),MATCH(O352-1,'[1]Normy VP'!$S$15:$V$15)))),"O")</f>
        <v>N</v>
      </c>
      <c r="W352" s="34" t="str">
        <f t="shared" si="23"/>
        <v>N</v>
      </c>
      <c r="X352" s="27" t="str">
        <f>IF(COUNTIF(B352:G352,"")&gt;0,"",IF(COUNTIF([1]PP!$A:$A,A352)=0,"neni v PP",IF(OR(Y352="odešel",VLOOKUP(A352,[1]PP!$A:$W,22,FALSE)="odešel"),"odešel",IF(OR(Y352="N",VLOOKUP(A352,[1]PP!$A:$W,22,FALSE)="N"),"N",IF(OR(Y352="C",VLOOKUP(A352,[1]PP!$A:$W,22,FALSE)="C"),"C",IF(OR(Y352="DZO",VLOOKUP(A352,[1]PP!$A:$W,22,FALSE)="DZO"),"DZO",IF(OR(Y352="mise",Y352="disp.",Y352="končí",Y352="DSC",VLOOKUP(A352,[1]PP!$A:$W,22,FALSE)="mise",VLOOKUP(A352,[1]PP!$A:$W,22,FALSE)="disp.",VLOOKUP(A352,[1]PP!$A:$W,22,FALSE)="končí",VLOOKUP(A352,[1]PP!$A:$W,22,FALSE)="DSC"),"jiné",IF(OR(Y352=4,VLOOKUP(A352,[1]PP!$A:$W,22,FALSE)=4),4,IF(OR(Y352=3,VLOOKUP(A352,[1]PP!$A:$W,22,FALSE)=3),3,IF(OR(Y352=2,VLOOKUP(A352,[1]PP!$A:$W,22,FALSE)=2),2,IF(AND(Y352=1,VLOOKUP(A352,[1]PP!$A:$W,22,FALSE)=1),1)))))))))))</f>
        <v/>
      </c>
      <c r="Y352" s="28" t="str">
        <f>IF(COUNTIF(B352:G352,"")&gt;0,"",IF(COUNTIF([1]PP!$A:$A,A352)=0,"neni v PP",IF(VLOOKUP(A352,[1]PP!$A:$W,8,FALSE)="odešel","odešel",IF(F352="","",IF(J352="",IF(OR(T352=4,W352=4),4,IF(AND(T352="N",W352="N"),"N",IF(OR(T352="N",W352="N"),4,ROUND(AVERAGE(T352,W352),0)))),J352)))))</f>
        <v/>
      </c>
      <c r="Z352" s="29"/>
      <c r="AA352" s="30"/>
    </row>
    <row r="353" spans="1:26" ht="16" x14ac:dyDescent="0.35">
      <c r="A353" s="14" t="str">
        <f t="shared" si="20"/>
        <v xml:space="preserve">  </v>
      </c>
      <c r="B353" s="15"/>
      <c r="C353" s="31"/>
      <c r="D353" s="31"/>
      <c r="E353" s="17"/>
      <c r="F353" s="18"/>
      <c r="G353" s="32"/>
      <c r="H353" s="33" t="str">
        <f>IF(G353="","",IF(F353="žena",ROMAN(MATCH(G353+1,'[1]Normy VP'!$Y$27:$Y$33,-1)),ROMAN(MATCH(G353+1,'[1]Normy VP'!$Y$19:$Y$25,-1))))</f>
        <v/>
      </c>
      <c r="I353" s="21"/>
      <c r="J353" s="22"/>
      <c r="K353" s="23"/>
      <c r="L353" s="23"/>
      <c r="M353" s="23"/>
      <c r="N353" s="22"/>
      <c r="O353" s="22"/>
      <c r="P353" s="24" t="str">
        <f>IF(OR($J353="",$J353="odešel"),IF(K353="","",IF($F353="žena",CHOOSE(_xlfn.ARABIC($H353),MATCH(K353+1,'[1]Normy VP'!$C$25:$F$25,-1),MATCH(K353+1,'[1]Normy VP'!$C$26:$F$26,-1),MATCH(K353+1,'[1]Normy VP'!$C$27:$F$27,-1),MATCH(K353+1,'[1]Normy VP'!$C$28:$F$28,-1),MATCH(K353+1,'[1]Normy VP'!$C$29:$F$29,-1),"muž"),CHOOSE(_xlfn.ARABIC($H353),MATCH(K353+1,'[1]Normy VP'!$C$10:$F$10,-1),MATCH(K353+1,'[1]Normy VP'!$C$11:$F$11,-1),MATCH(K353+1,'[1]Normy VP'!$C$12:$F$12,-1),MATCH(K353+1,'[1]Normy VP'!$C$13:$F$13,-1),MATCH(K353+1,'[1]Normy VP'!$C$14:$F$14,-1),""))),"O")</f>
        <v/>
      </c>
      <c r="Q353" s="24" t="str">
        <f>IF(OR($J353="",$J353="odešel"),IF($F353="žena","",IF(L353="","",(CHOOSE(_xlfn.ARABIC($H353),MATCH(L353+1,'[1]Normy VP'!$G$10:$J$10,-1),MATCH(L353+1,'[1]Normy VP'!$G$11:$J$11,-1),MATCH(L353+1,'[1]Normy VP'!$G$12:$J$12,-1),MATCH(L353+1,'[1]Normy VP'!$G$13:$J$13,-1),MATCH(L353+1,'[1]Normy VP'!$G$14:$J$14,-1),"")))),"O")</f>
        <v/>
      </c>
      <c r="R353" s="34" t="str">
        <f t="shared" si="21"/>
        <v>N</v>
      </c>
      <c r="S353" s="24" t="str">
        <f>IF(OR($J353="",$J353="odešel"),IF(M353="","N",IF($F353="žena",CHOOSE(_xlfn.ARABIC($H353),MATCH(M353+1,'[1]Normy VP'!$G$25:$J$25,-1),MATCH(M353+1,'[1]Normy VP'!$G$26:$J$26,-1),MATCH(M353+1,'[1]Normy VP'!$G$27:$J$27,-1),MATCH(M353+1,'[1]Normy VP'!$G$28:$J$28,-1),MATCH(M353+1,'[1]Normy VP'!$G$29:$J$29,-1),"muž"),(CHOOSE(_xlfn.ARABIC($H353),MATCH(M353+1,'[1]Normy VP'!$K$10:$N$10,-1),MATCH(M353+1,'[1]Normy VP'!$K$11:$N$11,-1),MATCH(M353+1,'[1]Normy VP'!$K$12:$N$12,-1),MATCH(M353+1,'[1]Normy VP'!$K$13:$N$13,-1),MATCH(M353+1,'[1]Normy VP'!$K$14:$N$14,-1),"")))),"O")</f>
        <v>N</v>
      </c>
      <c r="T353" s="34" t="str">
        <f t="shared" si="22"/>
        <v>N</v>
      </c>
      <c r="U353" s="24" t="str">
        <f>IF(OR($J353="",$J353="odešel"),IF(N353="","N",IF($F353="žena",CHOOSE(_xlfn.ARABIC($H353),MATCH(N353+1,'[1]Normy VP'!$K$25:$N$25,-1),MATCH(N353+1,'[1]Normy VP'!$K$26:$N$26,-1),MATCH(N353+1,'[1]Normy VP'!$K$27:$N$27,-1),MATCH(N353+1,'[1]Normy VP'!$K$28:$N$28,-1),MATCH(N353+1,'[1]Normy VP'!$K$29:$N$29,-1),MATCH(N353+1,'[1]Normy VP'!$K$30:$N$30,-1)),CHOOSE(_xlfn.ARABIC($H353),MATCH(N353+1,'[1]Normy VP'!$O$10:$R$10,-1),MATCH(N353+1,'[1]Normy VP'!$O$11:$R$11,-1),MATCH(N353+1,'[1]Normy VP'!$O$12:$R$12,-1),MATCH(N353+1,'[1]Normy VP'!$O$13:$R$13,-1),MATCH(N353+1,'[1]Normy VP'!$O$14:$R$14,-1),MATCH(N353+1,'[1]Normy VP'!$O$15:$R$15,-1)))),"O")</f>
        <v>N</v>
      </c>
      <c r="V353" s="26" t="str">
        <f>IF(OR($J353="",$J353="odešel"),IF(O353="","N",IF($F353="žena",CHOOSE(_xlfn.ARABIC($H353),MATCH(O353-1,'[1]Normy VP'!$O$25:$R$25),MATCH(O353-1,'[1]Normy VP'!$O$26:$R$26),MATCH(O353-1,'[1]Normy VP'!$O$27:$R$27),MATCH(O353-1,'[1]Normy VP'!$O$28:$R$28),MATCH(O353-1,'[1]Normy VP'!$O$29:$R$29),MATCH(O353-1,'[1]Normy VP'!$O$30:$R$30)),CHOOSE(_xlfn.ARABIC($H353),MATCH(O353-1,'[1]Normy VP'!$S$10:$V$10),MATCH(O353-1,'[1]Normy VP'!$S$11:$V$11),MATCH(O353-1,'[1]Normy VP'!$S$12:$V$12),MATCH(O353-1,'[1]Normy VP'!$S$13:$V$13),MATCH(O353-1,'[1]Normy VP'!$S$14:$V$14),MATCH(O353-1,'[1]Normy VP'!$S$15:$V$15)))),"O")</f>
        <v>N</v>
      </c>
      <c r="W353" s="34" t="str">
        <f t="shared" si="23"/>
        <v>N</v>
      </c>
      <c r="X353" s="27" t="str">
        <f>IF(COUNTIF(B353:G353,"")&gt;0,"",IF(COUNTIF([1]PP!$A:$A,A353)=0,"neni v PP",IF(OR(Y353="odešel",VLOOKUP(A353,[1]PP!$A:$W,22,FALSE)="odešel"),"odešel",IF(OR(Y353="N",VLOOKUP(A353,[1]PP!$A:$W,22,FALSE)="N"),"N",IF(OR(Y353="C",VLOOKUP(A353,[1]PP!$A:$W,22,FALSE)="C"),"C",IF(OR(Y353="DZO",VLOOKUP(A353,[1]PP!$A:$W,22,FALSE)="DZO"),"DZO",IF(OR(Y353="mise",Y353="disp.",Y353="končí",Y353="DSC",VLOOKUP(A353,[1]PP!$A:$W,22,FALSE)="mise",VLOOKUP(A353,[1]PP!$A:$W,22,FALSE)="disp.",VLOOKUP(A353,[1]PP!$A:$W,22,FALSE)="končí",VLOOKUP(A353,[1]PP!$A:$W,22,FALSE)="DSC"),"jiné",IF(OR(Y353=4,VLOOKUP(A353,[1]PP!$A:$W,22,FALSE)=4),4,IF(OR(Y353=3,VLOOKUP(A353,[1]PP!$A:$W,22,FALSE)=3),3,IF(OR(Y353=2,VLOOKUP(A353,[1]PP!$A:$W,22,FALSE)=2),2,IF(AND(Y353=1,VLOOKUP(A353,[1]PP!$A:$W,22,FALSE)=1),1)))))))))))</f>
        <v/>
      </c>
      <c r="Y353" s="28" t="str">
        <f>IF(COUNTIF(B353:G353,"")&gt;0,"",IF(COUNTIF([1]PP!$A:$A,A353)=0,"neni v PP",IF(VLOOKUP(A353,[1]PP!$A:$W,8,FALSE)="odešel","odešel",IF(F353="","",IF(J353="",IF(OR(T353=4,W353=4),4,IF(AND(T353="N",W353="N"),"N",IF(OR(T353="N",W353="N"),4,ROUND(AVERAGE(T353,W353),0)))),J353)))))</f>
        <v/>
      </c>
      <c r="Z353" s="29"/>
    </row>
    <row r="354" spans="1:26" ht="16" x14ac:dyDescent="0.35">
      <c r="A354" s="14" t="str">
        <f t="shared" si="20"/>
        <v xml:space="preserve">  </v>
      </c>
      <c r="B354" s="15"/>
      <c r="C354" s="31"/>
      <c r="D354" s="31"/>
      <c r="E354" s="17"/>
      <c r="F354" s="18"/>
      <c r="G354" s="32"/>
      <c r="H354" s="33" t="str">
        <f>IF(G354="","",IF(F354="žena",ROMAN(MATCH(G354+1,'[1]Normy VP'!$Y$27:$Y$33,-1)),ROMAN(MATCH(G354+1,'[1]Normy VP'!$Y$19:$Y$25,-1))))</f>
        <v/>
      </c>
      <c r="I354" s="21"/>
      <c r="J354" s="22"/>
      <c r="K354" s="23"/>
      <c r="L354" s="23"/>
      <c r="M354" s="23"/>
      <c r="N354" s="22"/>
      <c r="O354" s="22"/>
      <c r="P354" s="24" t="str">
        <f>IF(OR($J354="",$J354="odešel"),IF(K354="","",IF($F354="žena",CHOOSE(_xlfn.ARABIC($H354),MATCH(K354+1,'[1]Normy VP'!$C$25:$F$25,-1),MATCH(K354+1,'[1]Normy VP'!$C$26:$F$26,-1),MATCH(K354+1,'[1]Normy VP'!$C$27:$F$27,-1),MATCH(K354+1,'[1]Normy VP'!$C$28:$F$28,-1),MATCH(K354+1,'[1]Normy VP'!$C$29:$F$29,-1),"muž"),CHOOSE(_xlfn.ARABIC($H354),MATCH(K354+1,'[1]Normy VP'!$C$10:$F$10,-1),MATCH(K354+1,'[1]Normy VP'!$C$11:$F$11,-1),MATCH(K354+1,'[1]Normy VP'!$C$12:$F$12,-1),MATCH(K354+1,'[1]Normy VP'!$C$13:$F$13,-1),MATCH(K354+1,'[1]Normy VP'!$C$14:$F$14,-1),""))),"O")</f>
        <v/>
      </c>
      <c r="Q354" s="24" t="str">
        <f>IF(OR($J354="",$J354="odešel"),IF($F354="žena","",IF(L354="","",(CHOOSE(_xlfn.ARABIC($H354),MATCH(L354+1,'[1]Normy VP'!$G$10:$J$10,-1),MATCH(L354+1,'[1]Normy VP'!$G$11:$J$11,-1),MATCH(L354+1,'[1]Normy VP'!$G$12:$J$12,-1),MATCH(L354+1,'[1]Normy VP'!$G$13:$J$13,-1),MATCH(L354+1,'[1]Normy VP'!$G$14:$J$14,-1),"")))),"O")</f>
        <v/>
      </c>
      <c r="R354" s="34" t="str">
        <f t="shared" si="21"/>
        <v>N</v>
      </c>
      <c r="S354" s="24" t="str">
        <f>IF(OR($J354="",$J354="odešel"),IF(M354="","N",IF($F354="žena",CHOOSE(_xlfn.ARABIC($H354),MATCH(M354+1,'[1]Normy VP'!$G$25:$J$25,-1),MATCH(M354+1,'[1]Normy VP'!$G$26:$J$26,-1),MATCH(M354+1,'[1]Normy VP'!$G$27:$J$27,-1),MATCH(M354+1,'[1]Normy VP'!$G$28:$J$28,-1),MATCH(M354+1,'[1]Normy VP'!$G$29:$J$29,-1),"muž"),(CHOOSE(_xlfn.ARABIC($H354),MATCH(M354+1,'[1]Normy VP'!$K$10:$N$10,-1),MATCH(M354+1,'[1]Normy VP'!$K$11:$N$11,-1),MATCH(M354+1,'[1]Normy VP'!$K$12:$N$12,-1),MATCH(M354+1,'[1]Normy VP'!$K$13:$N$13,-1),MATCH(M354+1,'[1]Normy VP'!$K$14:$N$14,-1),"")))),"O")</f>
        <v>N</v>
      </c>
      <c r="T354" s="34" t="str">
        <f t="shared" si="22"/>
        <v>N</v>
      </c>
      <c r="U354" s="24" t="str">
        <f>IF(OR($J354="",$J354="odešel"),IF(N354="","N",IF($F354="žena",CHOOSE(_xlfn.ARABIC($H354),MATCH(N354+1,'[1]Normy VP'!$K$25:$N$25,-1),MATCH(N354+1,'[1]Normy VP'!$K$26:$N$26,-1),MATCH(N354+1,'[1]Normy VP'!$K$27:$N$27,-1),MATCH(N354+1,'[1]Normy VP'!$K$28:$N$28,-1),MATCH(N354+1,'[1]Normy VP'!$K$29:$N$29,-1),MATCH(N354+1,'[1]Normy VP'!$K$30:$N$30,-1)),CHOOSE(_xlfn.ARABIC($H354),MATCH(N354+1,'[1]Normy VP'!$O$10:$R$10,-1),MATCH(N354+1,'[1]Normy VP'!$O$11:$R$11,-1),MATCH(N354+1,'[1]Normy VP'!$O$12:$R$12,-1),MATCH(N354+1,'[1]Normy VP'!$O$13:$R$13,-1),MATCH(N354+1,'[1]Normy VP'!$O$14:$R$14,-1),MATCH(N354+1,'[1]Normy VP'!$O$15:$R$15,-1)))),"O")</f>
        <v>N</v>
      </c>
      <c r="V354" s="26" t="str">
        <f>IF(OR($J354="",$J354="odešel"),IF(O354="","N",IF($F354="žena",CHOOSE(_xlfn.ARABIC($H354),MATCH(O354-1,'[1]Normy VP'!$O$25:$R$25),MATCH(O354-1,'[1]Normy VP'!$O$26:$R$26),MATCH(O354-1,'[1]Normy VP'!$O$27:$R$27),MATCH(O354-1,'[1]Normy VP'!$O$28:$R$28),MATCH(O354-1,'[1]Normy VP'!$O$29:$R$29),MATCH(O354-1,'[1]Normy VP'!$O$30:$R$30)),CHOOSE(_xlfn.ARABIC($H354),MATCH(O354-1,'[1]Normy VP'!$S$10:$V$10),MATCH(O354-1,'[1]Normy VP'!$S$11:$V$11),MATCH(O354-1,'[1]Normy VP'!$S$12:$V$12),MATCH(O354-1,'[1]Normy VP'!$S$13:$V$13),MATCH(O354-1,'[1]Normy VP'!$S$14:$V$14),MATCH(O354-1,'[1]Normy VP'!$S$15:$V$15)))),"O")</f>
        <v>N</v>
      </c>
      <c r="W354" s="34" t="str">
        <f t="shared" si="23"/>
        <v>N</v>
      </c>
      <c r="X354" s="27" t="str">
        <f>IF(COUNTIF(B354:G354,"")&gt;0,"",IF(COUNTIF([1]PP!$A:$A,A354)=0,"neni v PP",IF(OR(Y354="odešel",VLOOKUP(A354,[1]PP!$A:$W,22,FALSE)="odešel"),"odešel",IF(OR(Y354="N",VLOOKUP(A354,[1]PP!$A:$W,22,FALSE)="N"),"N",IF(OR(Y354="C",VLOOKUP(A354,[1]PP!$A:$W,22,FALSE)="C"),"C",IF(OR(Y354="DZO",VLOOKUP(A354,[1]PP!$A:$W,22,FALSE)="DZO"),"DZO",IF(OR(Y354="mise",Y354="disp.",Y354="končí",Y354="DSC",VLOOKUP(A354,[1]PP!$A:$W,22,FALSE)="mise",VLOOKUP(A354,[1]PP!$A:$W,22,FALSE)="disp.",VLOOKUP(A354,[1]PP!$A:$W,22,FALSE)="končí",VLOOKUP(A354,[1]PP!$A:$W,22,FALSE)="DSC"),"jiné",IF(OR(Y354=4,VLOOKUP(A354,[1]PP!$A:$W,22,FALSE)=4),4,IF(OR(Y354=3,VLOOKUP(A354,[1]PP!$A:$W,22,FALSE)=3),3,IF(OR(Y354=2,VLOOKUP(A354,[1]PP!$A:$W,22,FALSE)=2),2,IF(AND(Y354=1,VLOOKUP(A354,[1]PP!$A:$W,22,FALSE)=1),1)))))))))))</f>
        <v/>
      </c>
      <c r="Y354" s="28" t="str">
        <f>IF(COUNTIF(B354:G354,"")&gt;0,"",IF(COUNTIF([1]PP!$A:$A,A354)=0,"neni v PP",IF(VLOOKUP(A354,[1]PP!$A:$W,8,FALSE)="odešel","odešel",IF(F354="","",IF(J354="",IF(OR(T354=4,W354=4),4,IF(AND(T354="N",W354="N"),"N",IF(OR(T354="N",W354="N"),4,ROUND(AVERAGE(T354,W354),0)))),J354)))))</f>
        <v/>
      </c>
      <c r="Z354" s="29"/>
    </row>
    <row r="355" spans="1:26" ht="16" x14ac:dyDescent="0.35">
      <c r="A355" s="14" t="str">
        <f t="shared" si="20"/>
        <v xml:space="preserve">  </v>
      </c>
      <c r="B355" s="15"/>
      <c r="C355" s="31"/>
      <c r="D355" s="31"/>
      <c r="E355" s="17"/>
      <c r="F355" s="18"/>
      <c r="G355" s="32"/>
      <c r="H355" s="33" t="str">
        <f>IF(G355="","",IF(F355="žena",ROMAN(MATCH(G355+1,'[1]Normy VP'!$Y$27:$Y$33,-1)),ROMAN(MATCH(G355+1,'[1]Normy VP'!$Y$19:$Y$25,-1))))</f>
        <v/>
      </c>
      <c r="I355" s="21"/>
      <c r="J355" s="22"/>
      <c r="K355" s="23"/>
      <c r="L355" s="23"/>
      <c r="M355" s="23"/>
      <c r="N355" s="22"/>
      <c r="O355" s="22"/>
      <c r="P355" s="24" t="str">
        <f>IF(OR($J355="",$J355="odešel"),IF(K355="","",IF($F355="žena",CHOOSE(_xlfn.ARABIC($H355),MATCH(K355+1,'[1]Normy VP'!$C$25:$F$25,-1),MATCH(K355+1,'[1]Normy VP'!$C$26:$F$26,-1),MATCH(K355+1,'[1]Normy VP'!$C$27:$F$27,-1),MATCH(K355+1,'[1]Normy VP'!$C$28:$F$28,-1),MATCH(K355+1,'[1]Normy VP'!$C$29:$F$29,-1),"muž"),CHOOSE(_xlfn.ARABIC($H355),MATCH(K355+1,'[1]Normy VP'!$C$10:$F$10,-1),MATCH(K355+1,'[1]Normy VP'!$C$11:$F$11,-1),MATCH(K355+1,'[1]Normy VP'!$C$12:$F$12,-1),MATCH(K355+1,'[1]Normy VP'!$C$13:$F$13,-1),MATCH(K355+1,'[1]Normy VP'!$C$14:$F$14,-1),""))),"O")</f>
        <v/>
      </c>
      <c r="Q355" s="24" t="str">
        <f>IF(OR($J355="",$J355="odešel"),IF($F355="žena","",IF(L355="","",(CHOOSE(_xlfn.ARABIC($H355),MATCH(L355+1,'[1]Normy VP'!$G$10:$J$10,-1),MATCH(L355+1,'[1]Normy VP'!$G$11:$J$11,-1),MATCH(L355+1,'[1]Normy VP'!$G$12:$J$12,-1),MATCH(L355+1,'[1]Normy VP'!$G$13:$J$13,-1),MATCH(L355+1,'[1]Normy VP'!$G$14:$J$14,-1),"")))),"O")</f>
        <v/>
      </c>
      <c r="R355" s="34" t="str">
        <f t="shared" si="21"/>
        <v>N</v>
      </c>
      <c r="S355" s="24" t="str">
        <f>IF(OR($J355="",$J355="odešel"),IF(M355="","N",IF($F355="žena",CHOOSE(_xlfn.ARABIC($H355),MATCH(M355+1,'[1]Normy VP'!$G$25:$J$25,-1),MATCH(M355+1,'[1]Normy VP'!$G$26:$J$26,-1),MATCH(M355+1,'[1]Normy VP'!$G$27:$J$27,-1),MATCH(M355+1,'[1]Normy VP'!$G$28:$J$28,-1),MATCH(M355+1,'[1]Normy VP'!$G$29:$J$29,-1),"muž"),(CHOOSE(_xlfn.ARABIC($H355),MATCH(M355+1,'[1]Normy VP'!$K$10:$N$10,-1),MATCH(M355+1,'[1]Normy VP'!$K$11:$N$11,-1),MATCH(M355+1,'[1]Normy VP'!$K$12:$N$12,-1),MATCH(M355+1,'[1]Normy VP'!$K$13:$N$13,-1),MATCH(M355+1,'[1]Normy VP'!$K$14:$N$14,-1),"")))),"O")</f>
        <v>N</v>
      </c>
      <c r="T355" s="34" t="str">
        <f t="shared" si="22"/>
        <v>N</v>
      </c>
      <c r="U355" s="24" t="str">
        <f>IF(OR($J355="",$J355="odešel"),IF(N355="","N",IF($F355="žena",CHOOSE(_xlfn.ARABIC($H355),MATCH(N355+1,'[1]Normy VP'!$K$25:$N$25,-1),MATCH(N355+1,'[1]Normy VP'!$K$26:$N$26,-1),MATCH(N355+1,'[1]Normy VP'!$K$27:$N$27,-1),MATCH(N355+1,'[1]Normy VP'!$K$28:$N$28,-1),MATCH(N355+1,'[1]Normy VP'!$K$29:$N$29,-1),MATCH(N355+1,'[1]Normy VP'!$K$30:$N$30,-1)),CHOOSE(_xlfn.ARABIC($H355),MATCH(N355+1,'[1]Normy VP'!$O$10:$R$10,-1),MATCH(N355+1,'[1]Normy VP'!$O$11:$R$11,-1),MATCH(N355+1,'[1]Normy VP'!$O$12:$R$12,-1),MATCH(N355+1,'[1]Normy VP'!$O$13:$R$13,-1),MATCH(N355+1,'[1]Normy VP'!$O$14:$R$14,-1),MATCH(N355+1,'[1]Normy VP'!$O$15:$R$15,-1)))),"O")</f>
        <v>N</v>
      </c>
      <c r="V355" s="26" t="str">
        <f>IF(OR($J355="",$J355="odešel"),IF(O355="","N",IF($F355="žena",CHOOSE(_xlfn.ARABIC($H355),MATCH(O355-1,'[1]Normy VP'!$O$25:$R$25),MATCH(O355-1,'[1]Normy VP'!$O$26:$R$26),MATCH(O355-1,'[1]Normy VP'!$O$27:$R$27),MATCH(O355-1,'[1]Normy VP'!$O$28:$R$28),MATCH(O355-1,'[1]Normy VP'!$O$29:$R$29),MATCH(O355-1,'[1]Normy VP'!$O$30:$R$30)),CHOOSE(_xlfn.ARABIC($H355),MATCH(O355-1,'[1]Normy VP'!$S$10:$V$10),MATCH(O355-1,'[1]Normy VP'!$S$11:$V$11),MATCH(O355-1,'[1]Normy VP'!$S$12:$V$12),MATCH(O355-1,'[1]Normy VP'!$S$13:$V$13),MATCH(O355-1,'[1]Normy VP'!$S$14:$V$14),MATCH(O355-1,'[1]Normy VP'!$S$15:$V$15)))),"O")</f>
        <v>N</v>
      </c>
      <c r="W355" s="34" t="str">
        <f t="shared" si="23"/>
        <v>N</v>
      </c>
      <c r="X355" s="27" t="str">
        <f>IF(COUNTIF(B355:G355,"")&gt;0,"",IF(COUNTIF([1]PP!$A:$A,A355)=0,"neni v PP",IF(OR(Y355="odešel",VLOOKUP(A355,[1]PP!$A:$W,22,FALSE)="odešel"),"odešel",IF(OR(Y355="N",VLOOKUP(A355,[1]PP!$A:$W,22,FALSE)="N"),"N",IF(OR(Y355="C",VLOOKUP(A355,[1]PP!$A:$W,22,FALSE)="C"),"C",IF(OR(Y355="DZO",VLOOKUP(A355,[1]PP!$A:$W,22,FALSE)="DZO"),"DZO",IF(OR(Y355="mise",Y355="disp.",Y355="končí",Y355="DSC",VLOOKUP(A355,[1]PP!$A:$W,22,FALSE)="mise",VLOOKUP(A355,[1]PP!$A:$W,22,FALSE)="disp.",VLOOKUP(A355,[1]PP!$A:$W,22,FALSE)="končí",VLOOKUP(A355,[1]PP!$A:$W,22,FALSE)="DSC"),"jiné",IF(OR(Y355=4,VLOOKUP(A355,[1]PP!$A:$W,22,FALSE)=4),4,IF(OR(Y355=3,VLOOKUP(A355,[1]PP!$A:$W,22,FALSE)=3),3,IF(OR(Y355=2,VLOOKUP(A355,[1]PP!$A:$W,22,FALSE)=2),2,IF(AND(Y355=1,VLOOKUP(A355,[1]PP!$A:$W,22,FALSE)=1),1)))))))))))</f>
        <v/>
      </c>
      <c r="Y355" s="28" t="str">
        <f>IF(COUNTIF(B355:G355,"")&gt;0,"",IF(COUNTIF([1]PP!$A:$A,A355)=0,"neni v PP",IF(VLOOKUP(A355,[1]PP!$A:$W,8,FALSE)="odešel","odešel",IF(F355="","",IF(J355="",IF(OR(T355=4,W355=4),4,IF(AND(T355="N",W355="N"),"N",IF(OR(T355="N",W355="N"),4,ROUND(AVERAGE(T355,W355),0)))),J355)))))</f>
        <v/>
      </c>
      <c r="Z355" s="29"/>
    </row>
    <row r="356" spans="1:26" ht="16" x14ac:dyDescent="0.35">
      <c r="A356" s="14" t="str">
        <f t="shared" si="20"/>
        <v xml:space="preserve">  </v>
      </c>
      <c r="B356" s="15"/>
      <c r="C356" s="31"/>
      <c r="D356" s="31"/>
      <c r="E356" s="17"/>
      <c r="F356" s="18"/>
      <c r="G356" s="32"/>
      <c r="H356" s="33" t="str">
        <f>IF(G356="","",IF(F356="žena",ROMAN(MATCH(G356+1,'[1]Normy VP'!$Y$27:$Y$33,-1)),ROMAN(MATCH(G356+1,'[1]Normy VP'!$Y$19:$Y$25,-1))))</f>
        <v/>
      </c>
      <c r="I356" s="21"/>
      <c r="J356" s="22"/>
      <c r="K356" s="23"/>
      <c r="L356" s="23"/>
      <c r="M356" s="23"/>
      <c r="N356" s="22"/>
      <c r="O356" s="22"/>
      <c r="P356" s="24" t="str">
        <f>IF(OR($J356="",$J356="odešel"),IF(K356="","",IF($F356="žena",CHOOSE(_xlfn.ARABIC($H356),MATCH(K356+1,'[1]Normy VP'!$C$25:$F$25,-1),MATCH(K356+1,'[1]Normy VP'!$C$26:$F$26,-1),MATCH(K356+1,'[1]Normy VP'!$C$27:$F$27,-1),MATCH(K356+1,'[1]Normy VP'!$C$28:$F$28,-1),MATCH(K356+1,'[1]Normy VP'!$C$29:$F$29,-1),"muž"),CHOOSE(_xlfn.ARABIC($H356),MATCH(K356+1,'[1]Normy VP'!$C$10:$F$10,-1),MATCH(K356+1,'[1]Normy VP'!$C$11:$F$11,-1),MATCH(K356+1,'[1]Normy VP'!$C$12:$F$12,-1),MATCH(K356+1,'[1]Normy VP'!$C$13:$F$13,-1),MATCH(K356+1,'[1]Normy VP'!$C$14:$F$14,-1),""))),"O")</f>
        <v/>
      </c>
      <c r="Q356" s="24" t="str">
        <f>IF(OR($J356="",$J356="odešel"),IF($F356="žena","",IF(L356="","",(CHOOSE(_xlfn.ARABIC($H356),MATCH(L356+1,'[1]Normy VP'!$G$10:$J$10,-1),MATCH(L356+1,'[1]Normy VP'!$G$11:$J$11,-1),MATCH(L356+1,'[1]Normy VP'!$G$12:$J$12,-1),MATCH(L356+1,'[1]Normy VP'!$G$13:$J$13,-1),MATCH(L356+1,'[1]Normy VP'!$G$14:$J$14,-1),"")))),"O")</f>
        <v/>
      </c>
      <c r="R356" s="34" t="str">
        <f t="shared" si="21"/>
        <v>N</v>
      </c>
      <c r="S356" s="24" t="str">
        <f>IF(OR($J356="",$J356="odešel"),IF(M356="","N",IF($F356="žena",CHOOSE(_xlfn.ARABIC($H356),MATCH(M356+1,'[1]Normy VP'!$G$25:$J$25,-1),MATCH(M356+1,'[1]Normy VP'!$G$26:$J$26,-1),MATCH(M356+1,'[1]Normy VP'!$G$27:$J$27,-1),MATCH(M356+1,'[1]Normy VP'!$G$28:$J$28,-1),MATCH(M356+1,'[1]Normy VP'!$G$29:$J$29,-1),"muž"),(CHOOSE(_xlfn.ARABIC($H356),MATCH(M356+1,'[1]Normy VP'!$K$10:$N$10,-1),MATCH(M356+1,'[1]Normy VP'!$K$11:$N$11,-1),MATCH(M356+1,'[1]Normy VP'!$K$12:$N$12,-1),MATCH(M356+1,'[1]Normy VP'!$K$13:$N$13,-1),MATCH(M356+1,'[1]Normy VP'!$K$14:$N$14,-1),"")))),"O")</f>
        <v>N</v>
      </c>
      <c r="T356" s="34" t="str">
        <f t="shared" si="22"/>
        <v>N</v>
      </c>
      <c r="U356" s="24" t="str">
        <f>IF(OR($J356="",$J356="odešel"),IF(N356="","N",IF($F356="žena",CHOOSE(_xlfn.ARABIC($H356),MATCH(N356+1,'[1]Normy VP'!$K$25:$N$25,-1),MATCH(N356+1,'[1]Normy VP'!$K$26:$N$26,-1),MATCH(N356+1,'[1]Normy VP'!$K$27:$N$27,-1),MATCH(N356+1,'[1]Normy VP'!$K$28:$N$28,-1),MATCH(N356+1,'[1]Normy VP'!$K$29:$N$29,-1),MATCH(N356+1,'[1]Normy VP'!$K$30:$N$30,-1)),CHOOSE(_xlfn.ARABIC($H356),MATCH(N356+1,'[1]Normy VP'!$O$10:$R$10,-1),MATCH(N356+1,'[1]Normy VP'!$O$11:$R$11,-1),MATCH(N356+1,'[1]Normy VP'!$O$12:$R$12,-1),MATCH(N356+1,'[1]Normy VP'!$O$13:$R$13,-1),MATCH(N356+1,'[1]Normy VP'!$O$14:$R$14,-1),MATCH(N356+1,'[1]Normy VP'!$O$15:$R$15,-1)))),"O")</f>
        <v>N</v>
      </c>
      <c r="V356" s="26" t="str">
        <f>IF(OR($J356="",$J356="odešel"),IF(O356="","N",IF($F356="žena",CHOOSE(_xlfn.ARABIC($H356),MATCH(O356-1,'[1]Normy VP'!$O$25:$R$25),MATCH(O356-1,'[1]Normy VP'!$O$26:$R$26),MATCH(O356-1,'[1]Normy VP'!$O$27:$R$27),MATCH(O356-1,'[1]Normy VP'!$O$28:$R$28),MATCH(O356-1,'[1]Normy VP'!$O$29:$R$29),MATCH(O356-1,'[1]Normy VP'!$O$30:$R$30)),CHOOSE(_xlfn.ARABIC($H356),MATCH(O356-1,'[1]Normy VP'!$S$10:$V$10),MATCH(O356-1,'[1]Normy VP'!$S$11:$V$11),MATCH(O356-1,'[1]Normy VP'!$S$12:$V$12),MATCH(O356-1,'[1]Normy VP'!$S$13:$V$13),MATCH(O356-1,'[1]Normy VP'!$S$14:$V$14),MATCH(O356-1,'[1]Normy VP'!$S$15:$V$15)))),"O")</f>
        <v>N</v>
      </c>
      <c r="W356" s="34" t="str">
        <f t="shared" si="23"/>
        <v>N</v>
      </c>
      <c r="X356" s="27" t="str">
        <f>IF(COUNTIF(B356:G356,"")&gt;0,"",IF(COUNTIF([1]PP!$A:$A,A356)=0,"neni v PP",IF(OR(Y356="odešel",VLOOKUP(A356,[1]PP!$A:$W,22,FALSE)="odešel"),"odešel",IF(OR(Y356="N",VLOOKUP(A356,[1]PP!$A:$W,22,FALSE)="N"),"N",IF(OR(Y356="C",VLOOKUP(A356,[1]PP!$A:$W,22,FALSE)="C"),"C",IF(OR(Y356="DZO",VLOOKUP(A356,[1]PP!$A:$W,22,FALSE)="DZO"),"DZO",IF(OR(Y356="mise",Y356="disp.",Y356="končí",Y356="DSC",VLOOKUP(A356,[1]PP!$A:$W,22,FALSE)="mise",VLOOKUP(A356,[1]PP!$A:$W,22,FALSE)="disp.",VLOOKUP(A356,[1]PP!$A:$W,22,FALSE)="končí",VLOOKUP(A356,[1]PP!$A:$W,22,FALSE)="DSC"),"jiné",IF(OR(Y356=4,VLOOKUP(A356,[1]PP!$A:$W,22,FALSE)=4),4,IF(OR(Y356=3,VLOOKUP(A356,[1]PP!$A:$W,22,FALSE)=3),3,IF(OR(Y356=2,VLOOKUP(A356,[1]PP!$A:$W,22,FALSE)=2),2,IF(AND(Y356=1,VLOOKUP(A356,[1]PP!$A:$W,22,FALSE)=1),1)))))))))))</f>
        <v/>
      </c>
      <c r="Y356" s="28" t="str">
        <f>IF(COUNTIF(B356:G356,"")&gt;0,"",IF(COUNTIF([1]PP!$A:$A,A356)=0,"neni v PP",IF(VLOOKUP(A356,[1]PP!$A:$W,8,FALSE)="odešel","odešel",IF(F356="","",IF(J356="",IF(OR(T356=4,W356=4),4,IF(AND(T356="N",W356="N"),"N",IF(OR(T356="N",W356="N"),4,ROUND(AVERAGE(T356,W356),0)))),J356)))))</f>
        <v/>
      </c>
      <c r="Z356" s="29"/>
    </row>
    <row r="357" spans="1:26" ht="16" x14ac:dyDescent="0.35">
      <c r="A357" s="14" t="str">
        <f t="shared" si="20"/>
        <v xml:space="preserve">  </v>
      </c>
      <c r="B357" s="15"/>
      <c r="C357" s="31"/>
      <c r="D357" s="31"/>
      <c r="E357" s="17"/>
      <c r="F357" s="18"/>
      <c r="G357" s="32"/>
      <c r="H357" s="33" t="str">
        <f>IF(G357="","",IF(F357="žena",ROMAN(MATCH(G357+1,'[1]Normy VP'!$Y$27:$Y$33,-1)),ROMAN(MATCH(G357+1,'[1]Normy VP'!$Y$19:$Y$25,-1))))</f>
        <v/>
      </c>
      <c r="I357" s="21"/>
      <c r="J357" s="22"/>
      <c r="K357" s="23"/>
      <c r="L357" s="23"/>
      <c r="M357" s="23"/>
      <c r="N357" s="22"/>
      <c r="O357" s="22"/>
      <c r="P357" s="24" t="str">
        <f>IF(OR($J357="",$J357="odešel"),IF(K357="","",IF($F357="žena",CHOOSE(_xlfn.ARABIC($H357),MATCH(K357+1,'[1]Normy VP'!$C$25:$F$25,-1),MATCH(K357+1,'[1]Normy VP'!$C$26:$F$26,-1),MATCH(K357+1,'[1]Normy VP'!$C$27:$F$27,-1),MATCH(K357+1,'[1]Normy VP'!$C$28:$F$28,-1),MATCH(K357+1,'[1]Normy VP'!$C$29:$F$29,-1),"muž"),CHOOSE(_xlfn.ARABIC($H357),MATCH(K357+1,'[1]Normy VP'!$C$10:$F$10,-1),MATCH(K357+1,'[1]Normy VP'!$C$11:$F$11,-1),MATCH(K357+1,'[1]Normy VP'!$C$12:$F$12,-1),MATCH(K357+1,'[1]Normy VP'!$C$13:$F$13,-1),MATCH(K357+1,'[1]Normy VP'!$C$14:$F$14,-1),""))),"O")</f>
        <v/>
      </c>
      <c r="Q357" s="24" t="str">
        <f>IF(OR($J357="",$J357="odešel"),IF($F357="žena","",IF(L357="","",(CHOOSE(_xlfn.ARABIC($H357),MATCH(L357+1,'[1]Normy VP'!$G$10:$J$10,-1),MATCH(L357+1,'[1]Normy VP'!$G$11:$J$11,-1),MATCH(L357+1,'[1]Normy VP'!$G$12:$J$12,-1),MATCH(L357+1,'[1]Normy VP'!$G$13:$J$13,-1),MATCH(L357+1,'[1]Normy VP'!$G$14:$J$14,-1),"")))),"O")</f>
        <v/>
      </c>
      <c r="R357" s="34" t="str">
        <f t="shared" si="21"/>
        <v>N</v>
      </c>
      <c r="S357" s="24" t="str">
        <f>IF(OR($J357="",$J357="odešel"),IF(M357="","N",IF($F357="žena",CHOOSE(_xlfn.ARABIC($H357),MATCH(M357+1,'[1]Normy VP'!$G$25:$J$25,-1),MATCH(M357+1,'[1]Normy VP'!$G$26:$J$26,-1),MATCH(M357+1,'[1]Normy VP'!$G$27:$J$27,-1),MATCH(M357+1,'[1]Normy VP'!$G$28:$J$28,-1),MATCH(M357+1,'[1]Normy VP'!$G$29:$J$29,-1),"muž"),(CHOOSE(_xlfn.ARABIC($H357),MATCH(M357+1,'[1]Normy VP'!$K$10:$N$10,-1),MATCH(M357+1,'[1]Normy VP'!$K$11:$N$11,-1),MATCH(M357+1,'[1]Normy VP'!$K$12:$N$12,-1),MATCH(M357+1,'[1]Normy VP'!$K$13:$N$13,-1),MATCH(M357+1,'[1]Normy VP'!$K$14:$N$14,-1),"")))),"O")</f>
        <v>N</v>
      </c>
      <c r="T357" s="34" t="str">
        <f t="shared" si="22"/>
        <v>N</v>
      </c>
      <c r="U357" s="24" t="str">
        <f>IF(OR($J357="",$J357="odešel"),IF(N357="","N",IF($F357="žena",CHOOSE(_xlfn.ARABIC($H357),MATCH(N357+1,'[1]Normy VP'!$K$25:$N$25,-1),MATCH(N357+1,'[1]Normy VP'!$K$26:$N$26,-1),MATCH(N357+1,'[1]Normy VP'!$K$27:$N$27,-1),MATCH(N357+1,'[1]Normy VP'!$K$28:$N$28,-1),MATCH(N357+1,'[1]Normy VP'!$K$29:$N$29,-1),MATCH(N357+1,'[1]Normy VP'!$K$30:$N$30,-1)),CHOOSE(_xlfn.ARABIC($H357),MATCH(N357+1,'[1]Normy VP'!$O$10:$R$10,-1),MATCH(N357+1,'[1]Normy VP'!$O$11:$R$11,-1),MATCH(N357+1,'[1]Normy VP'!$O$12:$R$12,-1),MATCH(N357+1,'[1]Normy VP'!$O$13:$R$13,-1),MATCH(N357+1,'[1]Normy VP'!$O$14:$R$14,-1),MATCH(N357+1,'[1]Normy VP'!$O$15:$R$15,-1)))),"O")</f>
        <v>N</v>
      </c>
      <c r="V357" s="26" t="str">
        <f>IF(OR($J357="",$J357="odešel"),IF(O357="","N",IF($F357="žena",CHOOSE(_xlfn.ARABIC($H357),MATCH(O357-1,'[1]Normy VP'!$O$25:$R$25),MATCH(O357-1,'[1]Normy VP'!$O$26:$R$26),MATCH(O357-1,'[1]Normy VP'!$O$27:$R$27),MATCH(O357-1,'[1]Normy VP'!$O$28:$R$28),MATCH(O357-1,'[1]Normy VP'!$O$29:$R$29),MATCH(O357-1,'[1]Normy VP'!$O$30:$R$30)),CHOOSE(_xlfn.ARABIC($H357),MATCH(O357-1,'[1]Normy VP'!$S$10:$V$10),MATCH(O357-1,'[1]Normy VP'!$S$11:$V$11),MATCH(O357-1,'[1]Normy VP'!$S$12:$V$12),MATCH(O357-1,'[1]Normy VP'!$S$13:$V$13),MATCH(O357-1,'[1]Normy VP'!$S$14:$V$14),MATCH(O357-1,'[1]Normy VP'!$S$15:$V$15)))),"O")</f>
        <v>N</v>
      </c>
      <c r="W357" s="34" t="str">
        <f t="shared" si="23"/>
        <v>N</v>
      </c>
      <c r="X357" s="27" t="str">
        <f>IF(COUNTIF(B357:G357,"")&gt;0,"",IF(COUNTIF([1]PP!$A:$A,A357)=0,"neni v PP",IF(OR(Y357="odešel",VLOOKUP(A357,[1]PP!$A:$W,22,FALSE)="odešel"),"odešel",IF(OR(Y357="N",VLOOKUP(A357,[1]PP!$A:$W,22,FALSE)="N"),"N",IF(OR(Y357="C",VLOOKUP(A357,[1]PP!$A:$W,22,FALSE)="C"),"C",IF(OR(Y357="DZO",VLOOKUP(A357,[1]PP!$A:$W,22,FALSE)="DZO"),"DZO",IF(OR(Y357="mise",Y357="disp.",Y357="končí",Y357="DSC",VLOOKUP(A357,[1]PP!$A:$W,22,FALSE)="mise",VLOOKUP(A357,[1]PP!$A:$W,22,FALSE)="disp.",VLOOKUP(A357,[1]PP!$A:$W,22,FALSE)="končí",VLOOKUP(A357,[1]PP!$A:$W,22,FALSE)="DSC"),"jiné",IF(OR(Y357=4,VLOOKUP(A357,[1]PP!$A:$W,22,FALSE)=4),4,IF(OR(Y357=3,VLOOKUP(A357,[1]PP!$A:$W,22,FALSE)=3),3,IF(OR(Y357=2,VLOOKUP(A357,[1]PP!$A:$W,22,FALSE)=2),2,IF(AND(Y357=1,VLOOKUP(A357,[1]PP!$A:$W,22,FALSE)=1),1)))))))))))</f>
        <v/>
      </c>
      <c r="Y357" s="28" t="str">
        <f>IF(COUNTIF(B357:G357,"")&gt;0,"",IF(COUNTIF([1]PP!$A:$A,A357)=0,"neni v PP",IF(VLOOKUP(A357,[1]PP!$A:$W,8,FALSE)="odešel","odešel",IF(F357="","",IF(J357="",IF(OR(T357=4,W357=4),4,IF(AND(T357="N",W357="N"),"N",IF(OR(T357="N",W357="N"),4,ROUND(AVERAGE(T357,W357),0)))),J357)))))</f>
        <v/>
      </c>
      <c r="Z357" s="29"/>
    </row>
    <row r="358" spans="1:26" ht="16" x14ac:dyDescent="0.35">
      <c r="A358" s="14" t="str">
        <f t="shared" si="20"/>
        <v xml:space="preserve">  </v>
      </c>
      <c r="B358" s="15"/>
      <c r="C358" s="31"/>
      <c r="D358" s="31"/>
      <c r="E358" s="17"/>
      <c r="F358" s="18"/>
      <c r="G358" s="32"/>
      <c r="H358" s="33" t="str">
        <f>IF(G358="","",IF(F358="žena",ROMAN(MATCH(G358+1,'[1]Normy VP'!$Y$27:$Y$33,-1)),ROMAN(MATCH(G358+1,'[1]Normy VP'!$Y$19:$Y$25,-1))))</f>
        <v/>
      </c>
      <c r="I358" s="21"/>
      <c r="J358" s="22"/>
      <c r="K358" s="23"/>
      <c r="L358" s="23"/>
      <c r="M358" s="23"/>
      <c r="N358" s="22"/>
      <c r="O358" s="22"/>
      <c r="P358" s="24" t="str">
        <f>IF(OR($J358="",$J358="odešel"),IF(K358="","",IF($F358="žena",CHOOSE(_xlfn.ARABIC($H358),MATCH(K358+1,'[1]Normy VP'!$C$25:$F$25,-1),MATCH(K358+1,'[1]Normy VP'!$C$26:$F$26,-1),MATCH(K358+1,'[1]Normy VP'!$C$27:$F$27,-1),MATCH(K358+1,'[1]Normy VP'!$C$28:$F$28,-1),MATCH(K358+1,'[1]Normy VP'!$C$29:$F$29,-1),"muž"),CHOOSE(_xlfn.ARABIC($H358),MATCH(K358+1,'[1]Normy VP'!$C$10:$F$10,-1),MATCH(K358+1,'[1]Normy VP'!$C$11:$F$11,-1),MATCH(K358+1,'[1]Normy VP'!$C$12:$F$12,-1),MATCH(K358+1,'[1]Normy VP'!$C$13:$F$13,-1),MATCH(K358+1,'[1]Normy VP'!$C$14:$F$14,-1),""))),"O")</f>
        <v/>
      </c>
      <c r="Q358" s="24" t="str">
        <f>IF(OR($J358="",$J358="odešel"),IF($F358="žena","",IF(L358="","",(CHOOSE(_xlfn.ARABIC($H358),MATCH(L358+1,'[1]Normy VP'!$G$10:$J$10,-1),MATCH(L358+1,'[1]Normy VP'!$G$11:$J$11,-1),MATCH(L358+1,'[1]Normy VP'!$G$12:$J$12,-1),MATCH(L358+1,'[1]Normy VP'!$G$13:$J$13,-1),MATCH(L358+1,'[1]Normy VP'!$G$14:$J$14,-1),"")))),"O")</f>
        <v/>
      </c>
      <c r="R358" s="34" t="str">
        <f t="shared" si="21"/>
        <v>N</v>
      </c>
      <c r="S358" s="24" t="str">
        <f>IF(OR($J358="",$J358="odešel"),IF(M358="","N",IF($F358="žena",CHOOSE(_xlfn.ARABIC($H358),MATCH(M358+1,'[1]Normy VP'!$G$25:$J$25,-1),MATCH(M358+1,'[1]Normy VP'!$G$26:$J$26,-1),MATCH(M358+1,'[1]Normy VP'!$G$27:$J$27,-1),MATCH(M358+1,'[1]Normy VP'!$G$28:$J$28,-1),MATCH(M358+1,'[1]Normy VP'!$G$29:$J$29,-1),"muž"),(CHOOSE(_xlfn.ARABIC($H358),MATCH(M358+1,'[1]Normy VP'!$K$10:$N$10,-1),MATCH(M358+1,'[1]Normy VP'!$K$11:$N$11,-1),MATCH(M358+1,'[1]Normy VP'!$K$12:$N$12,-1),MATCH(M358+1,'[1]Normy VP'!$K$13:$N$13,-1),MATCH(M358+1,'[1]Normy VP'!$K$14:$N$14,-1),"")))),"O")</f>
        <v>N</v>
      </c>
      <c r="T358" s="34" t="str">
        <f t="shared" si="22"/>
        <v>N</v>
      </c>
      <c r="U358" s="24" t="str">
        <f>IF(OR($J358="",$J358="odešel"),IF(N358="","N",IF($F358="žena",CHOOSE(_xlfn.ARABIC($H358),MATCH(N358+1,'[1]Normy VP'!$K$25:$N$25,-1),MATCH(N358+1,'[1]Normy VP'!$K$26:$N$26,-1),MATCH(N358+1,'[1]Normy VP'!$K$27:$N$27,-1),MATCH(N358+1,'[1]Normy VP'!$K$28:$N$28,-1),MATCH(N358+1,'[1]Normy VP'!$K$29:$N$29,-1),MATCH(N358+1,'[1]Normy VP'!$K$30:$N$30,-1)),CHOOSE(_xlfn.ARABIC($H358),MATCH(N358+1,'[1]Normy VP'!$O$10:$R$10,-1),MATCH(N358+1,'[1]Normy VP'!$O$11:$R$11,-1),MATCH(N358+1,'[1]Normy VP'!$O$12:$R$12,-1),MATCH(N358+1,'[1]Normy VP'!$O$13:$R$13,-1),MATCH(N358+1,'[1]Normy VP'!$O$14:$R$14,-1),MATCH(N358+1,'[1]Normy VP'!$O$15:$R$15,-1)))),"O")</f>
        <v>N</v>
      </c>
      <c r="V358" s="26" t="str">
        <f>IF(OR($J358="",$J358="odešel"),IF(O358="","N",IF($F358="žena",CHOOSE(_xlfn.ARABIC($H358),MATCH(O358-1,'[1]Normy VP'!$O$25:$R$25),MATCH(O358-1,'[1]Normy VP'!$O$26:$R$26),MATCH(O358-1,'[1]Normy VP'!$O$27:$R$27),MATCH(O358-1,'[1]Normy VP'!$O$28:$R$28),MATCH(O358-1,'[1]Normy VP'!$O$29:$R$29),MATCH(O358-1,'[1]Normy VP'!$O$30:$R$30)),CHOOSE(_xlfn.ARABIC($H358),MATCH(O358-1,'[1]Normy VP'!$S$10:$V$10),MATCH(O358-1,'[1]Normy VP'!$S$11:$V$11),MATCH(O358-1,'[1]Normy VP'!$S$12:$V$12),MATCH(O358-1,'[1]Normy VP'!$S$13:$V$13),MATCH(O358-1,'[1]Normy VP'!$S$14:$V$14),MATCH(O358-1,'[1]Normy VP'!$S$15:$V$15)))),"O")</f>
        <v>N</v>
      </c>
      <c r="W358" s="34" t="str">
        <f t="shared" si="23"/>
        <v>N</v>
      </c>
      <c r="X358" s="27" t="str">
        <f>IF(COUNTIF(B358:G358,"")&gt;0,"",IF(COUNTIF([1]PP!$A:$A,A358)=0,"neni v PP",IF(OR(Y358="odešel",VLOOKUP(A358,[1]PP!$A:$W,22,FALSE)="odešel"),"odešel",IF(OR(Y358="N",VLOOKUP(A358,[1]PP!$A:$W,22,FALSE)="N"),"N",IF(OR(Y358="C",VLOOKUP(A358,[1]PP!$A:$W,22,FALSE)="C"),"C",IF(OR(Y358="DZO",VLOOKUP(A358,[1]PP!$A:$W,22,FALSE)="DZO"),"DZO",IF(OR(Y358="mise",Y358="disp.",Y358="končí",Y358="DSC",VLOOKUP(A358,[1]PP!$A:$W,22,FALSE)="mise",VLOOKUP(A358,[1]PP!$A:$W,22,FALSE)="disp.",VLOOKUP(A358,[1]PP!$A:$W,22,FALSE)="končí",VLOOKUP(A358,[1]PP!$A:$W,22,FALSE)="DSC"),"jiné",IF(OR(Y358=4,VLOOKUP(A358,[1]PP!$A:$W,22,FALSE)=4),4,IF(OR(Y358=3,VLOOKUP(A358,[1]PP!$A:$W,22,FALSE)=3),3,IF(OR(Y358=2,VLOOKUP(A358,[1]PP!$A:$W,22,FALSE)=2),2,IF(AND(Y358=1,VLOOKUP(A358,[1]PP!$A:$W,22,FALSE)=1),1)))))))))))</f>
        <v/>
      </c>
      <c r="Y358" s="28" t="str">
        <f>IF(COUNTIF(B358:G358,"")&gt;0,"",IF(COUNTIF([1]PP!$A:$A,A358)=0,"neni v PP",IF(VLOOKUP(A358,[1]PP!$A:$W,8,FALSE)="odešel","odešel",IF(F358="","",IF(J358="",IF(OR(T358=4,W358=4),4,IF(AND(T358="N",W358="N"),"N",IF(OR(T358="N",W358="N"),4,ROUND(AVERAGE(T358,W358),0)))),J358)))))</f>
        <v/>
      </c>
      <c r="Z358" s="29"/>
    </row>
    <row r="359" spans="1:26" ht="16" x14ac:dyDescent="0.35">
      <c r="A359" s="14" t="str">
        <f t="shared" si="20"/>
        <v xml:space="preserve">  </v>
      </c>
      <c r="B359" s="15"/>
      <c r="C359" s="31"/>
      <c r="D359" s="31"/>
      <c r="E359" s="17"/>
      <c r="F359" s="18"/>
      <c r="G359" s="32"/>
      <c r="H359" s="33" t="str">
        <f>IF(G359="","",IF(F359="žena",ROMAN(MATCH(G359+1,'[1]Normy VP'!$Y$27:$Y$33,-1)),ROMAN(MATCH(G359+1,'[1]Normy VP'!$Y$19:$Y$25,-1))))</f>
        <v/>
      </c>
      <c r="I359" s="21"/>
      <c r="J359" s="22"/>
      <c r="K359" s="23"/>
      <c r="L359" s="23"/>
      <c r="M359" s="23"/>
      <c r="N359" s="22"/>
      <c r="O359" s="22"/>
      <c r="P359" s="24" t="str">
        <f>IF(OR($J359="",$J359="odešel"),IF(K359="","",IF($F359="žena",CHOOSE(_xlfn.ARABIC($H359),MATCH(K359+1,'[1]Normy VP'!$C$25:$F$25,-1),MATCH(K359+1,'[1]Normy VP'!$C$26:$F$26,-1),MATCH(K359+1,'[1]Normy VP'!$C$27:$F$27,-1),MATCH(K359+1,'[1]Normy VP'!$C$28:$F$28,-1),MATCH(K359+1,'[1]Normy VP'!$C$29:$F$29,-1),"muž"),CHOOSE(_xlfn.ARABIC($H359),MATCH(K359+1,'[1]Normy VP'!$C$10:$F$10,-1),MATCH(K359+1,'[1]Normy VP'!$C$11:$F$11,-1),MATCH(K359+1,'[1]Normy VP'!$C$12:$F$12,-1),MATCH(K359+1,'[1]Normy VP'!$C$13:$F$13,-1),MATCH(K359+1,'[1]Normy VP'!$C$14:$F$14,-1),""))),"O")</f>
        <v/>
      </c>
      <c r="Q359" s="24" t="str">
        <f>IF(OR($J359="",$J359="odešel"),IF($F359="žena","",IF(L359="","",(CHOOSE(_xlfn.ARABIC($H359),MATCH(L359+1,'[1]Normy VP'!$G$10:$J$10,-1),MATCH(L359+1,'[1]Normy VP'!$G$11:$J$11,-1),MATCH(L359+1,'[1]Normy VP'!$G$12:$J$12,-1),MATCH(L359+1,'[1]Normy VP'!$G$13:$J$13,-1),MATCH(L359+1,'[1]Normy VP'!$G$14:$J$14,-1),"")))),"O")</f>
        <v/>
      </c>
      <c r="R359" s="34" t="str">
        <f t="shared" si="21"/>
        <v>N</v>
      </c>
      <c r="S359" s="24" t="str">
        <f>IF(OR($J359="",$J359="odešel"),IF(M359="","N",IF($F359="žena",CHOOSE(_xlfn.ARABIC($H359),MATCH(M359+1,'[1]Normy VP'!$G$25:$J$25,-1),MATCH(M359+1,'[1]Normy VP'!$G$26:$J$26,-1),MATCH(M359+1,'[1]Normy VP'!$G$27:$J$27,-1),MATCH(M359+1,'[1]Normy VP'!$G$28:$J$28,-1),MATCH(M359+1,'[1]Normy VP'!$G$29:$J$29,-1),"muž"),(CHOOSE(_xlfn.ARABIC($H359),MATCH(M359+1,'[1]Normy VP'!$K$10:$N$10,-1),MATCH(M359+1,'[1]Normy VP'!$K$11:$N$11,-1),MATCH(M359+1,'[1]Normy VP'!$K$12:$N$12,-1),MATCH(M359+1,'[1]Normy VP'!$K$13:$N$13,-1),MATCH(M359+1,'[1]Normy VP'!$K$14:$N$14,-1),"")))),"O")</f>
        <v>N</v>
      </c>
      <c r="T359" s="34" t="str">
        <f t="shared" si="22"/>
        <v>N</v>
      </c>
      <c r="U359" s="24" t="str">
        <f>IF(OR($J359="",$J359="odešel"),IF(N359="","N",IF($F359="žena",CHOOSE(_xlfn.ARABIC($H359),MATCH(N359+1,'[1]Normy VP'!$K$25:$N$25,-1),MATCH(N359+1,'[1]Normy VP'!$K$26:$N$26,-1),MATCH(N359+1,'[1]Normy VP'!$K$27:$N$27,-1),MATCH(N359+1,'[1]Normy VP'!$K$28:$N$28,-1),MATCH(N359+1,'[1]Normy VP'!$K$29:$N$29,-1),MATCH(N359+1,'[1]Normy VP'!$K$30:$N$30,-1)),CHOOSE(_xlfn.ARABIC($H359),MATCH(N359+1,'[1]Normy VP'!$O$10:$R$10,-1),MATCH(N359+1,'[1]Normy VP'!$O$11:$R$11,-1),MATCH(N359+1,'[1]Normy VP'!$O$12:$R$12,-1),MATCH(N359+1,'[1]Normy VP'!$O$13:$R$13,-1),MATCH(N359+1,'[1]Normy VP'!$O$14:$R$14,-1),MATCH(N359+1,'[1]Normy VP'!$O$15:$R$15,-1)))),"O")</f>
        <v>N</v>
      </c>
      <c r="V359" s="26" t="str">
        <f>IF(OR($J359="",$J359="odešel"),IF(O359="","N",IF($F359="žena",CHOOSE(_xlfn.ARABIC($H359),MATCH(O359-1,'[1]Normy VP'!$O$25:$R$25),MATCH(O359-1,'[1]Normy VP'!$O$26:$R$26),MATCH(O359-1,'[1]Normy VP'!$O$27:$R$27),MATCH(O359-1,'[1]Normy VP'!$O$28:$R$28),MATCH(O359-1,'[1]Normy VP'!$O$29:$R$29),MATCH(O359-1,'[1]Normy VP'!$O$30:$R$30)),CHOOSE(_xlfn.ARABIC($H359),MATCH(O359-1,'[1]Normy VP'!$S$10:$V$10),MATCH(O359-1,'[1]Normy VP'!$S$11:$V$11),MATCH(O359-1,'[1]Normy VP'!$S$12:$V$12),MATCH(O359-1,'[1]Normy VP'!$S$13:$V$13),MATCH(O359-1,'[1]Normy VP'!$S$14:$V$14),MATCH(O359-1,'[1]Normy VP'!$S$15:$V$15)))),"O")</f>
        <v>N</v>
      </c>
      <c r="W359" s="34" t="str">
        <f t="shared" si="23"/>
        <v>N</v>
      </c>
      <c r="X359" s="27" t="str">
        <f>IF(COUNTIF(B359:G359,"")&gt;0,"",IF(COUNTIF([1]PP!$A:$A,A359)=0,"neni v PP",IF(OR(Y359="odešel",VLOOKUP(A359,[1]PP!$A:$W,22,FALSE)="odešel"),"odešel",IF(OR(Y359="N",VLOOKUP(A359,[1]PP!$A:$W,22,FALSE)="N"),"N",IF(OR(Y359="C",VLOOKUP(A359,[1]PP!$A:$W,22,FALSE)="C"),"C",IF(OR(Y359="DZO",VLOOKUP(A359,[1]PP!$A:$W,22,FALSE)="DZO"),"DZO",IF(OR(Y359="mise",Y359="disp.",Y359="končí",Y359="DSC",VLOOKUP(A359,[1]PP!$A:$W,22,FALSE)="mise",VLOOKUP(A359,[1]PP!$A:$W,22,FALSE)="disp.",VLOOKUP(A359,[1]PP!$A:$W,22,FALSE)="končí",VLOOKUP(A359,[1]PP!$A:$W,22,FALSE)="DSC"),"jiné",IF(OR(Y359=4,VLOOKUP(A359,[1]PP!$A:$W,22,FALSE)=4),4,IF(OR(Y359=3,VLOOKUP(A359,[1]PP!$A:$W,22,FALSE)=3),3,IF(OR(Y359=2,VLOOKUP(A359,[1]PP!$A:$W,22,FALSE)=2),2,IF(AND(Y359=1,VLOOKUP(A359,[1]PP!$A:$W,22,FALSE)=1),1)))))))))))</f>
        <v/>
      </c>
      <c r="Y359" s="28" t="str">
        <f>IF(COUNTIF(B359:G359,"")&gt;0,"",IF(COUNTIF([1]PP!$A:$A,A359)=0,"neni v PP",IF(VLOOKUP(A359,[1]PP!$A:$W,8,FALSE)="odešel","odešel",IF(F359="","",IF(J359="",IF(OR(T359=4,W359=4),4,IF(AND(T359="N",W359="N"),"N",IF(OR(T359="N",W359="N"),4,ROUND(AVERAGE(T359,W359),0)))),J359)))))</f>
        <v/>
      </c>
      <c r="Z359" s="29"/>
    </row>
    <row r="360" spans="1:26" ht="16" x14ac:dyDescent="0.35">
      <c r="A360" s="14" t="str">
        <f t="shared" si="20"/>
        <v xml:space="preserve">  </v>
      </c>
      <c r="B360" s="15"/>
      <c r="C360" s="31"/>
      <c r="D360" s="31"/>
      <c r="E360" s="17"/>
      <c r="F360" s="18"/>
      <c r="G360" s="32"/>
      <c r="H360" s="33" t="str">
        <f>IF(G360="","",IF(F360="žena",ROMAN(MATCH(G360+1,'[1]Normy VP'!$Y$27:$Y$33,-1)),ROMAN(MATCH(G360+1,'[1]Normy VP'!$Y$19:$Y$25,-1))))</f>
        <v/>
      </c>
      <c r="I360" s="21"/>
      <c r="J360" s="22"/>
      <c r="K360" s="23"/>
      <c r="L360" s="23"/>
      <c r="M360" s="23"/>
      <c r="N360" s="22"/>
      <c r="O360" s="22"/>
      <c r="P360" s="24" t="str">
        <f>IF(OR($J360="",$J360="odešel"),IF(K360="","",IF($F360="žena",CHOOSE(_xlfn.ARABIC($H360),MATCH(K360+1,'[1]Normy VP'!$C$25:$F$25,-1),MATCH(K360+1,'[1]Normy VP'!$C$26:$F$26,-1),MATCH(K360+1,'[1]Normy VP'!$C$27:$F$27,-1),MATCH(K360+1,'[1]Normy VP'!$C$28:$F$28,-1),MATCH(K360+1,'[1]Normy VP'!$C$29:$F$29,-1),"muž"),CHOOSE(_xlfn.ARABIC($H360),MATCH(K360+1,'[1]Normy VP'!$C$10:$F$10,-1),MATCH(K360+1,'[1]Normy VP'!$C$11:$F$11,-1),MATCH(K360+1,'[1]Normy VP'!$C$12:$F$12,-1),MATCH(K360+1,'[1]Normy VP'!$C$13:$F$13,-1),MATCH(K360+1,'[1]Normy VP'!$C$14:$F$14,-1),""))),"O")</f>
        <v/>
      </c>
      <c r="Q360" s="24" t="str">
        <f>IF(OR($J360="",$J360="odešel"),IF($F360="žena","",IF(L360="","",(CHOOSE(_xlfn.ARABIC($H360),MATCH(L360+1,'[1]Normy VP'!$G$10:$J$10,-1),MATCH(L360+1,'[1]Normy VP'!$G$11:$J$11,-1),MATCH(L360+1,'[1]Normy VP'!$G$12:$J$12,-1),MATCH(L360+1,'[1]Normy VP'!$G$13:$J$13,-1),MATCH(L360+1,'[1]Normy VP'!$G$14:$J$14,-1),"")))),"O")</f>
        <v/>
      </c>
      <c r="R360" s="34" t="str">
        <f t="shared" si="21"/>
        <v>N</v>
      </c>
      <c r="S360" s="24" t="str">
        <f>IF(OR($J360="",$J360="odešel"),IF(M360="","N",IF($F360="žena",CHOOSE(_xlfn.ARABIC($H360),MATCH(M360+1,'[1]Normy VP'!$G$25:$J$25,-1),MATCH(M360+1,'[1]Normy VP'!$G$26:$J$26,-1),MATCH(M360+1,'[1]Normy VP'!$G$27:$J$27,-1),MATCH(M360+1,'[1]Normy VP'!$G$28:$J$28,-1),MATCH(M360+1,'[1]Normy VP'!$G$29:$J$29,-1),"muž"),(CHOOSE(_xlfn.ARABIC($H360),MATCH(M360+1,'[1]Normy VP'!$K$10:$N$10,-1),MATCH(M360+1,'[1]Normy VP'!$K$11:$N$11,-1),MATCH(M360+1,'[1]Normy VP'!$K$12:$N$12,-1),MATCH(M360+1,'[1]Normy VP'!$K$13:$N$13,-1),MATCH(M360+1,'[1]Normy VP'!$K$14:$N$14,-1),"")))),"O")</f>
        <v>N</v>
      </c>
      <c r="T360" s="34" t="str">
        <f t="shared" si="22"/>
        <v>N</v>
      </c>
      <c r="U360" s="24" t="str">
        <f>IF(OR($J360="",$J360="odešel"),IF(N360="","N",IF($F360="žena",CHOOSE(_xlfn.ARABIC($H360),MATCH(N360+1,'[1]Normy VP'!$K$25:$N$25,-1),MATCH(N360+1,'[1]Normy VP'!$K$26:$N$26,-1),MATCH(N360+1,'[1]Normy VP'!$K$27:$N$27,-1),MATCH(N360+1,'[1]Normy VP'!$K$28:$N$28,-1),MATCH(N360+1,'[1]Normy VP'!$K$29:$N$29,-1),MATCH(N360+1,'[1]Normy VP'!$K$30:$N$30,-1)),CHOOSE(_xlfn.ARABIC($H360),MATCH(N360+1,'[1]Normy VP'!$O$10:$R$10,-1),MATCH(N360+1,'[1]Normy VP'!$O$11:$R$11,-1),MATCH(N360+1,'[1]Normy VP'!$O$12:$R$12,-1),MATCH(N360+1,'[1]Normy VP'!$O$13:$R$13,-1),MATCH(N360+1,'[1]Normy VP'!$O$14:$R$14,-1),MATCH(N360+1,'[1]Normy VP'!$O$15:$R$15,-1)))),"O")</f>
        <v>N</v>
      </c>
      <c r="V360" s="26" t="str">
        <f>IF(OR($J360="",$J360="odešel"),IF(O360="","N",IF($F360="žena",CHOOSE(_xlfn.ARABIC($H360),MATCH(O360-1,'[1]Normy VP'!$O$25:$R$25),MATCH(O360-1,'[1]Normy VP'!$O$26:$R$26),MATCH(O360-1,'[1]Normy VP'!$O$27:$R$27),MATCH(O360-1,'[1]Normy VP'!$O$28:$R$28),MATCH(O360-1,'[1]Normy VP'!$O$29:$R$29),MATCH(O360-1,'[1]Normy VP'!$O$30:$R$30)),CHOOSE(_xlfn.ARABIC($H360),MATCH(O360-1,'[1]Normy VP'!$S$10:$V$10),MATCH(O360-1,'[1]Normy VP'!$S$11:$V$11),MATCH(O360-1,'[1]Normy VP'!$S$12:$V$12),MATCH(O360-1,'[1]Normy VP'!$S$13:$V$13),MATCH(O360-1,'[1]Normy VP'!$S$14:$V$14),MATCH(O360-1,'[1]Normy VP'!$S$15:$V$15)))),"O")</f>
        <v>N</v>
      </c>
      <c r="W360" s="34" t="str">
        <f t="shared" si="23"/>
        <v>N</v>
      </c>
      <c r="X360" s="27" t="str">
        <f>IF(COUNTIF(B360:G360,"")&gt;0,"",IF(COUNTIF([1]PP!$A:$A,A360)=0,"neni v PP",IF(OR(Y360="odešel",VLOOKUP(A360,[1]PP!$A:$W,22,FALSE)="odešel"),"odešel",IF(OR(Y360="N",VLOOKUP(A360,[1]PP!$A:$W,22,FALSE)="N"),"N",IF(OR(Y360="C",VLOOKUP(A360,[1]PP!$A:$W,22,FALSE)="C"),"C",IF(OR(Y360="DZO",VLOOKUP(A360,[1]PP!$A:$W,22,FALSE)="DZO"),"DZO",IF(OR(Y360="mise",Y360="disp.",Y360="končí",Y360="DSC",VLOOKUP(A360,[1]PP!$A:$W,22,FALSE)="mise",VLOOKUP(A360,[1]PP!$A:$W,22,FALSE)="disp.",VLOOKUP(A360,[1]PP!$A:$W,22,FALSE)="končí",VLOOKUP(A360,[1]PP!$A:$W,22,FALSE)="DSC"),"jiné",IF(OR(Y360=4,VLOOKUP(A360,[1]PP!$A:$W,22,FALSE)=4),4,IF(OR(Y360=3,VLOOKUP(A360,[1]PP!$A:$W,22,FALSE)=3),3,IF(OR(Y360=2,VLOOKUP(A360,[1]PP!$A:$W,22,FALSE)=2),2,IF(AND(Y360=1,VLOOKUP(A360,[1]PP!$A:$W,22,FALSE)=1),1)))))))))))</f>
        <v/>
      </c>
      <c r="Y360" s="28" t="str">
        <f>IF(COUNTIF(B360:G360,"")&gt;0,"",IF(COUNTIF([1]PP!$A:$A,A360)=0,"neni v PP",IF(VLOOKUP(A360,[1]PP!$A:$W,8,FALSE)="odešel","odešel",IF(F360="","",IF(J360="",IF(OR(T360=4,W360=4),4,IF(AND(T360="N",W360="N"),"N",IF(OR(T360="N",W360="N"),4,ROUND(AVERAGE(T360,W360),0)))),J360)))))</f>
        <v/>
      </c>
      <c r="Z360" s="29"/>
    </row>
    <row r="361" spans="1:26" ht="16" x14ac:dyDescent="0.35">
      <c r="A361" s="14" t="str">
        <f t="shared" si="20"/>
        <v xml:space="preserve">  </v>
      </c>
      <c r="B361" s="15"/>
      <c r="C361" s="31"/>
      <c r="D361" s="31"/>
      <c r="E361" s="17"/>
      <c r="F361" s="18"/>
      <c r="G361" s="32"/>
      <c r="H361" s="33" t="str">
        <f>IF(G361="","",IF(F361="žena",ROMAN(MATCH(G361+1,'[1]Normy VP'!$Y$27:$Y$33,-1)),ROMAN(MATCH(G361+1,'[1]Normy VP'!$Y$19:$Y$25,-1))))</f>
        <v/>
      </c>
      <c r="I361" s="21"/>
      <c r="J361" s="22"/>
      <c r="K361" s="23"/>
      <c r="L361" s="23"/>
      <c r="M361" s="23"/>
      <c r="N361" s="22"/>
      <c r="O361" s="22"/>
      <c r="P361" s="24" t="str">
        <f>IF(OR($J361="",$J361="odešel"),IF(K361="","",IF($F361="žena",CHOOSE(_xlfn.ARABIC($H361),MATCH(K361+1,'[1]Normy VP'!$C$25:$F$25,-1),MATCH(K361+1,'[1]Normy VP'!$C$26:$F$26,-1),MATCH(K361+1,'[1]Normy VP'!$C$27:$F$27,-1),MATCH(K361+1,'[1]Normy VP'!$C$28:$F$28,-1),MATCH(K361+1,'[1]Normy VP'!$C$29:$F$29,-1),"muž"),CHOOSE(_xlfn.ARABIC($H361),MATCH(K361+1,'[1]Normy VP'!$C$10:$F$10,-1),MATCH(K361+1,'[1]Normy VP'!$C$11:$F$11,-1),MATCH(K361+1,'[1]Normy VP'!$C$12:$F$12,-1),MATCH(K361+1,'[1]Normy VP'!$C$13:$F$13,-1),MATCH(K361+1,'[1]Normy VP'!$C$14:$F$14,-1),""))),"O")</f>
        <v/>
      </c>
      <c r="Q361" s="24" t="str">
        <f>IF(OR($J361="",$J361="odešel"),IF($F361="žena","",IF(L361="","",(CHOOSE(_xlfn.ARABIC($H361),MATCH(L361+1,'[1]Normy VP'!$G$10:$J$10,-1),MATCH(L361+1,'[1]Normy VP'!$G$11:$J$11,-1),MATCH(L361+1,'[1]Normy VP'!$G$12:$J$12,-1),MATCH(L361+1,'[1]Normy VP'!$G$13:$J$13,-1),MATCH(L361+1,'[1]Normy VP'!$G$14:$J$14,-1),"")))),"O")</f>
        <v/>
      </c>
      <c r="R361" s="34" t="str">
        <f t="shared" si="21"/>
        <v>N</v>
      </c>
      <c r="S361" s="24" t="str">
        <f>IF(OR($J361="",$J361="odešel"),IF(M361="","N",IF($F361="žena",CHOOSE(_xlfn.ARABIC($H361),MATCH(M361+1,'[1]Normy VP'!$G$25:$J$25,-1),MATCH(M361+1,'[1]Normy VP'!$G$26:$J$26,-1),MATCH(M361+1,'[1]Normy VP'!$G$27:$J$27,-1),MATCH(M361+1,'[1]Normy VP'!$G$28:$J$28,-1),MATCH(M361+1,'[1]Normy VP'!$G$29:$J$29,-1),"muž"),(CHOOSE(_xlfn.ARABIC($H361),MATCH(M361+1,'[1]Normy VP'!$K$10:$N$10,-1),MATCH(M361+1,'[1]Normy VP'!$K$11:$N$11,-1),MATCH(M361+1,'[1]Normy VP'!$K$12:$N$12,-1),MATCH(M361+1,'[1]Normy VP'!$K$13:$N$13,-1),MATCH(M361+1,'[1]Normy VP'!$K$14:$N$14,-1),"")))),"O")</f>
        <v>N</v>
      </c>
      <c r="T361" s="34" t="str">
        <f t="shared" si="22"/>
        <v>N</v>
      </c>
      <c r="U361" s="24" t="str">
        <f>IF(OR($J361="",$J361="odešel"),IF(N361="","N",IF($F361="žena",CHOOSE(_xlfn.ARABIC($H361),MATCH(N361+1,'[1]Normy VP'!$K$25:$N$25,-1),MATCH(N361+1,'[1]Normy VP'!$K$26:$N$26,-1),MATCH(N361+1,'[1]Normy VP'!$K$27:$N$27,-1),MATCH(N361+1,'[1]Normy VP'!$K$28:$N$28,-1),MATCH(N361+1,'[1]Normy VP'!$K$29:$N$29,-1),MATCH(N361+1,'[1]Normy VP'!$K$30:$N$30,-1)),CHOOSE(_xlfn.ARABIC($H361),MATCH(N361+1,'[1]Normy VP'!$O$10:$R$10,-1),MATCH(N361+1,'[1]Normy VP'!$O$11:$R$11,-1),MATCH(N361+1,'[1]Normy VP'!$O$12:$R$12,-1),MATCH(N361+1,'[1]Normy VP'!$O$13:$R$13,-1),MATCH(N361+1,'[1]Normy VP'!$O$14:$R$14,-1),MATCH(N361+1,'[1]Normy VP'!$O$15:$R$15,-1)))),"O")</f>
        <v>N</v>
      </c>
      <c r="V361" s="26" t="str">
        <f>IF(OR($J361="",$J361="odešel"),IF(O361="","N",IF($F361="žena",CHOOSE(_xlfn.ARABIC($H361),MATCH(O361-1,'[1]Normy VP'!$O$25:$R$25),MATCH(O361-1,'[1]Normy VP'!$O$26:$R$26),MATCH(O361-1,'[1]Normy VP'!$O$27:$R$27),MATCH(O361-1,'[1]Normy VP'!$O$28:$R$28),MATCH(O361-1,'[1]Normy VP'!$O$29:$R$29),MATCH(O361-1,'[1]Normy VP'!$O$30:$R$30)),CHOOSE(_xlfn.ARABIC($H361),MATCH(O361-1,'[1]Normy VP'!$S$10:$V$10),MATCH(O361-1,'[1]Normy VP'!$S$11:$V$11),MATCH(O361-1,'[1]Normy VP'!$S$12:$V$12),MATCH(O361-1,'[1]Normy VP'!$S$13:$V$13),MATCH(O361-1,'[1]Normy VP'!$S$14:$V$14),MATCH(O361-1,'[1]Normy VP'!$S$15:$V$15)))),"O")</f>
        <v>N</v>
      </c>
      <c r="W361" s="34" t="str">
        <f t="shared" si="23"/>
        <v>N</v>
      </c>
      <c r="X361" s="27" t="str">
        <f>IF(COUNTIF(B361:G361,"")&gt;0,"",IF(COUNTIF([1]PP!$A:$A,A361)=0,"neni v PP",IF(OR(Y361="odešel",VLOOKUP(A361,[1]PP!$A:$W,22,FALSE)="odešel"),"odešel",IF(OR(Y361="N",VLOOKUP(A361,[1]PP!$A:$W,22,FALSE)="N"),"N",IF(OR(Y361="C",VLOOKUP(A361,[1]PP!$A:$W,22,FALSE)="C"),"C",IF(OR(Y361="DZO",VLOOKUP(A361,[1]PP!$A:$W,22,FALSE)="DZO"),"DZO",IF(OR(Y361="mise",Y361="disp.",Y361="končí",Y361="DSC",VLOOKUP(A361,[1]PP!$A:$W,22,FALSE)="mise",VLOOKUP(A361,[1]PP!$A:$W,22,FALSE)="disp.",VLOOKUP(A361,[1]PP!$A:$W,22,FALSE)="končí",VLOOKUP(A361,[1]PP!$A:$W,22,FALSE)="DSC"),"jiné",IF(OR(Y361=4,VLOOKUP(A361,[1]PP!$A:$W,22,FALSE)=4),4,IF(OR(Y361=3,VLOOKUP(A361,[1]PP!$A:$W,22,FALSE)=3),3,IF(OR(Y361=2,VLOOKUP(A361,[1]PP!$A:$W,22,FALSE)=2),2,IF(AND(Y361=1,VLOOKUP(A361,[1]PP!$A:$W,22,FALSE)=1),1)))))))))))</f>
        <v/>
      </c>
      <c r="Y361" s="28" t="str">
        <f>IF(COUNTIF(B361:G361,"")&gt;0,"",IF(COUNTIF([1]PP!$A:$A,A361)=0,"neni v PP",IF(VLOOKUP(A361,[1]PP!$A:$W,8,FALSE)="odešel","odešel",IF(F361="","",IF(J361="",IF(OR(T361=4,W361=4),4,IF(AND(T361="N",W361="N"),"N",IF(OR(T361="N",W361="N"),4,ROUND(AVERAGE(T361,W361),0)))),J361)))))</f>
        <v/>
      </c>
      <c r="Z361" s="29"/>
    </row>
    <row r="362" spans="1:26" ht="16" x14ac:dyDescent="0.35">
      <c r="A362" s="14" t="str">
        <f t="shared" si="20"/>
        <v xml:space="preserve">  </v>
      </c>
      <c r="B362" s="15"/>
      <c r="C362" s="31"/>
      <c r="D362" s="31"/>
      <c r="E362" s="17"/>
      <c r="F362" s="18"/>
      <c r="G362" s="32"/>
      <c r="H362" s="33" t="str">
        <f>IF(G362="","",IF(F362="žena",ROMAN(MATCH(G362+1,'[1]Normy VP'!$Y$27:$Y$33,-1)),ROMAN(MATCH(G362+1,'[1]Normy VP'!$Y$19:$Y$25,-1))))</f>
        <v/>
      </c>
      <c r="I362" s="21"/>
      <c r="J362" s="22"/>
      <c r="K362" s="23"/>
      <c r="L362" s="23"/>
      <c r="M362" s="23"/>
      <c r="N362" s="22"/>
      <c r="O362" s="22"/>
      <c r="P362" s="24" t="str">
        <f>IF(OR($J362="",$J362="odešel"),IF(K362="","",IF($F362="žena",CHOOSE(_xlfn.ARABIC($H362),MATCH(K362+1,'[1]Normy VP'!$C$25:$F$25,-1),MATCH(K362+1,'[1]Normy VP'!$C$26:$F$26,-1),MATCH(K362+1,'[1]Normy VP'!$C$27:$F$27,-1),MATCH(K362+1,'[1]Normy VP'!$C$28:$F$28,-1),MATCH(K362+1,'[1]Normy VP'!$C$29:$F$29,-1),"muž"),CHOOSE(_xlfn.ARABIC($H362),MATCH(K362+1,'[1]Normy VP'!$C$10:$F$10,-1),MATCH(K362+1,'[1]Normy VP'!$C$11:$F$11,-1),MATCH(K362+1,'[1]Normy VP'!$C$12:$F$12,-1),MATCH(K362+1,'[1]Normy VP'!$C$13:$F$13,-1),MATCH(K362+1,'[1]Normy VP'!$C$14:$F$14,-1),""))),"O")</f>
        <v/>
      </c>
      <c r="Q362" s="24" t="str">
        <f>IF(OR($J362="",$J362="odešel"),IF($F362="žena","",IF(L362="","",(CHOOSE(_xlfn.ARABIC($H362),MATCH(L362+1,'[1]Normy VP'!$G$10:$J$10,-1),MATCH(L362+1,'[1]Normy VP'!$G$11:$J$11,-1),MATCH(L362+1,'[1]Normy VP'!$G$12:$J$12,-1),MATCH(L362+1,'[1]Normy VP'!$G$13:$J$13,-1),MATCH(L362+1,'[1]Normy VP'!$G$14:$J$14,-1),"")))),"O")</f>
        <v/>
      </c>
      <c r="R362" s="34" t="str">
        <f t="shared" si="21"/>
        <v>N</v>
      </c>
      <c r="S362" s="24" t="str">
        <f>IF(OR($J362="",$J362="odešel"),IF(M362="","N",IF($F362="žena",CHOOSE(_xlfn.ARABIC($H362),MATCH(M362+1,'[1]Normy VP'!$G$25:$J$25,-1),MATCH(M362+1,'[1]Normy VP'!$G$26:$J$26,-1),MATCH(M362+1,'[1]Normy VP'!$G$27:$J$27,-1),MATCH(M362+1,'[1]Normy VP'!$G$28:$J$28,-1),MATCH(M362+1,'[1]Normy VP'!$G$29:$J$29,-1),"muž"),(CHOOSE(_xlfn.ARABIC($H362),MATCH(M362+1,'[1]Normy VP'!$K$10:$N$10,-1),MATCH(M362+1,'[1]Normy VP'!$K$11:$N$11,-1),MATCH(M362+1,'[1]Normy VP'!$K$12:$N$12,-1),MATCH(M362+1,'[1]Normy VP'!$K$13:$N$13,-1),MATCH(M362+1,'[1]Normy VP'!$K$14:$N$14,-1),"")))),"O")</f>
        <v>N</v>
      </c>
      <c r="T362" s="34" t="str">
        <f t="shared" si="22"/>
        <v>N</v>
      </c>
      <c r="U362" s="24" t="str">
        <f>IF(OR($J362="",$J362="odešel"),IF(N362="","N",IF($F362="žena",CHOOSE(_xlfn.ARABIC($H362),MATCH(N362+1,'[1]Normy VP'!$K$25:$N$25,-1),MATCH(N362+1,'[1]Normy VP'!$K$26:$N$26,-1),MATCH(N362+1,'[1]Normy VP'!$K$27:$N$27,-1),MATCH(N362+1,'[1]Normy VP'!$K$28:$N$28,-1),MATCH(N362+1,'[1]Normy VP'!$K$29:$N$29,-1),MATCH(N362+1,'[1]Normy VP'!$K$30:$N$30,-1)),CHOOSE(_xlfn.ARABIC($H362),MATCH(N362+1,'[1]Normy VP'!$O$10:$R$10,-1),MATCH(N362+1,'[1]Normy VP'!$O$11:$R$11,-1),MATCH(N362+1,'[1]Normy VP'!$O$12:$R$12,-1),MATCH(N362+1,'[1]Normy VP'!$O$13:$R$13,-1),MATCH(N362+1,'[1]Normy VP'!$O$14:$R$14,-1),MATCH(N362+1,'[1]Normy VP'!$O$15:$R$15,-1)))),"O")</f>
        <v>N</v>
      </c>
      <c r="V362" s="26" t="str">
        <f>IF(OR($J362="",$J362="odešel"),IF(O362="","N",IF($F362="žena",CHOOSE(_xlfn.ARABIC($H362),MATCH(O362-1,'[1]Normy VP'!$O$25:$R$25),MATCH(O362-1,'[1]Normy VP'!$O$26:$R$26),MATCH(O362-1,'[1]Normy VP'!$O$27:$R$27),MATCH(O362-1,'[1]Normy VP'!$O$28:$R$28),MATCH(O362-1,'[1]Normy VP'!$O$29:$R$29),MATCH(O362-1,'[1]Normy VP'!$O$30:$R$30)),CHOOSE(_xlfn.ARABIC($H362),MATCH(O362-1,'[1]Normy VP'!$S$10:$V$10),MATCH(O362-1,'[1]Normy VP'!$S$11:$V$11),MATCH(O362-1,'[1]Normy VP'!$S$12:$V$12),MATCH(O362-1,'[1]Normy VP'!$S$13:$V$13),MATCH(O362-1,'[1]Normy VP'!$S$14:$V$14),MATCH(O362-1,'[1]Normy VP'!$S$15:$V$15)))),"O")</f>
        <v>N</v>
      </c>
      <c r="W362" s="34" t="str">
        <f t="shared" si="23"/>
        <v>N</v>
      </c>
      <c r="X362" s="27" t="str">
        <f>IF(COUNTIF(B362:G362,"")&gt;0,"",IF(COUNTIF([1]PP!$A:$A,A362)=0,"neni v PP",IF(OR(Y362="odešel",VLOOKUP(A362,[1]PP!$A:$W,22,FALSE)="odešel"),"odešel",IF(OR(Y362="N",VLOOKUP(A362,[1]PP!$A:$W,22,FALSE)="N"),"N",IF(OR(Y362="C",VLOOKUP(A362,[1]PP!$A:$W,22,FALSE)="C"),"C",IF(OR(Y362="DZO",VLOOKUP(A362,[1]PP!$A:$W,22,FALSE)="DZO"),"DZO",IF(OR(Y362="mise",Y362="disp.",Y362="končí",Y362="DSC",VLOOKUP(A362,[1]PP!$A:$W,22,FALSE)="mise",VLOOKUP(A362,[1]PP!$A:$W,22,FALSE)="disp.",VLOOKUP(A362,[1]PP!$A:$W,22,FALSE)="končí",VLOOKUP(A362,[1]PP!$A:$W,22,FALSE)="DSC"),"jiné",IF(OR(Y362=4,VLOOKUP(A362,[1]PP!$A:$W,22,FALSE)=4),4,IF(OR(Y362=3,VLOOKUP(A362,[1]PP!$A:$W,22,FALSE)=3),3,IF(OR(Y362=2,VLOOKUP(A362,[1]PP!$A:$W,22,FALSE)=2),2,IF(AND(Y362=1,VLOOKUP(A362,[1]PP!$A:$W,22,FALSE)=1),1)))))))))))</f>
        <v/>
      </c>
      <c r="Y362" s="28" t="str">
        <f>IF(COUNTIF(B362:G362,"")&gt;0,"",IF(COUNTIF([1]PP!$A:$A,A362)=0,"neni v PP",IF(VLOOKUP(A362,[1]PP!$A:$W,8,FALSE)="odešel","odešel",IF(F362="","",IF(J362="",IF(OR(T362=4,W362=4),4,IF(AND(T362="N",W362="N"),"N",IF(OR(T362="N",W362="N"),4,ROUND(AVERAGE(T362,W362),0)))),J362)))))</f>
        <v/>
      </c>
      <c r="Z362" s="29"/>
    </row>
    <row r="363" spans="1:26" ht="16" x14ac:dyDescent="0.35">
      <c r="A363" s="14" t="str">
        <f t="shared" si="20"/>
        <v xml:space="preserve">  </v>
      </c>
      <c r="B363" s="15"/>
      <c r="C363" s="31"/>
      <c r="D363" s="31"/>
      <c r="E363" s="17"/>
      <c r="F363" s="18"/>
      <c r="G363" s="32"/>
      <c r="H363" s="33" t="str">
        <f>IF(G363="","",IF(F363="žena",ROMAN(MATCH(G363+1,'[1]Normy VP'!$Y$27:$Y$33,-1)),ROMAN(MATCH(G363+1,'[1]Normy VP'!$Y$19:$Y$25,-1))))</f>
        <v/>
      </c>
      <c r="I363" s="21"/>
      <c r="J363" s="22"/>
      <c r="K363" s="23"/>
      <c r="L363" s="23"/>
      <c r="M363" s="23"/>
      <c r="N363" s="22"/>
      <c r="O363" s="22"/>
      <c r="P363" s="24" t="str">
        <f>IF(OR($J363="",$J363="odešel"),IF(K363="","",IF($F363="žena",CHOOSE(_xlfn.ARABIC($H363),MATCH(K363+1,'[1]Normy VP'!$C$25:$F$25,-1),MATCH(K363+1,'[1]Normy VP'!$C$26:$F$26,-1),MATCH(K363+1,'[1]Normy VP'!$C$27:$F$27,-1),MATCH(K363+1,'[1]Normy VP'!$C$28:$F$28,-1),MATCH(K363+1,'[1]Normy VP'!$C$29:$F$29,-1),"muž"),CHOOSE(_xlfn.ARABIC($H363),MATCH(K363+1,'[1]Normy VP'!$C$10:$F$10,-1),MATCH(K363+1,'[1]Normy VP'!$C$11:$F$11,-1),MATCH(K363+1,'[1]Normy VP'!$C$12:$F$12,-1),MATCH(K363+1,'[1]Normy VP'!$C$13:$F$13,-1),MATCH(K363+1,'[1]Normy VP'!$C$14:$F$14,-1),""))),"O")</f>
        <v/>
      </c>
      <c r="Q363" s="24" t="str">
        <f>IF(OR($J363="",$J363="odešel"),IF($F363="žena","",IF(L363="","",(CHOOSE(_xlfn.ARABIC($H363),MATCH(L363+1,'[1]Normy VP'!$G$10:$J$10,-1),MATCH(L363+1,'[1]Normy VP'!$G$11:$J$11,-1),MATCH(L363+1,'[1]Normy VP'!$G$12:$J$12,-1),MATCH(L363+1,'[1]Normy VP'!$G$13:$J$13,-1),MATCH(L363+1,'[1]Normy VP'!$G$14:$J$14,-1),"")))),"O")</f>
        <v/>
      </c>
      <c r="R363" s="34" t="str">
        <f t="shared" si="21"/>
        <v>N</v>
      </c>
      <c r="S363" s="24" t="str">
        <f>IF(OR($J363="",$J363="odešel"),IF(M363="","N",IF($F363="žena",CHOOSE(_xlfn.ARABIC($H363),MATCH(M363+1,'[1]Normy VP'!$G$25:$J$25,-1),MATCH(M363+1,'[1]Normy VP'!$G$26:$J$26,-1),MATCH(M363+1,'[1]Normy VP'!$G$27:$J$27,-1),MATCH(M363+1,'[1]Normy VP'!$G$28:$J$28,-1),MATCH(M363+1,'[1]Normy VP'!$G$29:$J$29,-1),"muž"),(CHOOSE(_xlfn.ARABIC($H363),MATCH(M363+1,'[1]Normy VP'!$K$10:$N$10,-1),MATCH(M363+1,'[1]Normy VP'!$K$11:$N$11,-1),MATCH(M363+1,'[1]Normy VP'!$K$12:$N$12,-1),MATCH(M363+1,'[1]Normy VP'!$K$13:$N$13,-1),MATCH(M363+1,'[1]Normy VP'!$K$14:$N$14,-1),"")))),"O")</f>
        <v>N</v>
      </c>
      <c r="T363" s="34" t="str">
        <f t="shared" si="22"/>
        <v>N</v>
      </c>
      <c r="U363" s="24" t="str">
        <f>IF(OR($J363="",$J363="odešel"),IF(N363="","N",IF($F363="žena",CHOOSE(_xlfn.ARABIC($H363),MATCH(N363+1,'[1]Normy VP'!$K$25:$N$25,-1),MATCH(N363+1,'[1]Normy VP'!$K$26:$N$26,-1),MATCH(N363+1,'[1]Normy VP'!$K$27:$N$27,-1),MATCH(N363+1,'[1]Normy VP'!$K$28:$N$28,-1),MATCH(N363+1,'[1]Normy VP'!$K$29:$N$29,-1),MATCH(N363+1,'[1]Normy VP'!$K$30:$N$30,-1)),CHOOSE(_xlfn.ARABIC($H363),MATCH(N363+1,'[1]Normy VP'!$O$10:$R$10,-1),MATCH(N363+1,'[1]Normy VP'!$O$11:$R$11,-1),MATCH(N363+1,'[1]Normy VP'!$O$12:$R$12,-1),MATCH(N363+1,'[1]Normy VP'!$O$13:$R$13,-1),MATCH(N363+1,'[1]Normy VP'!$O$14:$R$14,-1),MATCH(N363+1,'[1]Normy VP'!$O$15:$R$15,-1)))),"O")</f>
        <v>N</v>
      </c>
      <c r="V363" s="26" t="str">
        <f>IF(OR($J363="",$J363="odešel"),IF(O363="","N",IF($F363="žena",CHOOSE(_xlfn.ARABIC($H363),MATCH(O363-1,'[1]Normy VP'!$O$25:$R$25),MATCH(O363-1,'[1]Normy VP'!$O$26:$R$26),MATCH(O363-1,'[1]Normy VP'!$O$27:$R$27),MATCH(O363-1,'[1]Normy VP'!$O$28:$R$28),MATCH(O363-1,'[1]Normy VP'!$O$29:$R$29),MATCH(O363-1,'[1]Normy VP'!$O$30:$R$30)),CHOOSE(_xlfn.ARABIC($H363),MATCH(O363-1,'[1]Normy VP'!$S$10:$V$10),MATCH(O363-1,'[1]Normy VP'!$S$11:$V$11),MATCH(O363-1,'[1]Normy VP'!$S$12:$V$12),MATCH(O363-1,'[1]Normy VP'!$S$13:$V$13),MATCH(O363-1,'[1]Normy VP'!$S$14:$V$14),MATCH(O363-1,'[1]Normy VP'!$S$15:$V$15)))),"O")</f>
        <v>N</v>
      </c>
      <c r="W363" s="34" t="str">
        <f t="shared" si="23"/>
        <v>N</v>
      </c>
      <c r="X363" s="27" t="str">
        <f>IF(COUNTIF(B363:G363,"")&gt;0,"",IF(COUNTIF([1]PP!$A:$A,A363)=0,"neni v PP",IF(OR(Y363="odešel",VLOOKUP(A363,[1]PP!$A:$W,22,FALSE)="odešel"),"odešel",IF(OR(Y363="N",VLOOKUP(A363,[1]PP!$A:$W,22,FALSE)="N"),"N",IF(OR(Y363="C",VLOOKUP(A363,[1]PP!$A:$W,22,FALSE)="C"),"C",IF(OR(Y363="DZO",VLOOKUP(A363,[1]PP!$A:$W,22,FALSE)="DZO"),"DZO",IF(OR(Y363="mise",Y363="disp.",Y363="končí",Y363="DSC",VLOOKUP(A363,[1]PP!$A:$W,22,FALSE)="mise",VLOOKUP(A363,[1]PP!$A:$W,22,FALSE)="disp.",VLOOKUP(A363,[1]PP!$A:$W,22,FALSE)="končí",VLOOKUP(A363,[1]PP!$A:$W,22,FALSE)="DSC"),"jiné",IF(OR(Y363=4,VLOOKUP(A363,[1]PP!$A:$W,22,FALSE)=4),4,IF(OR(Y363=3,VLOOKUP(A363,[1]PP!$A:$W,22,FALSE)=3),3,IF(OR(Y363=2,VLOOKUP(A363,[1]PP!$A:$W,22,FALSE)=2),2,IF(AND(Y363=1,VLOOKUP(A363,[1]PP!$A:$W,22,FALSE)=1),1)))))))))))</f>
        <v/>
      </c>
      <c r="Y363" s="28" t="str">
        <f>IF(COUNTIF(B363:G363,"")&gt;0,"",IF(COUNTIF([1]PP!$A:$A,A363)=0,"neni v PP",IF(VLOOKUP(A363,[1]PP!$A:$W,8,FALSE)="odešel","odešel",IF(F363="","",IF(J363="",IF(OR(T363=4,W363=4),4,IF(AND(T363="N",W363="N"),"N",IF(OR(T363="N",W363="N"),4,ROUND(AVERAGE(T363,W363),0)))),J363)))))</f>
        <v/>
      </c>
      <c r="Z363" s="29"/>
    </row>
  </sheetData>
  <autoFilter ref="A1:AA1" xr:uid="{DDCD3C39-3FDE-4E9A-AB4E-E35F908727E3}"/>
  <conditionalFormatting sqref="C3:D10 C12:D39 C41:D47 C49:D50 C52:D56 C59:D62 C87:D87 C98:D104 C106:D107 C116:D120 C136:D149 C210:D214 C216:D236 C238:D268 C270:D281 C283:D287 C313:D327 C329:D334">
    <cfRule type="expression" dxfId="27" priority="14">
      <formula>$D3&lt;&gt;$D4</formula>
    </cfRule>
  </conditionalFormatting>
  <conditionalFormatting sqref="C11:D11">
    <cfRule type="expression" dxfId="26" priority="26">
      <formula>$D11&lt;&gt;#REF!</formula>
    </cfRule>
  </conditionalFormatting>
  <conditionalFormatting sqref="C40:D40 C57:D57 C66:D66 C71:D71 C88:D88 C108:D108 C150:D150 C209:D209 C288:D288">
    <cfRule type="expression" dxfId="25" priority="23">
      <formula>$D40&lt;&gt;$D42</formula>
    </cfRule>
  </conditionalFormatting>
  <conditionalFormatting sqref="C48:D48 C215:D215 C237:D237 C269:D269 C328:D328">
    <cfRule type="expression" dxfId="24" priority="28">
      <formula>$D48&lt;&gt;#REF!</formula>
    </cfRule>
  </conditionalFormatting>
  <conditionalFormatting sqref="C51:D51 C58:D58 C63:D63 C70:D70 C97:D97">
    <cfRule type="expression" dxfId="23" priority="24">
      <formula>$D51&lt;&gt;#REF!</formula>
    </cfRule>
  </conditionalFormatting>
  <conditionalFormatting sqref="C64:D65">
    <cfRule type="expression" dxfId="22" priority="8">
      <formula>$D64&lt;&gt;$D65</formula>
    </cfRule>
  </conditionalFormatting>
  <conditionalFormatting sqref="C67:D69">
    <cfRule type="expression" dxfId="21" priority="10">
      <formula>$D67&lt;&gt;$D68</formula>
    </cfRule>
  </conditionalFormatting>
  <conditionalFormatting sqref="C72:D80">
    <cfRule type="expression" dxfId="20" priority="7">
      <formula>$D72&lt;&gt;$D73</formula>
    </cfRule>
  </conditionalFormatting>
  <conditionalFormatting sqref="C81:D81 C105:D105 C312:D312">
    <cfRule type="expression" dxfId="19" priority="25">
      <formula>$D81&lt;&gt;#REF!</formula>
    </cfRule>
  </conditionalFormatting>
  <conditionalFormatting sqref="C82:D84">
    <cfRule type="expression" dxfId="18" priority="9">
      <formula>$D82&lt;&gt;$D83</formula>
    </cfRule>
  </conditionalFormatting>
  <conditionalFormatting sqref="C85:D86">
    <cfRule type="expression" dxfId="17" priority="11">
      <formula>$D85&lt;&gt;#REF!</formula>
    </cfRule>
  </conditionalFormatting>
  <conditionalFormatting sqref="C89:D96">
    <cfRule type="expression" dxfId="16" priority="6">
      <formula>$D89&lt;&gt;$D90</formula>
    </cfRule>
  </conditionalFormatting>
  <conditionalFormatting sqref="C109:D114">
    <cfRule type="expression" dxfId="15" priority="3">
      <formula>$D109&lt;&gt;$D110</formula>
    </cfRule>
  </conditionalFormatting>
  <conditionalFormatting sqref="C115:D115">
    <cfRule type="expression" dxfId="14" priority="27">
      <formula>$D115&lt;&gt;#REF!</formula>
    </cfRule>
  </conditionalFormatting>
  <conditionalFormatting sqref="C121:D121">
    <cfRule type="expression" dxfId="13" priority="22">
      <formula>$D121&lt;&gt;#REF!</formula>
    </cfRule>
  </conditionalFormatting>
  <conditionalFormatting sqref="C122:D130">
    <cfRule type="expression" dxfId="12" priority="1">
      <formula>$D122&lt;&gt;$D123</formula>
    </cfRule>
  </conditionalFormatting>
  <conditionalFormatting sqref="C131:D132">
    <cfRule type="expression" dxfId="11" priority="13">
      <formula>$D131&lt;&gt;$D134</formula>
    </cfRule>
  </conditionalFormatting>
  <conditionalFormatting sqref="C133:D135">
    <cfRule type="expression" dxfId="10" priority="5">
      <formula>$D133&lt;&gt;$D135</formula>
    </cfRule>
  </conditionalFormatting>
  <conditionalFormatting sqref="C151:D208">
    <cfRule type="expression" dxfId="9" priority="12">
      <formula>$D151&lt;&gt;$D152</formula>
    </cfRule>
  </conditionalFormatting>
  <conditionalFormatting sqref="C282:D282">
    <cfRule type="expression" dxfId="8" priority="21">
      <formula>$D282&lt;&gt;#REF!</formula>
    </cfRule>
  </conditionalFormatting>
  <conditionalFormatting sqref="C289:D311">
    <cfRule type="expression" dxfId="7" priority="4">
      <formula>$D289&lt;&gt;$D290</formula>
    </cfRule>
  </conditionalFormatting>
  <conditionalFormatting sqref="Y1:Y363">
    <cfRule type="cellIs" dxfId="6" priority="19" operator="equal">
      <formula>"N"</formula>
    </cfRule>
    <cfRule type="cellIs" dxfId="5" priority="20" stopIfTrue="1" operator="equal">
      <formula>4</formula>
    </cfRule>
  </conditionalFormatting>
  <conditionalFormatting sqref="Z1:Z363">
    <cfRule type="containsText" dxfId="4" priority="2" operator="containsText" text="Doplň">
      <formula>NOT(ISERROR(SEARCH("Doplň",Z1)))</formula>
    </cfRule>
    <cfRule type="containsText" dxfId="3" priority="16" operator="containsText" text="muž?">
      <formula>NOT(ISERROR(SEARCH("muž?",Z1)))</formula>
    </cfRule>
    <cfRule type="containsText" dxfId="2" priority="17" operator="containsText" text="žena?">
      <formula>NOT(ISERROR(SEARCH("žena?",Z1)))</formula>
    </cfRule>
    <cfRule type="containsText" dxfId="1" priority="18" operator="containsText" text="&lt;">
      <formula>NOT(ISERROR(SEARCH("&lt;",Z1)))</formula>
    </cfRule>
  </conditionalFormatting>
  <conditionalFormatting sqref="Z1">
    <cfRule type="expression" dxfId="0" priority="15">
      <formula>COUNTIF($Z$4,"*chyb*")</formula>
    </cfRule>
  </conditionalFormatting>
  <dataValidations count="1">
    <dataValidation type="list" allowBlank="1" showInputMessage="1" showErrorMessage="1" sqref="E337:E363" xr:uid="{A37C6401-022B-47AA-B9F2-1ECBED156466}">
      <formula1>$G$16:$G$28</formula1>
    </dataValidation>
  </dataValidation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Telvák Radek - MO ČR</dc:creator>
  <lastModifiedBy>Telvák Radek - MO ČR</lastModifiedBy>
  <dcterms:created xsi:type="dcterms:W3CDTF">2026-09-17T06:43:08.2965990Z</dcterms:created>
  <dcterms:modified xsi:type="dcterms:W3CDTF">2026-09-17T06:43:08.2965990Z</dcterms:modified>
</coreProperties>
</file>